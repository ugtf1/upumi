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1C57F07A-A454-B749-91CB-0F60DC0F108E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Sheet7" sheetId="1" r:id="rId1"/>
    <sheet name="PivotTables" sheetId="2" r:id="rId2"/>
    <sheet name="Member_Status" sheetId="3" r:id="rId3"/>
    <sheet name="Bereavment Collection" sheetId="4" r:id="rId4"/>
    <sheet name="contacts" sheetId="5" r:id="rId5"/>
    <sheet name="Xmas-GiftCards" sheetId="6" r:id="rId6"/>
    <sheet name="Raffle" sheetId="7" r:id="rId7"/>
  </sheets>
  <definedNames>
    <definedName name="_xlnm._FilterDatabase" localSheetId="2" hidden="1">Member_Status!$A$1:$BD$1021</definedName>
    <definedName name="_xlnm._FilterDatabase" localSheetId="3" hidden="1">'Bereavment Collection'!$A$1:$K$74</definedName>
    <definedName name="_xlnm._FilterDatabase" localSheetId="5" hidden="1">'Xmas-GiftCards'!$A$1:$L$49</definedName>
    <definedName name="_xlnm._FilterDatabase" localSheetId="6" hidden="1">Raffle!$A$1:$D$630</definedName>
    <definedName name="Z_EDC1C59E_109F_4FBE_8FCA_E66ECFBA2EA2_.wvu.FilterData" localSheetId="6" hidden="1">Raffle!$A$1:$D$100</definedName>
    <definedName name="Z_EDC1C59E_109F_4FBE_8FCA_E66ECFBA2EA2_.wvu.FilterData" localSheetId="2" hidden="1">Member_Status!$AQ$1:$AQ$84</definedName>
  </definedNames>
  <calcPr calcId="191028"/>
  <customWorkbookViews>
    <customWorkbookView name="Filter 1" guid="{EDC1C59E-109F-4FBE-8FCA-E66ECFBA2EA2}" maximized="1" windowWidth="0" windowHeight="0" activeSheetId="0"/>
  </customWorkbookViews>
  <pivotCaches>
    <pivotCache cacheId="0" r:id="rId8"/>
    <pivotCache cacheId="1" r:id="rId9"/>
    <pivotCache cacheId="2" r:id="rId10"/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1" i="7" l="1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F44" i="3"/>
  <c r="AG44" i="3"/>
  <c r="AP44" i="3"/>
  <c r="AQ44" i="3"/>
  <c r="L38" i="6"/>
  <c r="L37" i="6"/>
  <c r="AF52" i="3"/>
  <c r="AG52" i="3"/>
  <c r="AN52" i="3"/>
  <c r="AP52" i="3"/>
  <c r="AQ52" i="3"/>
  <c r="L36" i="6"/>
  <c r="L35" i="6"/>
  <c r="L34" i="6"/>
  <c r="L33" i="6"/>
  <c r="L32" i="6"/>
  <c r="AF48" i="3"/>
  <c r="AG48" i="3"/>
  <c r="AP48" i="3"/>
  <c r="AQ48" i="3"/>
  <c r="L31" i="6"/>
  <c r="L30" i="6"/>
  <c r="L29" i="6"/>
  <c r="AF10" i="3"/>
  <c r="AG10" i="3"/>
  <c r="AP10" i="3"/>
  <c r="AQ10" i="3"/>
  <c r="L28" i="6"/>
  <c r="AF13" i="3"/>
  <c r="AG13" i="3"/>
  <c r="AP13" i="3"/>
  <c r="AQ13" i="3"/>
  <c r="L27" i="6"/>
  <c r="L26" i="6"/>
  <c r="L25" i="6"/>
  <c r="AF17" i="3"/>
  <c r="AG17" i="3"/>
  <c r="AP17" i="3"/>
  <c r="AQ17" i="3"/>
  <c r="L24" i="6"/>
  <c r="L23" i="6"/>
  <c r="L22" i="6"/>
  <c r="AF37" i="3"/>
  <c r="AG37" i="3"/>
  <c r="AP37" i="3"/>
  <c r="AQ37" i="3"/>
  <c r="L21" i="6"/>
  <c r="AF43" i="3"/>
  <c r="AG43" i="3"/>
  <c r="AP43" i="3"/>
  <c r="AQ43" i="3"/>
  <c r="L20" i="6"/>
  <c r="L19" i="6"/>
  <c r="AF46" i="3"/>
  <c r="AG46" i="3"/>
  <c r="AP46" i="3"/>
  <c r="AQ46" i="3"/>
  <c r="L18" i="6"/>
  <c r="AF4" i="3"/>
  <c r="AG4" i="3"/>
  <c r="AP4" i="3"/>
  <c r="AQ4" i="3"/>
  <c r="L17" i="6"/>
  <c r="AF55" i="3"/>
  <c r="AG55" i="3"/>
  <c r="AP55" i="3"/>
  <c r="AQ55" i="3"/>
  <c r="L16" i="6"/>
  <c r="AG56" i="3"/>
  <c r="AP56" i="3"/>
  <c r="AQ56" i="3"/>
  <c r="L15" i="6"/>
  <c r="AF21" i="3"/>
  <c r="AG21" i="3"/>
  <c r="AP21" i="3"/>
  <c r="AQ21" i="3"/>
  <c r="L14" i="6"/>
  <c r="AF18" i="3"/>
  <c r="AG18" i="3"/>
  <c r="AP18" i="3"/>
  <c r="AQ18" i="3"/>
  <c r="L13" i="6"/>
  <c r="L12" i="6"/>
  <c r="L11" i="6"/>
  <c r="L10" i="6"/>
  <c r="AF45" i="3"/>
  <c r="AG45" i="3"/>
  <c r="AP45" i="3"/>
  <c r="AQ45" i="3"/>
  <c r="L9" i="6"/>
  <c r="L8" i="6"/>
  <c r="H4" i="6"/>
  <c r="H3" i="6"/>
  <c r="H2" i="6"/>
  <c r="G74" i="4"/>
  <c r="G71" i="4"/>
  <c r="G72" i="4"/>
  <c r="G73" i="4"/>
  <c r="K71" i="4"/>
  <c r="J71" i="4"/>
  <c r="I71" i="4"/>
  <c r="H71" i="4"/>
  <c r="F71" i="4"/>
  <c r="E71" i="4"/>
  <c r="D71" i="4"/>
  <c r="C2" i="4"/>
  <c r="C3" i="4"/>
  <c r="C4" i="4"/>
  <c r="C5" i="4"/>
  <c r="C6" i="4"/>
  <c r="C8" i="4"/>
  <c r="C9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60" i="4"/>
  <c r="C61" i="4"/>
  <c r="C64" i="4"/>
  <c r="C71" i="4"/>
  <c r="C70" i="4"/>
  <c r="C69" i="4"/>
  <c r="C68" i="4"/>
  <c r="C67" i="4"/>
  <c r="C65" i="4"/>
  <c r="AF139" i="3"/>
  <c r="AP139" i="3"/>
  <c r="AF138" i="3"/>
  <c r="AP138" i="3"/>
  <c r="BG137" i="3"/>
  <c r="BF137" i="3"/>
  <c r="BE137" i="3"/>
  <c r="AF97" i="3"/>
  <c r="AP97" i="3"/>
  <c r="AF98" i="3"/>
  <c r="AP98" i="3"/>
  <c r="AF99" i="3"/>
  <c r="AP99" i="3"/>
  <c r="AF100" i="3"/>
  <c r="AP100" i="3"/>
  <c r="AF2" i="3"/>
  <c r="AG2" i="3"/>
  <c r="AP2" i="3"/>
  <c r="AF3" i="3"/>
  <c r="AG3" i="3"/>
  <c r="AP3" i="3"/>
  <c r="AG5" i="3"/>
  <c r="AP5" i="3"/>
  <c r="AF7" i="3"/>
  <c r="AG7" i="3"/>
  <c r="AP7" i="3"/>
  <c r="AF8" i="3"/>
  <c r="AG8" i="3"/>
  <c r="AP8" i="3"/>
  <c r="AF9" i="3"/>
  <c r="AG9" i="3"/>
  <c r="AP9" i="3"/>
  <c r="AF11" i="3"/>
  <c r="AG11" i="3"/>
  <c r="AP11" i="3"/>
  <c r="AF12" i="3"/>
  <c r="AG12" i="3"/>
  <c r="AP12" i="3"/>
  <c r="AF14" i="3"/>
  <c r="AG14" i="3"/>
  <c r="AP14" i="3"/>
  <c r="AF15" i="3"/>
  <c r="AG15" i="3"/>
  <c r="AP15" i="3"/>
  <c r="AF16" i="3"/>
  <c r="AG16" i="3"/>
  <c r="AP16" i="3"/>
  <c r="AF19" i="3"/>
  <c r="AG19" i="3"/>
  <c r="AP19" i="3"/>
  <c r="AF20" i="3"/>
  <c r="AG20" i="3"/>
  <c r="AP20" i="3"/>
  <c r="AF22" i="3"/>
  <c r="AG22" i="3"/>
  <c r="AP22" i="3"/>
  <c r="AF23" i="3"/>
  <c r="AG23" i="3"/>
  <c r="AP23" i="3"/>
  <c r="AF24" i="3"/>
  <c r="AG24" i="3"/>
  <c r="AP24" i="3"/>
  <c r="AF25" i="3"/>
  <c r="AG25" i="3"/>
  <c r="AP25" i="3"/>
  <c r="AF26" i="3"/>
  <c r="AG26" i="3"/>
  <c r="AP26" i="3"/>
  <c r="AF27" i="3"/>
  <c r="AG27" i="3"/>
  <c r="AP27" i="3"/>
  <c r="AF28" i="3"/>
  <c r="AG28" i="3"/>
  <c r="AP28" i="3"/>
  <c r="AF29" i="3"/>
  <c r="AG29" i="3"/>
  <c r="AP29" i="3"/>
  <c r="AF30" i="3"/>
  <c r="AG30" i="3"/>
  <c r="AP30" i="3"/>
  <c r="AF31" i="3"/>
  <c r="AG31" i="3"/>
  <c r="AP31" i="3"/>
  <c r="AF32" i="3"/>
  <c r="AG32" i="3"/>
  <c r="AP32" i="3"/>
  <c r="AF33" i="3"/>
  <c r="AG33" i="3"/>
  <c r="AP33" i="3"/>
  <c r="AF34" i="3"/>
  <c r="AG34" i="3"/>
  <c r="AP34" i="3"/>
  <c r="O35" i="3"/>
  <c r="AF35" i="3"/>
  <c r="AG35" i="3"/>
  <c r="AP35" i="3"/>
  <c r="AF36" i="3"/>
  <c r="AG36" i="3"/>
  <c r="AP36" i="3"/>
  <c r="AF38" i="3"/>
  <c r="AG38" i="3"/>
  <c r="AP38" i="3"/>
  <c r="AF39" i="3"/>
  <c r="AG39" i="3"/>
  <c r="AP39" i="3"/>
  <c r="AG40" i="3"/>
  <c r="AP40" i="3"/>
  <c r="AG41" i="3"/>
  <c r="AP41" i="3"/>
  <c r="AG42" i="3"/>
  <c r="AP42" i="3"/>
  <c r="AF47" i="3"/>
  <c r="AG47" i="3"/>
  <c r="AP47" i="3"/>
  <c r="AF49" i="3"/>
  <c r="AG49" i="3"/>
  <c r="AP49" i="3"/>
  <c r="AF50" i="3"/>
  <c r="AG50" i="3"/>
  <c r="AP50" i="3"/>
  <c r="AF51" i="3"/>
  <c r="AG51" i="3"/>
  <c r="AP51" i="3"/>
  <c r="AF53" i="3"/>
  <c r="AG53" i="3"/>
  <c r="AN53" i="3"/>
  <c r="AP53" i="3"/>
  <c r="AF54" i="3"/>
  <c r="AG54" i="3"/>
  <c r="AP54" i="3"/>
  <c r="AF57" i="3"/>
  <c r="AG57" i="3"/>
  <c r="AP57" i="3"/>
  <c r="AF58" i="3"/>
  <c r="AG58" i="3"/>
  <c r="AP58" i="3"/>
  <c r="AF59" i="3"/>
  <c r="AG59" i="3"/>
  <c r="AP59" i="3"/>
  <c r="AF60" i="3"/>
  <c r="AG60" i="3"/>
  <c r="AP60" i="3"/>
  <c r="AF61" i="3"/>
  <c r="AG61" i="3"/>
  <c r="AP61" i="3"/>
  <c r="AF62" i="3"/>
  <c r="AG62" i="3"/>
  <c r="AP62" i="3"/>
  <c r="AF63" i="3"/>
  <c r="AG63" i="3"/>
  <c r="AP63" i="3"/>
  <c r="AG64" i="3"/>
  <c r="AP64" i="3"/>
  <c r="AF65" i="3"/>
  <c r="AG65" i="3"/>
  <c r="AP65" i="3"/>
  <c r="AF66" i="3"/>
  <c r="AG66" i="3"/>
  <c r="AP66" i="3"/>
  <c r="AF67" i="3"/>
  <c r="AG67" i="3"/>
  <c r="AP67" i="3"/>
  <c r="AF68" i="3"/>
  <c r="AG68" i="3"/>
  <c r="AP68" i="3"/>
  <c r="AF69" i="3"/>
  <c r="AG69" i="3"/>
  <c r="AP69" i="3"/>
  <c r="AF70" i="3"/>
  <c r="AG70" i="3"/>
  <c r="AP70" i="3"/>
  <c r="AF71" i="3"/>
  <c r="AG71" i="3"/>
  <c r="AP71" i="3"/>
  <c r="AF72" i="3"/>
  <c r="AG72" i="3"/>
  <c r="AP72" i="3"/>
  <c r="AF73" i="3"/>
  <c r="AG73" i="3"/>
  <c r="AP73" i="3"/>
  <c r="AF74" i="3"/>
  <c r="AG74" i="3"/>
  <c r="AP74" i="3"/>
  <c r="AF75" i="3"/>
  <c r="AG75" i="3"/>
  <c r="AP75" i="3"/>
  <c r="AF76" i="3"/>
  <c r="AP76" i="3"/>
  <c r="AF77" i="3"/>
  <c r="AP77" i="3"/>
  <c r="AF78" i="3"/>
  <c r="AP78" i="3"/>
  <c r="AX136" i="3"/>
  <c r="M79" i="3"/>
  <c r="O79" i="3"/>
  <c r="Q79" i="3"/>
  <c r="AF79" i="3"/>
  <c r="AP79" i="3"/>
  <c r="BA136" i="3"/>
  <c r="M80" i="3"/>
  <c r="O80" i="3"/>
  <c r="Q80" i="3"/>
  <c r="AF80" i="3"/>
  <c r="AP80" i="3"/>
  <c r="AF81" i="3"/>
  <c r="AP81" i="3"/>
  <c r="M83" i="3"/>
  <c r="O83" i="3"/>
  <c r="Q83" i="3"/>
  <c r="AF83" i="3"/>
  <c r="AP83" i="3"/>
  <c r="AF84" i="3"/>
  <c r="AP84" i="3"/>
  <c r="AF85" i="3"/>
  <c r="AP85" i="3"/>
  <c r="AF86" i="3"/>
  <c r="AP86" i="3"/>
  <c r="AF87" i="3"/>
  <c r="AP87" i="3"/>
  <c r="AF88" i="3"/>
  <c r="AP88" i="3"/>
  <c r="AF89" i="3"/>
  <c r="AP89" i="3"/>
  <c r="AF90" i="3"/>
  <c r="AP90" i="3"/>
  <c r="AF91" i="3"/>
  <c r="AP91" i="3"/>
  <c r="AF92" i="3"/>
  <c r="AP92" i="3"/>
  <c r="AF93" i="3"/>
  <c r="AP93" i="3"/>
  <c r="AF94" i="3"/>
  <c r="AP94" i="3"/>
  <c r="AF95" i="3"/>
  <c r="AP95" i="3"/>
  <c r="AF96" i="3"/>
  <c r="AP96" i="3"/>
  <c r="AF101" i="3"/>
  <c r="AP101" i="3"/>
  <c r="AF102" i="3"/>
  <c r="AP102" i="3"/>
  <c r="AF103" i="3"/>
  <c r="AP103" i="3"/>
  <c r="AF104" i="3"/>
  <c r="AP104" i="3"/>
  <c r="AF105" i="3"/>
  <c r="AP105" i="3"/>
  <c r="AF106" i="3"/>
  <c r="AP106" i="3"/>
  <c r="AF107" i="3"/>
  <c r="AP107" i="3"/>
  <c r="AF108" i="3"/>
  <c r="AP108" i="3"/>
  <c r="AF109" i="3"/>
  <c r="AP109" i="3"/>
  <c r="AF110" i="3"/>
  <c r="AP110" i="3"/>
  <c r="AF111" i="3"/>
  <c r="AP111" i="3"/>
  <c r="AF112" i="3"/>
  <c r="AP112" i="3"/>
  <c r="AF113" i="3"/>
  <c r="AP113" i="3"/>
  <c r="AF114" i="3"/>
  <c r="AP114" i="3"/>
  <c r="AF115" i="3"/>
  <c r="AP115" i="3"/>
  <c r="AF116" i="3"/>
  <c r="AP116" i="3"/>
  <c r="AF117" i="3"/>
  <c r="AP117" i="3"/>
  <c r="AF118" i="3"/>
  <c r="AP118" i="3"/>
  <c r="AF119" i="3"/>
  <c r="AP119" i="3"/>
  <c r="AF120" i="3"/>
  <c r="AP120" i="3"/>
  <c r="AF121" i="3"/>
  <c r="AP121" i="3"/>
  <c r="AF122" i="3"/>
  <c r="AP122" i="3"/>
  <c r="AF123" i="3"/>
  <c r="AP123" i="3"/>
  <c r="AF124" i="3"/>
  <c r="AP124" i="3"/>
  <c r="AF125" i="3"/>
  <c r="AP125" i="3"/>
  <c r="AF126" i="3"/>
  <c r="AP126" i="3"/>
  <c r="AF127" i="3"/>
  <c r="AP127" i="3"/>
  <c r="AF128" i="3"/>
  <c r="AP128" i="3"/>
  <c r="AF129" i="3"/>
  <c r="AP129" i="3"/>
  <c r="AF130" i="3"/>
  <c r="AP130" i="3"/>
  <c r="AF131" i="3"/>
  <c r="AP131" i="3"/>
  <c r="AF132" i="3"/>
  <c r="AP132" i="3"/>
  <c r="AF133" i="3"/>
  <c r="AP133" i="3"/>
  <c r="AF134" i="3"/>
  <c r="AP134" i="3"/>
  <c r="AF135" i="3"/>
  <c r="AP135" i="3"/>
  <c r="AF5" i="3"/>
  <c r="AF40" i="3"/>
  <c r="AF41" i="3"/>
  <c r="AF42" i="3"/>
  <c r="AF56" i="3"/>
  <c r="AF64" i="3"/>
  <c r="AF136" i="3"/>
  <c r="AP136" i="3"/>
  <c r="AP137" i="3"/>
  <c r="AO136" i="3"/>
  <c r="AO137" i="3"/>
  <c r="AN136" i="3"/>
  <c r="AN137" i="3"/>
  <c r="AM136" i="3"/>
  <c r="AM137" i="3"/>
  <c r="AG136" i="3"/>
  <c r="AG137" i="3"/>
  <c r="AF137" i="3"/>
  <c r="AE137" i="3"/>
  <c r="AC137" i="3"/>
  <c r="AA137" i="3"/>
  <c r="Y137" i="3"/>
  <c r="W137" i="3"/>
  <c r="U137" i="3"/>
  <c r="S137" i="3"/>
  <c r="Q137" i="3"/>
  <c r="O137" i="3"/>
  <c r="M137" i="3"/>
  <c r="K137" i="3"/>
  <c r="I137" i="3"/>
  <c r="BG136" i="3"/>
  <c r="BF136" i="3"/>
  <c r="BE136" i="3"/>
  <c r="AL136" i="3"/>
  <c r="AK136" i="3"/>
  <c r="AE136" i="3"/>
  <c r="AC136" i="3"/>
  <c r="AA136" i="3"/>
  <c r="Y136" i="3"/>
  <c r="W136" i="3"/>
  <c r="U136" i="3"/>
  <c r="S136" i="3"/>
  <c r="Q82" i="3"/>
  <c r="Q136" i="3"/>
  <c r="O82" i="3"/>
  <c r="O136" i="3"/>
  <c r="M82" i="3"/>
  <c r="M136" i="3"/>
  <c r="K136" i="3"/>
  <c r="I136" i="3"/>
  <c r="AQ75" i="3"/>
  <c r="AT75" i="3"/>
  <c r="AW75" i="3"/>
  <c r="AS73" i="3"/>
  <c r="AR73" i="3"/>
  <c r="AU75" i="3"/>
  <c r="AV75" i="3"/>
  <c r="AS75" i="3"/>
  <c r="AR75" i="3"/>
  <c r="AQ74" i="3"/>
  <c r="AT74" i="3"/>
  <c r="AW74" i="3"/>
  <c r="AS72" i="3"/>
  <c r="AR72" i="3"/>
  <c r="AU74" i="3"/>
  <c r="AV74" i="3"/>
  <c r="AS74" i="3"/>
  <c r="AR74" i="3"/>
  <c r="G74" i="3"/>
  <c r="AQ73" i="3"/>
  <c r="AT73" i="3"/>
  <c r="AW73" i="3"/>
  <c r="AS69" i="3"/>
  <c r="AR69" i="3"/>
  <c r="AU73" i="3"/>
  <c r="AV73" i="3"/>
  <c r="G73" i="3"/>
  <c r="AQ72" i="3"/>
  <c r="AT72" i="3"/>
  <c r="AW72" i="3"/>
  <c r="AS68" i="3"/>
  <c r="AR68" i="3"/>
  <c r="AU72" i="3"/>
  <c r="AV72" i="3"/>
  <c r="G72" i="3"/>
  <c r="AQ71" i="3"/>
  <c r="AT71" i="3"/>
  <c r="AW71" i="3"/>
  <c r="AS70" i="3"/>
  <c r="AR70" i="3"/>
  <c r="AU71" i="3"/>
  <c r="AV71" i="3"/>
  <c r="AS71" i="3"/>
  <c r="AR71" i="3"/>
  <c r="AQ70" i="3"/>
  <c r="AT70" i="3"/>
  <c r="AW70" i="3"/>
  <c r="AU70" i="3"/>
  <c r="AV70" i="3"/>
  <c r="AQ69" i="3"/>
  <c r="AT69" i="3"/>
  <c r="AW69" i="3"/>
  <c r="AU69" i="3"/>
  <c r="AV69" i="3"/>
  <c r="G69" i="3"/>
  <c r="AQ68" i="3"/>
  <c r="AT68" i="3"/>
  <c r="AW68" i="3"/>
  <c r="AS67" i="3"/>
  <c r="AR67" i="3"/>
  <c r="AU68" i="3"/>
  <c r="AV68" i="3"/>
  <c r="G68" i="3"/>
  <c r="AQ67" i="3"/>
  <c r="AT67" i="3"/>
  <c r="AW67" i="3"/>
  <c r="AS66" i="3"/>
  <c r="AR66" i="3"/>
  <c r="AU67" i="3"/>
  <c r="AV67" i="3"/>
  <c r="AQ66" i="3"/>
  <c r="AT66" i="3"/>
  <c r="AW66" i="3"/>
  <c r="AS65" i="3"/>
  <c r="AR65" i="3"/>
  <c r="AU66" i="3"/>
  <c r="AV66" i="3"/>
  <c r="AQ65" i="3"/>
  <c r="AT65" i="3"/>
  <c r="AW65" i="3"/>
  <c r="AS61" i="3"/>
  <c r="AR61" i="3"/>
  <c r="AU65" i="3"/>
  <c r="AV65" i="3"/>
  <c r="G65" i="3"/>
  <c r="AQ64" i="3"/>
  <c r="AT64" i="3"/>
  <c r="AW64" i="3"/>
  <c r="AS60" i="3"/>
  <c r="AR60" i="3"/>
  <c r="AU64" i="3"/>
  <c r="AV64" i="3"/>
  <c r="AS64" i="3"/>
  <c r="AR64" i="3"/>
  <c r="G64" i="3"/>
  <c r="AQ63" i="3"/>
  <c r="AT63" i="3"/>
  <c r="AW63" i="3"/>
  <c r="AU63" i="3"/>
  <c r="AV63" i="3"/>
  <c r="AS63" i="3"/>
  <c r="AR63" i="3"/>
  <c r="AQ62" i="3"/>
  <c r="AT62" i="3"/>
  <c r="AW62" i="3"/>
  <c r="AU62" i="3"/>
  <c r="AV62" i="3"/>
  <c r="AS62" i="3"/>
  <c r="AR62" i="3"/>
  <c r="AQ61" i="3"/>
  <c r="AT61" i="3"/>
  <c r="AW61" i="3"/>
  <c r="AS59" i="3"/>
  <c r="AR59" i="3"/>
  <c r="AU61" i="3"/>
  <c r="AV61" i="3"/>
  <c r="G61" i="3"/>
  <c r="AQ60" i="3"/>
  <c r="AT60" i="3"/>
  <c r="AW60" i="3"/>
  <c r="AS58" i="3"/>
  <c r="AR58" i="3"/>
  <c r="AU60" i="3"/>
  <c r="AV60" i="3"/>
  <c r="G60" i="3"/>
  <c r="AQ59" i="3"/>
  <c r="AT59" i="3"/>
  <c r="AW59" i="3"/>
  <c r="AS57" i="3"/>
  <c r="AR57" i="3"/>
  <c r="AU59" i="3"/>
  <c r="AV59" i="3"/>
  <c r="G59" i="3"/>
  <c r="AQ58" i="3"/>
  <c r="AT58" i="3"/>
  <c r="AW58" i="3"/>
  <c r="AS56" i="3"/>
  <c r="AR56" i="3"/>
  <c r="AU58" i="3"/>
  <c r="AV58" i="3"/>
  <c r="G58" i="3"/>
  <c r="AQ57" i="3"/>
  <c r="AT57" i="3"/>
  <c r="AW57" i="3"/>
  <c r="AS55" i="3"/>
  <c r="AR55" i="3"/>
  <c r="AU57" i="3"/>
  <c r="AV57" i="3"/>
  <c r="G57" i="3"/>
  <c r="AT56" i="3"/>
  <c r="AW56" i="3"/>
  <c r="AS54" i="3"/>
  <c r="AR54" i="3"/>
  <c r="AU56" i="3"/>
  <c r="AV56" i="3"/>
  <c r="G56" i="3"/>
  <c r="AT55" i="3"/>
  <c r="AW55" i="3"/>
  <c r="AS53" i="3"/>
  <c r="AR53" i="3"/>
  <c r="AU55" i="3"/>
  <c r="AV55" i="3"/>
  <c r="G55" i="3"/>
  <c r="AQ54" i="3"/>
  <c r="AT54" i="3"/>
  <c r="AW54" i="3"/>
  <c r="AS52" i="3"/>
  <c r="AR52" i="3"/>
  <c r="AU54" i="3"/>
  <c r="AV54" i="3"/>
  <c r="G54" i="3"/>
  <c r="AQ53" i="3"/>
  <c r="AT53" i="3"/>
  <c r="AW53" i="3"/>
  <c r="AS51" i="3"/>
  <c r="AR51" i="3"/>
  <c r="AU53" i="3"/>
  <c r="AV53" i="3"/>
  <c r="G53" i="3"/>
  <c r="AT52" i="3"/>
  <c r="AW52" i="3"/>
  <c r="AS50" i="3"/>
  <c r="AR50" i="3"/>
  <c r="AU52" i="3"/>
  <c r="AV52" i="3"/>
  <c r="G52" i="3"/>
  <c r="AQ51" i="3"/>
  <c r="AT51" i="3"/>
  <c r="AW51" i="3"/>
  <c r="AS49" i="3"/>
  <c r="AR49" i="3"/>
  <c r="AU51" i="3"/>
  <c r="AV51" i="3"/>
  <c r="G51" i="3"/>
  <c r="AQ50" i="3"/>
  <c r="AT50" i="3"/>
  <c r="AW50" i="3"/>
  <c r="AS48" i="3"/>
  <c r="AR48" i="3"/>
  <c r="AU50" i="3"/>
  <c r="AV50" i="3"/>
  <c r="G50" i="3"/>
  <c r="AQ49" i="3"/>
  <c r="AT49" i="3"/>
  <c r="AW49" i="3"/>
  <c r="AS47" i="3"/>
  <c r="AR47" i="3"/>
  <c r="AU49" i="3"/>
  <c r="AV49" i="3"/>
  <c r="G49" i="3"/>
  <c r="AT48" i="3"/>
  <c r="AW48" i="3"/>
  <c r="AS46" i="3"/>
  <c r="AR46" i="3"/>
  <c r="AU48" i="3"/>
  <c r="AV48" i="3"/>
  <c r="G48" i="3"/>
  <c r="AQ47" i="3"/>
  <c r="AT47" i="3"/>
  <c r="AW47" i="3"/>
  <c r="AS45" i="3"/>
  <c r="AR45" i="3"/>
  <c r="AU47" i="3"/>
  <c r="AV47" i="3"/>
  <c r="G47" i="3"/>
  <c r="AT46" i="3"/>
  <c r="AW46" i="3"/>
  <c r="AS44" i="3"/>
  <c r="AR44" i="3"/>
  <c r="AU46" i="3"/>
  <c r="AV46" i="3"/>
  <c r="AT45" i="3"/>
  <c r="AW45" i="3"/>
  <c r="AS43" i="3"/>
  <c r="AR43" i="3"/>
  <c r="AU45" i="3"/>
  <c r="AV45" i="3"/>
  <c r="G45" i="3"/>
  <c r="AT44" i="3"/>
  <c r="AW44" i="3"/>
  <c r="AS40" i="3"/>
  <c r="AR40" i="3"/>
  <c r="AU44" i="3"/>
  <c r="AV44" i="3"/>
  <c r="G44" i="3"/>
  <c r="AT43" i="3"/>
  <c r="AW43" i="3"/>
  <c r="AS39" i="3"/>
  <c r="AR39" i="3"/>
  <c r="AU43" i="3"/>
  <c r="AV43" i="3"/>
  <c r="G43" i="3"/>
  <c r="AQ42" i="3"/>
  <c r="AT42" i="3"/>
  <c r="AW42" i="3"/>
  <c r="AU42" i="3"/>
  <c r="AV42" i="3"/>
  <c r="AS42" i="3"/>
  <c r="AR42" i="3"/>
  <c r="AQ41" i="3"/>
  <c r="AT41" i="3"/>
  <c r="AW41" i="3"/>
  <c r="AS38" i="3"/>
  <c r="AR38" i="3"/>
  <c r="AU41" i="3"/>
  <c r="AV41" i="3"/>
  <c r="AS41" i="3"/>
  <c r="AR41" i="3"/>
  <c r="AQ40" i="3"/>
  <c r="AT40" i="3"/>
  <c r="AW40" i="3"/>
  <c r="AS37" i="3"/>
  <c r="AR37" i="3"/>
  <c r="AU40" i="3"/>
  <c r="AV40" i="3"/>
  <c r="G40" i="3"/>
  <c r="AQ39" i="3"/>
  <c r="AT39" i="3"/>
  <c r="AW39" i="3"/>
  <c r="AU39" i="3"/>
  <c r="AV39" i="3"/>
  <c r="G39" i="3"/>
  <c r="AQ38" i="3"/>
  <c r="AT38" i="3"/>
  <c r="AW38" i="3"/>
  <c r="AS34" i="3"/>
  <c r="AR34" i="3"/>
  <c r="AU38" i="3"/>
  <c r="AV38" i="3"/>
  <c r="AT37" i="3"/>
  <c r="AW37" i="3"/>
  <c r="AU37" i="3"/>
  <c r="AV37" i="3"/>
  <c r="AQ36" i="3"/>
  <c r="AT36" i="3"/>
  <c r="AW36" i="3"/>
  <c r="AS35" i="3"/>
  <c r="AR35" i="3"/>
  <c r="AU36" i="3"/>
  <c r="AV36" i="3"/>
  <c r="AS36" i="3"/>
  <c r="AR36" i="3"/>
  <c r="AQ35" i="3"/>
  <c r="AT35" i="3"/>
  <c r="AW35" i="3"/>
  <c r="AU35" i="3"/>
  <c r="AV35" i="3"/>
  <c r="AQ34" i="3"/>
  <c r="AT34" i="3"/>
  <c r="AW34" i="3"/>
  <c r="AS33" i="3"/>
  <c r="AR33" i="3"/>
  <c r="AU34" i="3"/>
  <c r="AV34" i="3"/>
  <c r="G34" i="3"/>
  <c r="AQ33" i="3"/>
  <c r="AT33" i="3"/>
  <c r="AW33" i="3"/>
  <c r="AS32" i="3"/>
  <c r="AR32" i="3"/>
  <c r="AU33" i="3"/>
  <c r="AV33" i="3"/>
  <c r="AQ32" i="3"/>
  <c r="AT32" i="3"/>
  <c r="AW32" i="3"/>
  <c r="AS31" i="3"/>
  <c r="AR31" i="3"/>
  <c r="AU32" i="3"/>
  <c r="AV32" i="3"/>
  <c r="G32" i="3"/>
  <c r="AQ31" i="3"/>
  <c r="AT31" i="3"/>
  <c r="AW31" i="3"/>
  <c r="AS30" i="3"/>
  <c r="AR30" i="3"/>
  <c r="AU31" i="3"/>
  <c r="AV31" i="3"/>
  <c r="AQ30" i="3"/>
  <c r="AT30" i="3"/>
  <c r="AW30" i="3"/>
  <c r="AS29" i="3"/>
  <c r="AR29" i="3"/>
  <c r="AU30" i="3"/>
  <c r="AV30" i="3"/>
  <c r="G30" i="3"/>
  <c r="AQ29" i="3"/>
  <c r="AT29" i="3"/>
  <c r="AW29" i="3"/>
  <c r="AS28" i="3"/>
  <c r="AR28" i="3"/>
  <c r="AU29" i="3"/>
  <c r="AV29" i="3"/>
  <c r="AQ28" i="3"/>
  <c r="AT28" i="3"/>
  <c r="AW28" i="3"/>
  <c r="AS27" i="3"/>
  <c r="AR27" i="3"/>
  <c r="AU28" i="3"/>
  <c r="AV28" i="3"/>
  <c r="AQ27" i="3"/>
  <c r="AT27" i="3"/>
  <c r="AW27" i="3"/>
  <c r="AS26" i="3"/>
  <c r="AR26" i="3"/>
  <c r="AU27" i="3"/>
  <c r="AV27" i="3"/>
  <c r="AQ26" i="3"/>
  <c r="AT26" i="3"/>
  <c r="AW26" i="3"/>
  <c r="AS24" i="3"/>
  <c r="AR24" i="3"/>
  <c r="AU26" i="3"/>
  <c r="AV26" i="3"/>
  <c r="AQ25" i="3"/>
  <c r="AT25" i="3"/>
  <c r="AW25" i="3"/>
  <c r="AS23" i="3"/>
  <c r="AR23" i="3"/>
  <c r="AU25" i="3"/>
  <c r="AV25" i="3"/>
  <c r="AS25" i="3"/>
  <c r="AR25" i="3"/>
  <c r="AQ24" i="3"/>
  <c r="AT24" i="3"/>
  <c r="AW24" i="3"/>
  <c r="AS22" i="3"/>
  <c r="AR22" i="3"/>
  <c r="AU24" i="3"/>
  <c r="AV24" i="3"/>
  <c r="G24" i="3"/>
  <c r="AQ23" i="3"/>
  <c r="AT23" i="3"/>
  <c r="AW23" i="3"/>
  <c r="AS21" i="3"/>
  <c r="AR21" i="3"/>
  <c r="AU23" i="3"/>
  <c r="AV23" i="3"/>
  <c r="G23" i="3"/>
  <c r="AQ22" i="3"/>
  <c r="AT22" i="3"/>
  <c r="AW22" i="3"/>
  <c r="AS20" i="3"/>
  <c r="AR20" i="3"/>
  <c r="AU22" i="3"/>
  <c r="AV22" i="3"/>
  <c r="AT21" i="3"/>
  <c r="AW21" i="3"/>
  <c r="AS19" i="3"/>
  <c r="AR19" i="3"/>
  <c r="AU21" i="3"/>
  <c r="AV21" i="3"/>
  <c r="AQ20" i="3"/>
  <c r="AT20" i="3"/>
  <c r="AW20" i="3"/>
  <c r="AS18" i="3"/>
  <c r="AR18" i="3"/>
  <c r="AU20" i="3"/>
  <c r="AV20" i="3"/>
  <c r="G20" i="3"/>
  <c r="AQ19" i="3"/>
  <c r="AT19" i="3"/>
  <c r="AW19" i="3"/>
  <c r="AS16" i="3"/>
  <c r="AR16" i="3"/>
  <c r="AU19" i="3"/>
  <c r="AV19" i="3"/>
  <c r="G19" i="3"/>
  <c r="AT18" i="3"/>
  <c r="AW18" i="3"/>
  <c r="AS17" i="3"/>
  <c r="AR17" i="3"/>
  <c r="AU18" i="3"/>
  <c r="AV18" i="3"/>
  <c r="G18" i="3"/>
  <c r="AT17" i="3"/>
  <c r="AW17" i="3"/>
  <c r="AS15" i="3"/>
  <c r="AR15" i="3"/>
  <c r="AU17" i="3"/>
  <c r="AV17" i="3"/>
  <c r="G17" i="3"/>
  <c r="AQ16" i="3"/>
  <c r="AT16" i="3"/>
  <c r="AW16" i="3"/>
  <c r="AR14" i="3"/>
  <c r="AU16" i="3"/>
  <c r="AV16" i="3"/>
  <c r="G16" i="3"/>
  <c r="AQ15" i="3"/>
  <c r="AT15" i="3"/>
  <c r="AW15" i="3"/>
  <c r="AS13" i="3"/>
  <c r="AR13" i="3"/>
  <c r="AU15" i="3"/>
  <c r="AV15" i="3"/>
  <c r="G15" i="3"/>
  <c r="AQ14" i="3"/>
  <c r="AT14" i="3"/>
  <c r="AW14" i="3"/>
  <c r="AU14" i="3"/>
  <c r="AV14" i="3"/>
  <c r="AT13" i="3"/>
  <c r="AW13" i="3"/>
  <c r="AR12" i="3"/>
  <c r="AU13" i="3"/>
  <c r="AV13" i="3"/>
  <c r="G13" i="3"/>
  <c r="AQ12" i="3"/>
  <c r="AT12" i="3"/>
  <c r="AW12" i="3"/>
  <c r="AS11" i="3"/>
  <c r="AR11" i="3"/>
  <c r="AU12" i="3"/>
  <c r="AV12" i="3"/>
  <c r="AQ11" i="3"/>
  <c r="AT11" i="3"/>
  <c r="AW11" i="3"/>
  <c r="AS10" i="3"/>
  <c r="AR10" i="3"/>
  <c r="AU11" i="3"/>
  <c r="AV11" i="3"/>
  <c r="G11" i="3"/>
  <c r="AT10" i="3"/>
  <c r="AW10" i="3"/>
  <c r="AS8" i="3"/>
  <c r="AR8" i="3"/>
  <c r="AU10" i="3"/>
  <c r="AV10" i="3"/>
  <c r="G10" i="3"/>
  <c r="AQ9" i="3"/>
  <c r="AT9" i="3"/>
  <c r="AW9" i="3"/>
  <c r="AU9" i="3"/>
  <c r="AV9" i="3"/>
  <c r="AS9" i="3"/>
  <c r="AR9" i="3"/>
  <c r="AQ8" i="3"/>
  <c r="AT8" i="3"/>
  <c r="AW8" i="3"/>
  <c r="AS7" i="3"/>
  <c r="AR7" i="3"/>
  <c r="AU8" i="3"/>
  <c r="AV8" i="3"/>
  <c r="G8" i="3"/>
  <c r="AQ7" i="3"/>
  <c r="AT7" i="3"/>
  <c r="AW7" i="3"/>
  <c r="AS4" i="3"/>
  <c r="AR4" i="3"/>
  <c r="AU7" i="3"/>
  <c r="AV7" i="3"/>
  <c r="G7" i="3"/>
  <c r="AQ5" i="3"/>
  <c r="AT5" i="3"/>
  <c r="AW5" i="3"/>
  <c r="AU5" i="3"/>
  <c r="AV5" i="3"/>
  <c r="AS5" i="3"/>
  <c r="AR5" i="3"/>
  <c r="AT4" i="3"/>
  <c r="AW4" i="3"/>
  <c r="AS3" i="3"/>
  <c r="AR3" i="3"/>
  <c r="AU4" i="3"/>
  <c r="AV4" i="3"/>
  <c r="AQ3" i="3"/>
  <c r="AT3" i="3"/>
  <c r="AW3" i="3"/>
  <c r="AS2" i="3"/>
  <c r="AR2" i="3"/>
  <c r="AU3" i="3"/>
  <c r="AV3" i="3"/>
  <c r="AQ2" i="3"/>
  <c r="AT2" i="3"/>
  <c r="AW2" i="3"/>
  <c r="AU2" i="3"/>
  <c r="AV2" i="3"/>
  <c r="AN78" i="2"/>
  <c r="BG74" i="2"/>
  <c r="BF74" i="2"/>
  <c r="D68" i="1"/>
  <c r="C68" i="1"/>
  <c r="B68" i="1"/>
  <c r="D29" i="1"/>
  <c r="D30" i="1"/>
  <c r="D38" i="1"/>
  <c r="C29" i="1"/>
  <c r="C30" i="1"/>
  <c r="C38" i="1"/>
  <c r="B29" i="1"/>
  <c r="B30" i="1"/>
  <c r="B38" i="1"/>
</calcChain>
</file>

<file path=xl/sharedStrings.xml><?xml version="1.0" encoding="utf-8"?>
<sst xmlns="http://schemas.openxmlformats.org/spreadsheetml/2006/main" count="3959" uniqueCount="548">
  <si>
    <t>Status</t>
  </si>
  <si>
    <t>Member</t>
  </si>
  <si>
    <t>Title</t>
  </si>
  <si>
    <t>Mr.</t>
  </si>
  <si>
    <t>Mrs.</t>
  </si>
  <si>
    <t>Last</t>
  </si>
  <si>
    <t>Okagbare</t>
  </si>
  <si>
    <t>First</t>
  </si>
  <si>
    <t>Prince</t>
  </si>
  <si>
    <t>Robert</t>
  </si>
  <si>
    <t>Voke</t>
  </si>
  <si>
    <t>Jan</t>
  </si>
  <si>
    <t>Dues-Jan</t>
  </si>
  <si>
    <t>Feb</t>
  </si>
  <si>
    <t>Dues-Feb</t>
  </si>
  <si>
    <t>Mar</t>
  </si>
  <si>
    <t>Dues-Mar</t>
  </si>
  <si>
    <t>Apr</t>
  </si>
  <si>
    <t>Dues-Apr</t>
  </si>
  <si>
    <t>May</t>
  </si>
  <si>
    <t>Dues-May</t>
  </si>
  <si>
    <t>Jun</t>
  </si>
  <si>
    <t>Dues-Jun</t>
  </si>
  <si>
    <t>Jul</t>
  </si>
  <si>
    <t>Dues-Jul</t>
  </si>
  <si>
    <t>Aug</t>
  </si>
  <si>
    <t>Owes</t>
  </si>
  <si>
    <t>Dues-Aug</t>
  </si>
  <si>
    <t>Pauline's Wedding!!</t>
  </si>
  <si>
    <t>Sep</t>
  </si>
  <si>
    <t>Ese's Wedding!!</t>
  </si>
  <si>
    <t>Dues-Sep</t>
  </si>
  <si>
    <t>Oct</t>
  </si>
  <si>
    <t>Joined</t>
  </si>
  <si>
    <t>Alawaru's Bereavement</t>
  </si>
  <si>
    <t>Phone2</t>
  </si>
  <si>
    <t>Onosode Bereavement</t>
  </si>
  <si>
    <t>Dues-Oct</t>
  </si>
  <si>
    <t>Email</t>
  </si>
  <si>
    <t>Nov</t>
  </si>
  <si>
    <t>Julie Warrence Bereavment</t>
  </si>
  <si>
    <t>Dues-Nov</t>
  </si>
  <si>
    <t>Paul Warrence Bereavment</t>
  </si>
  <si>
    <t>Toweh Bereavment</t>
  </si>
  <si>
    <t>Dec</t>
  </si>
  <si>
    <t>benefactor7</t>
  </si>
  <si>
    <t>Dues-Dec</t>
  </si>
  <si>
    <t>Abada</t>
  </si>
  <si>
    <t>2025 dues paid</t>
  </si>
  <si>
    <t>Evi</t>
  </si>
  <si>
    <t>2025 balance</t>
  </si>
  <si>
    <t>2026 dues paid</t>
  </si>
  <si>
    <t>2024 balance</t>
  </si>
  <si>
    <t>2023 balance</t>
  </si>
  <si>
    <t>2026 balance</t>
  </si>
  <si>
    <t>2022 balance</t>
  </si>
  <si>
    <t>2021 balance2</t>
  </si>
  <si>
    <t>2020 balance</t>
  </si>
  <si>
    <t>Otuke</t>
  </si>
  <si>
    <t>2019 balance</t>
  </si>
  <si>
    <t>2018 balance</t>
  </si>
  <si>
    <t>Total</t>
  </si>
  <si>
    <t>Financial GoodStanding</t>
  </si>
  <si>
    <t>Donors</t>
  </si>
  <si>
    <t>%Attendance</t>
  </si>
  <si>
    <t>Agbara</t>
  </si>
  <si>
    <t>Onome</t>
  </si>
  <si>
    <t>Levies</t>
  </si>
  <si>
    <t>Anambra Donation</t>
  </si>
  <si>
    <t>Years active</t>
  </si>
  <si>
    <t>SSW Donation</t>
  </si>
  <si>
    <t>GoodStanding</t>
  </si>
  <si>
    <t>Voter</t>
  </si>
  <si>
    <t>Dr. Emekpe</t>
  </si>
  <si>
    <t>Insurance?</t>
  </si>
  <si>
    <t>Ins. premium paid</t>
  </si>
  <si>
    <t>Wrapper type</t>
  </si>
  <si>
    <t>Wrapper ordered</t>
  </si>
  <si>
    <t>Wrapper payment</t>
  </si>
  <si>
    <t>Rouna Amege</t>
  </si>
  <si>
    <t>Hosting</t>
  </si>
  <si>
    <t>Raffle tix UPUMI fundraiser</t>
  </si>
  <si>
    <t>Akaba</t>
  </si>
  <si>
    <t>Raffle tix UPUA convention</t>
  </si>
  <si>
    <t>Minor Annete-Onoriode</t>
  </si>
  <si>
    <t>Maureen</t>
  </si>
  <si>
    <t>SSW contribution</t>
  </si>
  <si>
    <t>Anambra contribution</t>
  </si>
  <si>
    <t>upua 25 raffle</t>
  </si>
  <si>
    <t>Emetiyoma Kwesi</t>
  </si>
  <si>
    <t>Okagbare Robert</t>
  </si>
  <si>
    <t>Mr. Emmanuel Orhorho</t>
  </si>
  <si>
    <t>(857) 248-8789</t>
  </si>
  <si>
    <t>Monday</t>
  </si>
  <si>
    <t>Chief Godfrey Wanogho</t>
  </si>
  <si>
    <t>Prince &amp; Voke Okagbare</t>
  </si>
  <si>
    <t>Present</t>
  </si>
  <si>
    <t>Benson Oghoufo</t>
  </si>
  <si>
    <t>Mr &amp; Mrs Akaba</t>
  </si>
  <si>
    <t>Chief Mrs Onyejiaka</t>
  </si>
  <si>
    <t>Akporee</t>
  </si>
  <si>
    <t>Emudiaga</t>
  </si>
  <si>
    <t>Sum</t>
  </si>
  <si>
    <t>Attendance</t>
  </si>
  <si>
    <t>Alawuru</t>
  </si>
  <si>
    <t>Precious</t>
  </si>
  <si>
    <t>Amegee</t>
  </si>
  <si>
    <t>Ruona</t>
  </si>
  <si>
    <t>-</t>
  </si>
  <si>
    <t>Asidi</t>
  </si>
  <si>
    <t>Fejiro</t>
  </si>
  <si>
    <t>Atori</t>
  </si>
  <si>
    <t>Victoria</t>
  </si>
  <si>
    <t>Chiefredo</t>
  </si>
  <si>
    <t>Merit</t>
  </si>
  <si>
    <t>Dilworth</t>
  </si>
  <si>
    <t>Aghogho</t>
  </si>
  <si>
    <t>Eghwofobe</t>
  </si>
  <si>
    <t>Ngozi</t>
  </si>
  <si>
    <t>f</t>
  </si>
  <si>
    <t>Ejafiavwo</t>
  </si>
  <si>
    <t>Florence</t>
  </si>
  <si>
    <t>Robinson</t>
  </si>
  <si>
    <t>balance</t>
  </si>
  <si>
    <t>Emadamerho</t>
  </si>
  <si>
    <t>Belief</t>
  </si>
  <si>
    <t>abada351@gmail.com</t>
  </si>
  <si>
    <t>Krishawn</t>
  </si>
  <si>
    <t>Emekpe</t>
  </si>
  <si>
    <t>Enovwo</t>
  </si>
  <si>
    <t>Esegine</t>
  </si>
  <si>
    <t>Johnson</t>
  </si>
  <si>
    <t>Elder exempt</t>
  </si>
  <si>
    <t>Rebecca</t>
  </si>
  <si>
    <t>Evwaraye</t>
  </si>
  <si>
    <t>Joke</t>
  </si>
  <si>
    <t>Otivie</t>
  </si>
  <si>
    <t>Emetiyoma</t>
  </si>
  <si>
    <t>Kwesi</t>
  </si>
  <si>
    <t>Eruoto</t>
  </si>
  <si>
    <t>other income</t>
  </si>
  <si>
    <t>Jude</t>
  </si>
  <si>
    <t>invitation</t>
  </si>
  <si>
    <t>Theresa Ikajii</t>
  </si>
  <si>
    <t xml:space="preserve">George </t>
  </si>
  <si>
    <t>Lovette</t>
  </si>
  <si>
    <t>Aguele</t>
  </si>
  <si>
    <t>Sarah</t>
  </si>
  <si>
    <t>m</t>
  </si>
  <si>
    <t>Ighofose</t>
  </si>
  <si>
    <t>Ochuko</t>
  </si>
  <si>
    <t>Omolara</t>
  </si>
  <si>
    <t>Ngene</t>
  </si>
  <si>
    <t>Abigail Enaibre</t>
  </si>
  <si>
    <t>Yes</t>
  </si>
  <si>
    <t>No</t>
  </si>
  <si>
    <t>vico08omolara@yahoo.com</t>
  </si>
  <si>
    <t>First Name</t>
  </si>
  <si>
    <t>Last Name</t>
  </si>
  <si>
    <t>Email 1</t>
  </si>
  <si>
    <t>Email 1 lists</t>
  </si>
  <si>
    <t>Email 2</t>
  </si>
  <si>
    <t>Ikaji</t>
  </si>
  <si>
    <t>Theresa</t>
  </si>
  <si>
    <t>Phone 1</t>
  </si>
  <si>
    <t>Address 1</t>
  </si>
  <si>
    <t>Beauty</t>
  </si>
  <si>
    <t>Ovbije-Onomake</t>
  </si>
  <si>
    <t>beautysinternationalmktplace@hotmail.com</t>
  </si>
  <si>
    <t>Jeff</t>
  </si>
  <si>
    <t>UPUMI Members</t>
  </si>
  <si>
    <t>Isiorho</t>
  </si>
  <si>
    <t>Kensinde</t>
  </si>
  <si>
    <t>jeffngene701@gmail.com</t>
  </si>
  <si>
    <t>Kehinde</t>
  </si>
  <si>
    <t>Minor</t>
  </si>
  <si>
    <t>Orhorhoro</t>
  </si>
  <si>
    <t>Odiri</t>
  </si>
  <si>
    <t>Annete-Onoriode</t>
  </si>
  <si>
    <t>Ovieh</t>
  </si>
  <si>
    <t>Onomake</t>
  </si>
  <si>
    <t>oviehonomake@aol.com</t>
  </si>
  <si>
    <t>Scott-Emuakpor</t>
  </si>
  <si>
    <t>abigail</t>
  </si>
  <si>
    <t>Nana</t>
  </si>
  <si>
    <t>abigaili4848@gmail.com</t>
  </si>
  <si>
    <t>Edewor</t>
  </si>
  <si>
    <t>Ozorewor</t>
  </si>
  <si>
    <t>Francis Onoriode</t>
  </si>
  <si>
    <t>abigailenaibre@gmail.com</t>
  </si>
  <si>
    <t>Tessy</t>
  </si>
  <si>
    <t>Adefolake</t>
  </si>
  <si>
    <t>Bakare</t>
  </si>
  <si>
    <t>afollybbz@gmail.com</t>
  </si>
  <si>
    <t>Warrence</t>
  </si>
  <si>
    <t>Julie</t>
  </si>
  <si>
    <t>Obi</t>
  </si>
  <si>
    <t>Ojugo</t>
  </si>
  <si>
    <t>Christina</t>
  </si>
  <si>
    <t>Paul</t>
  </si>
  <si>
    <t>Odjugo</t>
  </si>
  <si>
    <t>Emuobonuvie</t>
  </si>
  <si>
    <t>Onosode</t>
  </si>
  <si>
    <t>Joeseph Efe</t>
  </si>
  <si>
    <t>Akpesiri-Onoriode</t>
  </si>
  <si>
    <t>expense</t>
  </si>
  <si>
    <t>Payments</t>
  </si>
  <si>
    <t>onosode</t>
  </si>
  <si>
    <t xml:space="preserve">July 4th Canopy Naigirain foundation </t>
  </si>
  <si>
    <t>oonosode@aol.com</t>
  </si>
  <si>
    <t>mgr32290@bp.com</t>
  </si>
  <si>
    <t>(248) 318-4092</t>
  </si>
  <si>
    <t>17423 Glenmore St, Redford, mi</t>
  </si>
  <si>
    <t>Alex</t>
  </si>
  <si>
    <t>Ughwanogho</t>
  </si>
  <si>
    <t>Oghogho</t>
  </si>
  <si>
    <t>oghogho@aol.com</t>
  </si>
  <si>
    <t>Anneth</t>
  </si>
  <si>
    <t>annethevwaraye@yahoo.com</t>
  </si>
  <si>
    <t>UPUA Dues</t>
  </si>
  <si>
    <t>antoolivia@yahoo.com</t>
  </si>
  <si>
    <t>Balance</t>
  </si>
  <si>
    <t>Account</t>
  </si>
  <si>
    <t>Business</t>
  </si>
  <si>
    <t>Vera</t>
  </si>
  <si>
    <t>Oghoufo</t>
  </si>
  <si>
    <t>Anthonia</t>
  </si>
  <si>
    <t>FundRaiser</t>
  </si>
  <si>
    <t>Benson</t>
  </si>
  <si>
    <t>Laura Adejoke</t>
  </si>
  <si>
    <t>Aruegodore</t>
  </si>
  <si>
    <t>Oyibororho</t>
  </si>
  <si>
    <t>ovwa22@aol.com</t>
  </si>
  <si>
    <t>Ojaruega</t>
  </si>
  <si>
    <t>Emuobosan</t>
  </si>
  <si>
    <t>Tive</t>
  </si>
  <si>
    <t>Onoerhime</t>
  </si>
  <si>
    <t>Okere</t>
  </si>
  <si>
    <t>Bruno</t>
  </si>
  <si>
    <t>Okoko</t>
  </si>
  <si>
    <t>Agnes</t>
  </si>
  <si>
    <t>Oleita</t>
  </si>
  <si>
    <t>Jones</t>
  </si>
  <si>
    <t>Stella</t>
  </si>
  <si>
    <t>Emadamero</t>
  </si>
  <si>
    <t>belief80@yahoo.com</t>
  </si>
  <si>
    <t>Daniel</t>
  </si>
  <si>
    <t>Onokpikini</t>
  </si>
  <si>
    <t>Eguono</t>
  </si>
  <si>
    <t>Bonifcae</t>
  </si>
  <si>
    <t>Tubie</t>
  </si>
  <si>
    <t>Kevin</t>
  </si>
  <si>
    <t>user672848@aol.com</t>
  </si>
  <si>
    <t>b_okere@yahoo.com</t>
  </si>
  <si>
    <t>(586) 222-3482</t>
  </si>
  <si>
    <t>chief Dr.</t>
  </si>
  <si>
    <t>Imarhiagbe</t>
  </si>
  <si>
    <t>chief.imarah@gmail.com</t>
  </si>
  <si>
    <t>Chris</t>
  </si>
  <si>
    <t>Akus</t>
  </si>
  <si>
    <t>chris.akus@yahoo.com</t>
  </si>
  <si>
    <t>Dogood Efenogo</t>
  </si>
  <si>
    <t>efenogo@yahoo.com</t>
  </si>
  <si>
    <t>Onyejiaka</t>
  </si>
  <si>
    <t>Terobinse</t>
  </si>
  <si>
    <t>New</t>
  </si>
  <si>
    <t>toben4@yahoo.com</t>
  </si>
  <si>
    <t>eguonochantex@gmail.com</t>
  </si>
  <si>
    <t>(517) 331-7291</t>
  </si>
  <si>
    <t>Toweh</t>
  </si>
  <si>
    <t>Pedro</t>
  </si>
  <si>
    <t>Bereaved exempt</t>
  </si>
  <si>
    <t>Uduchukwu</t>
  </si>
  <si>
    <t>Onagite</t>
  </si>
  <si>
    <t>Tochukwu</t>
  </si>
  <si>
    <t>Ukavwe</t>
  </si>
  <si>
    <t>Felicia</t>
  </si>
  <si>
    <t>Joshua</t>
  </si>
  <si>
    <t xml:space="preserve">Robinson </t>
  </si>
  <si>
    <t>Ukuyoma</t>
  </si>
  <si>
    <t>Matthew</t>
  </si>
  <si>
    <t>Kelvin</t>
  </si>
  <si>
    <t>Wanogho</t>
  </si>
  <si>
    <t>Gladys</t>
  </si>
  <si>
    <t>Godfrey</t>
  </si>
  <si>
    <t>Excused</t>
  </si>
  <si>
    <t>Collected</t>
  </si>
  <si>
    <t>Paid directly</t>
  </si>
  <si>
    <t>mobo1777@gmail.com</t>
  </si>
  <si>
    <t>(248) 636-6884</t>
  </si>
  <si>
    <t>Eneta</t>
  </si>
  <si>
    <t>Uwedjojewe</t>
  </si>
  <si>
    <t>euwedjo@hotmail.com</t>
  </si>
  <si>
    <t>enovwo2@yahoo.com</t>
  </si>
  <si>
    <t>(248) 885-2808</t>
  </si>
  <si>
    <t>13805 pond bluff, vanburen township, MI, 48111</t>
  </si>
  <si>
    <t>jformula123@gmail.com</t>
  </si>
  <si>
    <t>elder</t>
  </si>
  <si>
    <t>Pastor</t>
  </si>
  <si>
    <t>moved/elder</t>
  </si>
  <si>
    <t>Ese</t>
  </si>
  <si>
    <t>praiseway1999@gmail.com</t>
  </si>
  <si>
    <t>sonianwoke@gmail.com</t>
  </si>
  <si>
    <t>313-622-3628</t>
  </si>
  <si>
    <t>america4ese@gmail.com</t>
  </si>
  <si>
    <t>esonetmedical@peoplepc.com</t>
  </si>
  <si>
    <t>Ms.</t>
  </si>
  <si>
    <t>Etaroghene</t>
  </si>
  <si>
    <t>Emurashe</t>
  </si>
  <si>
    <t>eemurashe@yahoo.com</t>
  </si>
  <si>
    <t>Friday</t>
  </si>
  <si>
    <t>Megabje</t>
  </si>
  <si>
    <t>megbaje8080@yahoo.com</t>
  </si>
  <si>
    <t>Gift</t>
  </si>
  <si>
    <t>Agege</t>
  </si>
  <si>
    <t>nefioms76@yahoo.com</t>
  </si>
  <si>
    <t>gladyswanogho@icloud.com</t>
  </si>
  <si>
    <t>(248) 943-5989</t>
  </si>
  <si>
    <t>28007
Tavistock Trl, Southfield, MI, United State</t>
  </si>
  <si>
    <t>goddey</t>
  </si>
  <si>
    <t>goddey@aol.com</t>
  </si>
  <si>
    <t>etareri@yahoo.com</t>
  </si>
  <si>
    <t>(248) 943-5811</t>
  </si>
  <si>
    <t>Gregory</t>
  </si>
  <si>
    <t>Dedeku</t>
  </si>
  <si>
    <t>gregory.dedeku@yahoo.com</t>
  </si>
  <si>
    <t>oleitaj@gmail.com</t>
  </si>
  <si>
    <t>kelvinetaro@yahoo.com</t>
  </si>
  <si>
    <t>Kevwe</t>
  </si>
  <si>
    <t>Akpore</t>
  </si>
  <si>
    <t>kevwe_kk@yahoo.com</t>
  </si>
  <si>
    <t>Emretiyoma</t>
  </si>
  <si>
    <t>meanvipro@yahoo.com</t>
  </si>
  <si>
    <t>mondaya@comcast.net</t>
  </si>
  <si>
    <t>Mrs. Bose</t>
  </si>
  <si>
    <t>Djere</t>
  </si>
  <si>
    <t>love4jenni@yahoo.com</t>
  </si>
  <si>
    <t>Mrs. Queen</t>
  </si>
  <si>
    <t>onajitetoweh@att.net</t>
  </si>
  <si>
    <t>onajitetoweh@attend.net</t>
  </si>
  <si>
    <t>reghwofobe@peoplepc.com</t>
  </si>
  <si>
    <t>(248) 252-7976</t>
  </si>
  <si>
    <t>Ochoko</t>
  </si>
  <si>
    <t>oighofose@gmail.com</t>
  </si>
  <si>
    <t>e_onosode@yahoo.com</t>
  </si>
  <si>
    <t>(248) 444-7478</t>
  </si>
  <si>
    <t>oghogho_ng@yahoo.com</t>
  </si>
  <si>
    <t>omoefe</t>
  </si>
  <si>
    <t>omoefe1015@aol.com</t>
  </si>
  <si>
    <t>Onajomo</t>
  </si>
  <si>
    <t>viobak@aol.com</t>
  </si>
  <si>
    <t>Agbarha</t>
  </si>
  <si>
    <t>onomeagbarha@hotmail.com</t>
  </si>
  <si>
    <t>vic08omolara@yahoo.com</t>
  </si>
  <si>
    <t>Owolo</t>
  </si>
  <si>
    <t>Venture</t>
  </si>
  <si>
    <t>owoventure@yahoo.com</t>
  </si>
  <si>
    <t>Pa</t>
  </si>
  <si>
    <t>Efe Odjugo</t>
  </si>
  <si>
    <t>josefejugo@yahoo.com</t>
  </si>
  <si>
    <t>paul_warrence@yahoo.com</t>
  </si>
  <si>
    <t>Philip</t>
  </si>
  <si>
    <t>madakpome@gmail.com</t>
  </si>
  <si>
    <t>palawuru@yahoo.com</t>
  </si>
  <si>
    <t>Pricilla</t>
  </si>
  <si>
    <t>Uwvie</t>
  </si>
  <si>
    <t>priscy467@gmail.com</t>
  </si>
  <si>
    <t>248-416-7875</t>
  </si>
  <si>
    <t>daddyprince73@yahoo.com</t>
  </si>
  <si>
    <t>(248) 346-5357</t>
  </si>
  <si>
    <t>27139 Sutherland street
Southfield MI 48076</t>
  </si>
  <si>
    <t>rhemu</t>
  </si>
  <si>
    <t>rhemu0@me.com</t>
  </si>
  <si>
    <t>goddeyok@gmail.com</t>
  </si>
  <si>
    <t>248-667-1660</t>
  </si>
  <si>
    <t>41731 crane way novi, MI 48377</t>
  </si>
  <si>
    <t>Ejefia</t>
  </si>
  <si>
    <t>ejefia@hotmail.com</t>
  </si>
  <si>
    <t>ukavwe@icloud.com</t>
  </si>
  <si>
    <t>wellnesshhcs@um.att.com</t>
  </si>
  <si>
    <t>(313) 303-8792</t>
  </si>
  <si>
    <t>1586 Sugar maple way west Bloomfield Michigan 48324, US</t>
  </si>
  <si>
    <t xml:space="preserve"> (248) 766-3000</t>
  </si>
  <si>
    <t>ruonasode@yahoo.com</t>
  </si>
  <si>
    <t>Sam</t>
  </si>
  <si>
    <t>Enajero</t>
  </si>
  <si>
    <t>senajero48234@comcast.net</t>
  </si>
  <si>
    <t>Samuel</t>
  </si>
  <si>
    <t>drsam818@yahoo.com</t>
  </si>
  <si>
    <t>Sheti</t>
  </si>
  <si>
    <t>tisi.okagbare@gmail.com</t>
  </si>
  <si>
    <t>emoubo4real@yahoo.com</t>
  </si>
  <si>
    <t>810 4105267</t>
  </si>
  <si>
    <t>lae4766@gmail.com</t>
  </si>
  <si>
    <t>te2675@yahoo.com</t>
  </si>
  <si>
    <t>Tubitaki</t>
  </si>
  <si>
    <t>tubitaki@aol.com</t>
  </si>
  <si>
    <t>UPUMI</t>
  </si>
  <si>
    <t>enovwo2@me.com</t>
  </si>
  <si>
    <t>313 6900667</t>
  </si>
  <si>
    <t>Te2675@yahoo.com</t>
  </si>
  <si>
    <t>Urhobo</t>
  </si>
  <si>
    <t>emevusi@yahoo.com</t>
  </si>
  <si>
    <t>mail2vokeus@yahoo.com</t>
  </si>
  <si>
    <t>danorhorhoro@yahoo.com</t>
  </si>
  <si>
    <t>(248)736 7156.</t>
  </si>
  <si>
    <t>lovette_george@yahoo.com</t>
  </si>
  <si>
    <t>(313) 529-0205</t>
  </si>
  <si>
    <t>Age 
2020</t>
  </si>
  <si>
    <t>Age
2025</t>
  </si>
  <si>
    <t>Home Address</t>
  </si>
  <si>
    <t>Phone</t>
  </si>
  <si>
    <t xml:space="preserve">Text </t>
  </si>
  <si>
    <t>Facebook</t>
  </si>
  <si>
    <t>Website</t>
  </si>
  <si>
    <t>Birthday</t>
  </si>
  <si>
    <t>Good Standing</t>
  </si>
  <si>
    <t>Xmas</t>
  </si>
  <si>
    <t>GiftCard</t>
  </si>
  <si>
    <t>(313) 487-4212</t>
  </si>
  <si>
    <t>GreetingCards</t>
  </si>
  <si>
    <t>Extra Cards</t>
  </si>
  <si>
    <t>BackUp 11</t>
  </si>
  <si>
    <t>Julissa</t>
  </si>
  <si>
    <t>Ovie</t>
  </si>
  <si>
    <t>Oke</t>
  </si>
  <si>
    <t>Emuobosa David</t>
  </si>
  <si>
    <t>27139 Sutherland street Southfield MI 48076</t>
  </si>
  <si>
    <t>Ogheneruno Eva</t>
  </si>
  <si>
    <t>Oghenefjiro</t>
  </si>
  <si>
    <t>Yoma</t>
  </si>
  <si>
    <t>7011 Clampton ct. Canton MI 48188</t>
  </si>
  <si>
    <t>Ejiro</t>
  </si>
  <si>
    <t>13805 Pond bluff Dr, Belleville MI 48111</t>
  </si>
  <si>
    <t>Ogaga</t>
  </si>
  <si>
    <t>Ewoma</t>
  </si>
  <si>
    <t>14269 Sunset st, Livonia, MI 48154</t>
  </si>
  <si>
    <t>Rute</t>
  </si>
  <si>
    <t>Brume</t>
  </si>
  <si>
    <t>30113 Sparkleberry dr. Southfield MI, 48076</t>
  </si>
  <si>
    <t>Ejomafuwve</t>
  </si>
  <si>
    <t>2163 woodbine dr Canton, MI 48188</t>
  </si>
  <si>
    <t>Isabella</t>
  </si>
  <si>
    <t>58 Leanee lane Pontiac MI, 48340</t>
  </si>
  <si>
    <t>Geo</t>
  </si>
  <si>
    <t>Oghenevomero</t>
  </si>
  <si>
    <t>17049 buckeye ct Ramulus, MI 48174</t>
  </si>
  <si>
    <t>Efe</t>
  </si>
  <si>
    <t>3371 south John hix road Wayne, MI 48184</t>
  </si>
  <si>
    <t>Ordame</t>
  </si>
  <si>
    <t>Orodje</t>
  </si>
  <si>
    <t>Howard</t>
  </si>
  <si>
    <t>2545 Belvidere st Detroit, MI 48214</t>
  </si>
  <si>
    <t>Dorian</t>
  </si>
  <si>
    <t>John</t>
  </si>
  <si>
    <t>Jac</t>
  </si>
  <si>
    <t>23475 Long Point Way #308 Novi, MI 48375</t>
  </si>
  <si>
    <t>Isreal</t>
  </si>
  <si>
    <t>13609 Geoffry drive Warren MI 480889</t>
  </si>
  <si>
    <t>Mercy</t>
  </si>
  <si>
    <t>benjamin</t>
  </si>
  <si>
    <t>Dr.</t>
  </si>
  <si>
    <t>11037 Lochgreen dr. Lansing MI 48917</t>
  </si>
  <si>
    <t>Erhuvwun</t>
  </si>
  <si>
    <t>Makeshe</t>
  </si>
  <si>
    <t>Ivie</t>
  </si>
  <si>
    <t>Odafe</t>
  </si>
  <si>
    <t>1058 villa court north, Walled Lake MI 48390</t>
  </si>
  <si>
    <t>Nyerhovwo</t>
  </si>
  <si>
    <t>Aged Out</t>
  </si>
  <si>
    <t>Rachel</t>
  </si>
  <si>
    <t>Olivia Ejiroghene</t>
  </si>
  <si>
    <t>Dubre</t>
  </si>
  <si>
    <t>430 north Fox Hills Drive apt. 8 Bloomfield Hills MI 48304</t>
  </si>
  <si>
    <t>Peter</t>
  </si>
  <si>
    <t>25203 Wiseman st, Roseville MI 48066</t>
  </si>
  <si>
    <t>Disqualified</t>
  </si>
  <si>
    <t>Serena</t>
  </si>
  <si>
    <t>Bernard</t>
  </si>
  <si>
    <t>Terry</t>
  </si>
  <si>
    <t>Oghenevwede</t>
  </si>
  <si>
    <t>41731 Crane Way Novi, MI 48377</t>
  </si>
  <si>
    <t>Ukawve</t>
  </si>
  <si>
    <t>1586 Sugar maple way west Bloomfield, MI 48324</t>
  </si>
  <si>
    <t>Avwerosuoghene Pius</t>
  </si>
  <si>
    <t>Evamelo</t>
  </si>
  <si>
    <t>23111 Leighwood Dr, Woodhaven, MI 48183</t>
  </si>
  <si>
    <t>Kess</t>
  </si>
  <si>
    <t>Christian</t>
  </si>
  <si>
    <t>18346 15 1/2 mile road, Marshall, MI 49068</t>
  </si>
  <si>
    <t>Mine</t>
  </si>
  <si>
    <t>Oghenemega</t>
  </si>
  <si>
    <t>Onovughakpor</t>
  </si>
  <si>
    <t>17625 San Rosa Blvd Lathrup village, MI 48079</t>
  </si>
  <si>
    <t>emuoboq@gmail.com</t>
  </si>
  <si>
    <t>Papa</t>
  </si>
  <si>
    <t>n/a</t>
  </si>
  <si>
    <t>onoerhime@gmail.com</t>
  </si>
  <si>
    <t>(313) 530-2348</t>
  </si>
  <si>
    <t>Ticket#</t>
  </si>
  <si>
    <t>Chiefrego</t>
  </si>
  <si>
    <t>Chief Mrs.</t>
  </si>
  <si>
    <t>Queen</t>
  </si>
  <si>
    <t>Chief</t>
  </si>
  <si>
    <t>na</t>
  </si>
  <si>
    <t>Meeting</t>
  </si>
  <si>
    <t>Welcome Support</t>
  </si>
  <si>
    <t>Invitation</t>
  </si>
  <si>
    <t>Lovette George</t>
  </si>
  <si>
    <t>YAC fundraiser</t>
  </si>
  <si>
    <t>Dr Nana's contribution</t>
  </si>
  <si>
    <t>Insurance premiums</t>
  </si>
  <si>
    <t>Collected to date</t>
  </si>
  <si>
    <t>Wrapper payments</t>
  </si>
  <si>
    <t>UPUA Raffle tickets</t>
  </si>
  <si>
    <t>Bereavement Warrence P.</t>
  </si>
  <si>
    <t>Bereavement Toweh</t>
  </si>
  <si>
    <t>Hosting expenses</t>
  </si>
  <si>
    <t>paid by Akaba/Alawuru</t>
  </si>
  <si>
    <t>Owerri</t>
  </si>
  <si>
    <t>Orhorho</t>
  </si>
  <si>
    <t>hosting checks</t>
  </si>
  <si>
    <t>Wrapper Payment</t>
  </si>
  <si>
    <t>Exco Birthday Gift</t>
  </si>
  <si>
    <t>Ikwanu Umuahia Association (Owerri)</t>
  </si>
  <si>
    <t>Fundraiser raffle &amp; invite</t>
  </si>
  <si>
    <t>Fundraiser DJ</t>
  </si>
  <si>
    <t>UPUMI FundRaiser Venue</t>
  </si>
  <si>
    <t>UPUA Convention donation</t>
  </si>
  <si>
    <t>UPUA Raffle tickets pay</t>
  </si>
  <si>
    <t>UPUMI full page AD UPUA 24 convention</t>
  </si>
  <si>
    <t>Bereavement Payout Warrence</t>
  </si>
  <si>
    <t>Insurance Premiums</t>
  </si>
  <si>
    <t>Tax services</t>
  </si>
  <si>
    <t>for memebers support</t>
  </si>
  <si>
    <t>Wedding gifts</t>
  </si>
  <si>
    <t>UPUA Life insurance</t>
  </si>
  <si>
    <t>UPUA convention reimbursment</t>
  </si>
  <si>
    <t>UPUA membership dues</t>
  </si>
  <si>
    <t>Kids Christmas Gifts</t>
  </si>
  <si>
    <t>MI Registration</t>
  </si>
  <si>
    <t>Scholarships/Grads - Rachel Akaba</t>
  </si>
  <si>
    <t>Scholarships/Grads -</t>
  </si>
  <si>
    <t>Zoom Acount</t>
  </si>
  <si>
    <t>Christmas Party Hall</t>
  </si>
  <si>
    <t>Christmas Party DJ</t>
  </si>
  <si>
    <t>Income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</si>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</sst>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0.0"/>
    <numFmt numFmtId="167" formatCode="mmmm\ yyyy"/>
    <numFmt numFmtId="168" formatCode="&quot;$&quot;#,##0.00"/>
    <numFmt numFmtId="169" formatCode="m/d"/>
    <numFmt numFmtId="170" formatCode="[$-409]d\-mmm\-yy"/>
  </numFmts>
  <fonts count="21" x14ac:knownFonts="1">
    <font>
      <sz val="10"/>
      <color theme="1"/>
      <name val="Arial"/>
      <scheme val="minor"/>
    </font>
    <font>
      <b/>
      <sz val="11"/>
      <color rgb="FF44546A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  <font>
      <b/>
      <sz val="12"/>
      <color rgb="FF44546A"/>
      <name val="Arial"/>
    </font>
    <font>
      <sz val="10"/>
      <color rgb="FF000000"/>
      <name val="Arial"/>
    </font>
    <font>
      <sz val="10"/>
      <color rgb="FF00B050"/>
      <name val="Arial"/>
    </font>
    <font>
      <sz val="10"/>
      <color theme="10"/>
      <name val="Arial"/>
    </font>
    <font>
      <sz val="12"/>
      <color theme="1"/>
      <name val="Arial"/>
      <scheme val="minor"/>
    </font>
    <font>
      <sz val="10"/>
      <color rgb="FF0563C1"/>
      <name val="Arial"/>
    </font>
    <font>
      <sz val="10"/>
      <color rgb="FF274E13"/>
      <name val="Arial"/>
    </font>
    <font>
      <u/>
      <sz val="10"/>
      <color theme="10"/>
      <name val="Arial"/>
    </font>
    <font>
      <sz val="11"/>
      <color rgb="FF313131"/>
      <name val="Arial"/>
    </font>
    <font>
      <u/>
      <sz val="10"/>
      <color theme="10"/>
      <name val="Arial"/>
    </font>
    <font>
      <b/>
      <sz val="13"/>
      <color rgb="FF44546A"/>
      <name val="Arial"/>
    </font>
    <font>
      <sz val="10"/>
      <color rgb="FFFF0000"/>
      <name val="Arial"/>
    </font>
    <font>
      <u/>
      <sz val="10"/>
      <color rgb="FF0000FF"/>
      <name val="Arial"/>
    </font>
    <font>
      <u/>
      <sz val="10"/>
      <color theme="10"/>
      <name val="Arial"/>
    </font>
    <font>
      <b/>
      <sz val="14"/>
      <color theme="1"/>
      <name val="Arial"/>
    </font>
    <font>
      <sz val="14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DBDBD"/>
        <bgColor rgb="FFBDBDBD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9CC2E5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ACCCE9"/>
      </bottom>
      <diagonal/>
    </border>
  </borders>
  <cellStyleXfs count="1">
    <xf numFmtId="0" fontId="0" fillId="0" borderId="0"/>
  </cellStyleXfs>
  <cellXfs count="263">
    <xf numFmtId="0" fontId="0" fillId="0" borderId="0" xfId="0" applyFont="1" applyAlignment="1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/>
    <xf numFmtId="0" fontId="2" fillId="0" borderId="0" xfId="0" applyFont="1" applyAlignment="1"/>
    <xf numFmtId="0" fontId="2" fillId="0" borderId="0" xfId="0" applyFont="1" applyAlignment="1"/>
    <xf numFmtId="164" fontId="3" fillId="0" borderId="0" xfId="0" applyNumberFormat="1" applyFont="1" applyAlignment="1"/>
    <xf numFmtId="165" fontId="1" fillId="0" borderId="1" xfId="0" applyNumberFormat="1" applyFont="1" applyBorder="1"/>
    <xf numFmtId="0" fontId="4" fillId="2" borderId="0" xfId="0" applyFont="1" applyFill="1" applyAlignment="1"/>
    <xf numFmtId="0" fontId="5" fillId="3" borderId="1" xfId="0" applyFont="1" applyFill="1" applyBorder="1"/>
    <xf numFmtId="0" fontId="3" fillId="4" borderId="0" xfId="0" applyFont="1" applyFill="1"/>
    <xf numFmtId="0" fontId="2" fillId="0" borderId="0" xfId="0" applyFont="1"/>
    <xf numFmtId="0" fontId="1" fillId="3" borderId="1" xfId="0" applyFont="1" applyFill="1" applyBorder="1"/>
    <xf numFmtId="0" fontId="3" fillId="4" borderId="0" xfId="0" applyFont="1" applyFill="1" applyAlignment="1">
      <alignment horizontal="left"/>
    </xf>
    <xf numFmtId="0" fontId="1" fillId="3" borderId="1" xfId="0" applyFont="1" applyFill="1" applyBorder="1" applyAlignment="1"/>
    <xf numFmtId="0" fontId="3" fillId="4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164" fontId="3" fillId="4" borderId="0" xfId="0" applyNumberFormat="1" applyFont="1" applyFill="1" applyAlignment="1">
      <alignment horizontal="left" wrapText="1"/>
    </xf>
    <xf numFmtId="0" fontId="3" fillId="4" borderId="0" xfId="0" applyFont="1" applyFill="1" applyAlignment="1">
      <alignment wrapText="1"/>
    </xf>
    <xf numFmtId="0" fontId="1" fillId="5" borderId="1" xfId="0" applyFont="1" applyFill="1" applyBorder="1" applyAlignment="1"/>
    <xf numFmtId="0" fontId="3" fillId="4" borderId="2" xfId="0" applyFont="1" applyFill="1" applyBorder="1"/>
    <xf numFmtId="0" fontId="3" fillId="6" borderId="0" xfId="0" applyFont="1" applyFill="1" applyAlignment="1"/>
    <xf numFmtId="165" fontId="1" fillId="3" borderId="1" xfId="0" applyNumberFormat="1" applyFont="1" applyFill="1" applyBorder="1"/>
    <xf numFmtId="0" fontId="1" fillId="0" borderId="0" xfId="0" applyFont="1" applyAlignment="1"/>
    <xf numFmtId="164" fontId="3" fillId="0" borderId="0" xfId="0" applyNumberFormat="1" applyFont="1"/>
    <xf numFmtId="165" fontId="3" fillId="6" borderId="0" xfId="0" applyNumberFormat="1" applyFont="1" applyFill="1" applyAlignment="1">
      <alignment horizontal="left"/>
    </xf>
    <xf numFmtId="164" fontId="3" fillId="6" borderId="0" xfId="0" applyNumberFormat="1" applyFont="1" applyFill="1" applyAlignment="1">
      <alignment horizontal="left"/>
    </xf>
    <xf numFmtId="0" fontId="1" fillId="3" borderId="0" xfId="0" applyFont="1" applyFill="1" applyAlignment="1"/>
    <xf numFmtId="6" fontId="3" fillId="6" borderId="0" xfId="0" applyNumberFormat="1" applyFont="1" applyFill="1" applyAlignment="1">
      <alignment horizontal="left"/>
    </xf>
    <xf numFmtId="165" fontId="3" fillId="6" borderId="0" xfId="0" applyNumberFormat="1" applyFont="1" applyFill="1" applyAlignment="1">
      <alignment wrapText="1"/>
    </xf>
    <xf numFmtId="0" fontId="1" fillId="0" borderId="1" xfId="0" applyFont="1" applyBorder="1" applyAlignment="1">
      <alignment horizontal="left"/>
    </xf>
    <xf numFmtId="0" fontId="3" fillId="6" borderId="0" xfId="0" applyFont="1" applyFill="1"/>
    <xf numFmtId="0" fontId="1" fillId="0" borderId="0" xfId="0" applyFont="1"/>
    <xf numFmtId="0" fontId="3" fillId="7" borderId="0" xfId="0" applyFont="1" applyFill="1" applyAlignment="1"/>
    <xf numFmtId="0" fontId="1" fillId="3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0" xfId="0" applyFont="1" applyFill="1"/>
    <xf numFmtId="165" fontId="3" fillId="7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164" fontId="3" fillId="7" borderId="0" xfId="0" applyNumberFormat="1" applyFont="1" applyFill="1" applyAlignment="1">
      <alignment horizontal="left"/>
    </xf>
    <xf numFmtId="6" fontId="3" fillId="7" borderId="0" xfId="0" applyNumberFormat="1" applyFont="1" applyFill="1" applyAlignment="1">
      <alignment horizontal="left"/>
    </xf>
    <xf numFmtId="165" fontId="3" fillId="7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3" fillId="7" borderId="0" xfId="0" applyFont="1" applyFill="1"/>
    <xf numFmtId="9" fontId="2" fillId="3" borderId="0" xfId="0" applyNumberFormat="1" applyFont="1" applyFill="1"/>
    <xf numFmtId="0" fontId="2" fillId="0" borderId="3" xfId="0" applyFont="1" applyBorder="1" applyAlignment="1"/>
    <xf numFmtId="0" fontId="2" fillId="3" borderId="0" xfId="0" applyFont="1" applyFill="1"/>
    <xf numFmtId="166" fontId="1" fillId="3" borderId="0" xfId="0" applyNumberFormat="1" applyFont="1" applyFill="1" applyAlignment="1"/>
    <xf numFmtId="0" fontId="2" fillId="0" borderId="3" xfId="0" applyFont="1" applyBorder="1"/>
    <xf numFmtId="164" fontId="3" fillId="6" borderId="0" xfId="0" applyNumberFormat="1" applyFont="1" applyFill="1" applyAlignment="1">
      <alignment horizontal="left"/>
    </xf>
    <xf numFmtId="0" fontId="2" fillId="0" borderId="3" xfId="0" applyFont="1" applyBorder="1"/>
    <xf numFmtId="164" fontId="2" fillId="0" borderId="3" xfId="0" applyNumberFormat="1" applyFont="1" applyBorder="1"/>
    <xf numFmtId="0" fontId="7" fillId="6" borderId="0" xfId="0" applyFont="1" applyFill="1"/>
    <xf numFmtId="164" fontId="1" fillId="3" borderId="0" xfId="0" applyNumberFormat="1" applyFont="1" applyFill="1" applyAlignment="1"/>
    <xf numFmtId="164" fontId="3" fillId="7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/>
    <xf numFmtId="17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164" fontId="2" fillId="0" borderId="3" xfId="0" applyNumberFormat="1" applyFont="1" applyBorder="1" applyAlignment="1"/>
    <xf numFmtId="0" fontId="8" fillId="2" borderId="0" xfId="0" applyFont="1" applyFill="1"/>
    <xf numFmtId="164" fontId="3" fillId="2" borderId="0" xfId="0" applyNumberFormat="1" applyFont="1" applyFill="1" applyAlignment="1"/>
    <xf numFmtId="0" fontId="9" fillId="0" borderId="3" xfId="0" applyFont="1" applyBorder="1" applyAlignment="1"/>
    <xf numFmtId="0" fontId="9" fillId="0" borderId="3" xfId="0" applyFont="1" applyBorder="1"/>
    <xf numFmtId="0" fontId="9" fillId="0" borderId="3" xfId="0" applyFont="1" applyBorder="1"/>
    <xf numFmtId="164" fontId="9" fillId="0" borderId="3" xfId="0" applyNumberFormat="1" applyFont="1" applyBorder="1"/>
    <xf numFmtId="0" fontId="2" fillId="0" borderId="0" xfId="0" applyFont="1" applyAlignment="1"/>
    <xf numFmtId="164" fontId="3" fillId="2" borderId="0" xfId="0" applyNumberFormat="1" applyFont="1" applyFill="1"/>
    <xf numFmtId="6" fontId="3" fillId="7" borderId="0" xfId="0" applyNumberFormat="1" applyFont="1" applyFill="1" applyAlignment="1">
      <alignment horizontal="left"/>
    </xf>
    <xf numFmtId="0" fontId="3" fillId="6" borderId="0" xfId="0" applyFont="1" applyFill="1" applyAlignment="1"/>
    <xf numFmtId="6" fontId="3" fillId="6" borderId="0" xfId="0" applyNumberFormat="1" applyFont="1" applyFill="1" applyAlignment="1">
      <alignment horizontal="left"/>
    </xf>
    <xf numFmtId="9" fontId="3" fillId="2" borderId="0" xfId="0" applyNumberFormat="1" applyFont="1" applyFill="1"/>
    <xf numFmtId="0" fontId="3" fillId="0" borderId="0" xfId="0" applyFont="1"/>
    <xf numFmtId="165" fontId="2" fillId="2" borderId="0" xfId="0" applyNumberFormat="1" applyFont="1" applyFill="1"/>
    <xf numFmtId="0" fontId="7" fillId="7" borderId="0" xfId="0" applyFont="1" applyFill="1"/>
    <xf numFmtId="0" fontId="2" fillId="6" borderId="0" xfId="0" applyFont="1" applyFill="1" applyAlignment="1"/>
    <xf numFmtId="0" fontId="6" fillId="6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167" fontId="3" fillId="2" borderId="0" xfId="0" applyNumberFormat="1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17" fontId="3" fillId="2" borderId="4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10" fillId="2" borderId="0" xfId="0" applyFont="1" applyFill="1" applyAlignment="1"/>
    <xf numFmtId="165" fontId="3" fillId="6" borderId="0" xfId="0" applyNumberFormat="1" applyFont="1" applyFill="1" applyAlignment="1"/>
    <xf numFmtId="168" fontId="3" fillId="6" borderId="0" xfId="0" applyNumberFormat="1" applyFont="1" applyFill="1" applyAlignment="1">
      <alignment horizontal="left"/>
    </xf>
    <xf numFmtId="0" fontId="7" fillId="0" borderId="0" xfId="0" applyFont="1"/>
    <xf numFmtId="165" fontId="3" fillId="7" borderId="0" xfId="0" applyNumberFormat="1" applyFont="1" applyFill="1" applyAlignment="1"/>
    <xf numFmtId="0" fontId="3" fillId="6" borderId="0" xfId="0" applyFont="1" applyFill="1"/>
    <xf numFmtId="6" fontId="11" fillId="6" borderId="0" xfId="0" applyNumberFormat="1" applyFont="1" applyFill="1" applyAlignment="1">
      <alignment horizontal="left"/>
    </xf>
    <xf numFmtId="0" fontId="3" fillId="7" borderId="0" xfId="0" applyFont="1" applyFill="1"/>
    <xf numFmtId="6" fontId="11" fillId="7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2" borderId="0" xfId="0" applyFont="1" applyFill="1" applyAlignment="1"/>
    <xf numFmtId="17" fontId="3" fillId="2" borderId="4" xfId="0" applyNumberFormat="1" applyFont="1" applyFill="1" applyBorder="1" applyAlignment="1">
      <alignment horizontal="right"/>
    </xf>
    <xf numFmtId="0" fontId="3" fillId="7" borderId="0" xfId="0" applyFont="1" applyFill="1"/>
    <xf numFmtId="0" fontId="12" fillId="2" borderId="0" xfId="0" applyFont="1" applyFill="1"/>
    <xf numFmtId="164" fontId="3" fillId="8" borderId="0" xfId="0" applyNumberFormat="1" applyFont="1" applyFill="1" applyAlignment="1">
      <alignment horizontal="left"/>
    </xf>
    <xf numFmtId="6" fontId="3" fillId="8" borderId="0" xfId="0" applyNumberFormat="1" applyFont="1" applyFill="1" applyAlignment="1">
      <alignment horizontal="left"/>
    </xf>
    <xf numFmtId="0" fontId="13" fillId="7" borderId="0" xfId="0" applyFont="1" applyFill="1" applyAlignment="1"/>
    <xf numFmtId="0" fontId="2" fillId="7" borderId="0" xfId="0" applyFont="1" applyFill="1" applyAlignment="1"/>
    <xf numFmtId="168" fontId="3" fillId="7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8" borderId="0" xfId="0" applyFont="1" applyFill="1" applyAlignment="1"/>
    <xf numFmtId="0" fontId="6" fillId="8" borderId="0" xfId="0" applyFont="1" applyFill="1" applyAlignment="1">
      <alignment horizontal="left"/>
    </xf>
    <xf numFmtId="0" fontId="3" fillId="8" borderId="0" xfId="0" applyFont="1" applyFill="1" applyAlignment="1">
      <alignment horizontal="right"/>
    </xf>
    <xf numFmtId="0" fontId="2" fillId="8" borderId="0" xfId="0" applyFont="1" applyFill="1"/>
    <xf numFmtId="164" fontId="3" fillId="8" borderId="0" xfId="0" applyNumberFormat="1" applyFont="1" applyFill="1" applyAlignment="1"/>
    <xf numFmtId="164" fontId="3" fillId="8" borderId="0" xfId="0" applyNumberFormat="1" applyFont="1" applyFill="1"/>
    <xf numFmtId="164" fontId="4" fillId="8" borderId="0" xfId="0" applyNumberFormat="1" applyFont="1" applyFill="1" applyAlignment="1">
      <alignment horizontal="right"/>
    </xf>
    <xf numFmtId="168" fontId="2" fillId="0" borderId="0" xfId="0" applyNumberFormat="1" applyFont="1"/>
    <xf numFmtId="0" fontId="3" fillId="8" borderId="0" xfId="0" applyFont="1" applyFill="1" applyAlignment="1">
      <alignment horizontal="left"/>
    </xf>
    <xf numFmtId="164" fontId="3" fillId="8" borderId="0" xfId="0" applyNumberFormat="1" applyFont="1" applyFill="1" applyAlignment="1">
      <alignment horizontal="left"/>
    </xf>
    <xf numFmtId="164" fontId="3" fillId="8" borderId="0" xfId="0" applyNumberFormat="1" applyFont="1" applyFill="1" applyAlignment="1">
      <alignment horizontal="left"/>
    </xf>
    <xf numFmtId="0" fontId="2" fillId="6" borderId="0" xfId="0" applyFont="1" applyFill="1" applyAlignment="1"/>
    <xf numFmtId="0" fontId="3" fillId="2" borderId="0" xfId="0" applyFont="1" applyFill="1" applyAlignment="1">
      <alignment horizontal="right"/>
    </xf>
    <xf numFmtId="0" fontId="2" fillId="0" borderId="0" xfId="0" applyFont="1" applyAlignment="1"/>
    <xf numFmtId="0" fontId="3" fillId="7" borderId="5" xfId="0" applyFont="1" applyFill="1" applyBorder="1"/>
    <xf numFmtId="0" fontId="3" fillId="7" borderId="6" xfId="0" applyFont="1" applyFill="1" applyBorder="1"/>
    <xf numFmtId="168" fontId="3" fillId="7" borderId="6" xfId="0" applyNumberFormat="1" applyFont="1" applyFill="1" applyBorder="1" applyAlignment="1">
      <alignment horizontal="left"/>
    </xf>
    <xf numFmtId="165" fontId="3" fillId="7" borderId="6" xfId="0" applyNumberFormat="1" applyFont="1" applyFill="1" applyBorder="1" applyAlignment="1">
      <alignment horizontal="left"/>
    </xf>
    <xf numFmtId="0" fontId="11" fillId="9" borderId="0" xfId="0" applyFont="1" applyFill="1" applyAlignment="1">
      <alignment horizontal="left"/>
    </xf>
    <xf numFmtId="0" fontId="11" fillId="9" borderId="0" xfId="0" applyFont="1" applyFill="1" applyAlignment="1">
      <alignment horizontal="left"/>
    </xf>
    <xf numFmtId="164" fontId="11" fillId="9" borderId="0" xfId="0" applyNumberFormat="1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164" fontId="11" fillId="7" borderId="0" xfId="0" applyNumberFormat="1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11" fillId="6" borderId="0" xfId="0" applyFont="1" applyFill="1" applyAlignment="1">
      <alignment horizontal="left"/>
    </xf>
    <xf numFmtId="164" fontId="11" fillId="6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2" fillId="2" borderId="0" xfId="0" applyNumberFormat="1" applyFont="1" applyFill="1" applyAlignment="1"/>
    <xf numFmtId="17" fontId="3" fillId="2" borderId="0" xfId="0" applyNumberFormat="1" applyFont="1" applyFill="1" applyAlignment="1">
      <alignment horizontal="right"/>
    </xf>
    <xf numFmtId="169" fontId="2" fillId="0" borderId="0" xfId="0" applyNumberFormat="1" applyFont="1" applyAlignment="1">
      <alignment horizontal="left"/>
    </xf>
    <xf numFmtId="164" fontId="3" fillId="8" borderId="0" xfId="0" applyNumberFormat="1" applyFont="1" applyFill="1" applyAlignment="1">
      <alignment horizontal="left"/>
    </xf>
    <xf numFmtId="0" fontId="3" fillId="2" borderId="0" xfId="0" applyFont="1" applyFill="1" applyAlignment="1"/>
    <xf numFmtId="0" fontId="3" fillId="2" borderId="0" xfId="0" applyFont="1" applyFill="1" applyAlignment="1"/>
    <xf numFmtId="0" fontId="3" fillId="2" borderId="0" xfId="0" applyFont="1" applyFill="1"/>
    <xf numFmtId="0" fontId="3" fillId="2" borderId="0" xfId="0" applyFont="1" applyFill="1"/>
    <xf numFmtId="0" fontId="3" fillId="2" borderId="0" xfId="0" applyFont="1" applyFill="1" applyAlignment="1"/>
    <xf numFmtId="164" fontId="3" fillId="2" borderId="0" xfId="0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4" fontId="3" fillId="10" borderId="0" xfId="0" applyNumberFormat="1" applyFont="1" applyFill="1" applyAlignment="1">
      <alignment horizontal="left"/>
    </xf>
    <xf numFmtId="0" fontId="2" fillId="10" borderId="0" xfId="0" applyFont="1" applyFill="1"/>
    <xf numFmtId="0" fontId="2" fillId="10" borderId="0" xfId="0" applyFont="1" applyFill="1" applyAlignment="1"/>
    <xf numFmtId="17" fontId="3" fillId="10" borderId="4" xfId="0" applyNumberFormat="1" applyFont="1" applyFill="1" applyBorder="1" applyAlignment="1">
      <alignment horizontal="right"/>
    </xf>
    <xf numFmtId="0" fontId="3" fillId="10" borderId="0" xfId="0" applyFont="1" applyFill="1" applyAlignment="1">
      <alignment horizontal="right"/>
    </xf>
    <xf numFmtId="164" fontId="3" fillId="10" borderId="0" xfId="0" applyNumberFormat="1" applyFont="1" applyFill="1" applyAlignment="1"/>
    <xf numFmtId="0" fontId="2" fillId="10" borderId="0" xfId="0" applyFont="1" applyFill="1" applyAlignment="1"/>
    <xf numFmtId="164" fontId="3" fillId="10" borderId="0" xfId="0" applyNumberFormat="1" applyFont="1" applyFill="1"/>
    <xf numFmtId="9" fontId="3" fillId="10" borderId="0" xfId="0" applyNumberFormat="1" applyFont="1" applyFill="1"/>
    <xf numFmtId="165" fontId="2" fillId="10" borderId="0" xfId="0" applyNumberFormat="1" applyFont="1" applyFill="1"/>
    <xf numFmtId="166" fontId="3" fillId="10" borderId="0" xfId="0" applyNumberFormat="1" applyFont="1" applyFill="1" applyAlignment="1">
      <alignment horizontal="right"/>
    </xf>
    <xf numFmtId="0" fontId="3" fillId="10" borderId="0" xfId="0" applyFont="1" applyFill="1" applyAlignment="1">
      <alignment horizontal="left"/>
    </xf>
    <xf numFmtId="164" fontId="3" fillId="10" borderId="0" xfId="0" applyNumberFormat="1" applyFont="1" applyFill="1" applyAlignment="1">
      <alignment horizontal="left"/>
    </xf>
    <xf numFmtId="0" fontId="3" fillId="10" borderId="0" xfId="0" applyFont="1" applyFill="1" applyAlignment="1">
      <alignment horizontal="left"/>
    </xf>
    <xf numFmtId="164" fontId="3" fillId="10" borderId="0" xfId="0" applyNumberFormat="1" applyFont="1" applyFill="1" applyAlignment="1">
      <alignment horizontal="left"/>
    </xf>
    <xf numFmtId="0" fontId="14" fillId="0" borderId="0" xfId="0" applyFont="1"/>
    <xf numFmtId="0" fontId="15" fillId="0" borderId="7" xfId="0" applyFont="1" applyBorder="1"/>
    <xf numFmtId="0" fontId="15" fillId="0" borderId="7" xfId="0" applyFont="1" applyBorder="1" applyAlignment="1">
      <alignment horizontal="left"/>
    </xf>
    <xf numFmtId="170" fontId="15" fillId="0" borderId="0" xfId="0" applyNumberFormat="1" applyFont="1"/>
    <xf numFmtId="0" fontId="15" fillId="0" borderId="7" xfId="0" applyFont="1" applyBorder="1" applyAlignment="1">
      <alignment wrapText="1"/>
    </xf>
    <xf numFmtId="0" fontId="2" fillId="0" borderId="0" xfId="0" applyFont="1" applyAlignment="1">
      <alignment horizontal="left"/>
    </xf>
    <xf numFmtId="44" fontId="3" fillId="0" borderId="0" xfId="0" applyNumberFormat="1" applyFont="1"/>
    <xf numFmtId="170" fontId="3" fillId="0" borderId="0" xfId="0" applyNumberFormat="1" applyFont="1"/>
    <xf numFmtId="44" fontId="3" fillId="0" borderId="4" xfId="0" applyNumberFormat="1" applyFont="1" applyBorder="1" applyAlignment="1"/>
    <xf numFmtId="0" fontId="3" fillId="10" borderId="0" xfId="0" applyFont="1" applyFill="1" applyAlignment="1"/>
    <xf numFmtId="0" fontId="3" fillId="10" borderId="0" xfId="0" applyFont="1" applyFill="1"/>
    <xf numFmtId="44" fontId="3" fillId="10" borderId="4" xfId="0" applyNumberFormat="1" applyFont="1" applyFill="1" applyBorder="1"/>
    <xf numFmtId="170" fontId="3" fillId="10" borderId="0" xfId="0" applyNumberFormat="1" applyFont="1" applyFill="1"/>
    <xf numFmtId="0" fontId="3" fillId="10" borderId="4" xfId="0" applyFont="1" applyFill="1" applyBorder="1"/>
    <xf numFmtId="0" fontId="3" fillId="10" borderId="4" xfId="0" applyFont="1" applyFill="1" applyBorder="1" applyAlignment="1">
      <alignment horizontal="left"/>
    </xf>
    <xf numFmtId="0" fontId="3" fillId="10" borderId="4" xfId="0" applyFont="1" applyFill="1" applyBorder="1" applyAlignment="1">
      <alignment horizontal="left"/>
    </xf>
    <xf numFmtId="170" fontId="3" fillId="10" borderId="4" xfId="0" applyNumberFormat="1" applyFont="1" applyFill="1" applyBorder="1"/>
    <xf numFmtId="44" fontId="3" fillId="10" borderId="4" xfId="0" applyNumberFormat="1" applyFont="1" applyFill="1" applyBorder="1" applyAlignment="1"/>
    <xf numFmtId="0" fontId="3" fillId="11" borderId="4" xfId="0" applyFont="1" applyFill="1" applyBorder="1" applyAlignment="1">
      <alignment horizontal="left"/>
    </xf>
    <xf numFmtId="0" fontId="3" fillId="11" borderId="4" xfId="0" applyFont="1" applyFill="1" applyBorder="1"/>
    <xf numFmtId="0" fontId="3" fillId="11" borderId="4" xfId="0" applyFont="1" applyFill="1" applyBorder="1" applyAlignment="1">
      <alignment horizontal="left"/>
    </xf>
    <xf numFmtId="44" fontId="3" fillId="11" borderId="4" xfId="0" applyNumberFormat="1" applyFont="1" applyFill="1" applyBorder="1" applyAlignment="1"/>
    <xf numFmtId="170" fontId="3" fillId="11" borderId="4" xfId="0" applyNumberFormat="1" applyFont="1" applyFill="1" applyBorder="1"/>
    <xf numFmtId="0" fontId="2" fillId="11" borderId="0" xfId="0" applyFont="1" applyFill="1"/>
    <xf numFmtId="0" fontId="3" fillId="11" borderId="4" xfId="0" applyFont="1" applyFill="1" applyBorder="1" applyAlignment="1"/>
    <xf numFmtId="0" fontId="3" fillId="10" borderId="4" xfId="0" applyFont="1" applyFill="1" applyBorder="1" applyAlignment="1"/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44" fontId="3" fillId="2" borderId="4" xfId="0" applyNumberFormat="1" applyFont="1" applyFill="1" applyBorder="1" applyAlignment="1"/>
    <xf numFmtId="0" fontId="3" fillId="2" borderId="4" xfId="0" applyFont="1" applyFill="1" applyBorder="1"/>
    <xf numFmtId="170" fontId="3" fillId="2" borderId="4" xfId="0" applyNumberFormat="1" applyFont="1" applyFill="1" applyBorder="1"/>
    <xf numFmtId="0" fontId="2" fillId="11" borderId="0" xfId="0" applyFont="1" applyFill="1" applyAlignment="1"/>
    <xf numFmtId="0" fontId="4" fillId="2" borderId="4" xfId="0" applyFont="1" applyFill="1" applyBorder="1" applyAlignment="1"/>
    <xf numFmtId="0" fontId="4" fillId="2" borderId="4" xfId="0" applyFont="1" applyFill="1" applyBorder="1" applyAlignment="1">
      <alignment horizontal="left"/>
    </xf>
    <xf numFmtId="0" fontId="4" fillId="0" borderId="0" xfId="0" applyFont="1" applyAlignment="1"/>
    <xf numFmtId="0" fontId="4" fillId="2" borderId="4" xfId="0" applyFont="1" applyFill="1" applyBorder="1" applyAlignment="1"/>
    <xf numFmtId="164" fontId="16" fillId="2" borderId="0" xfId="0" applyNumberFormat="1" applyFont="1" applyFill="1" applyAlignment="1"/>
    <xf numFmtId="0" fontId="2" fillId="2" borderId="4" xfId="0" applyFont="1" applyFill="1" applyBorder="1" applyAlignment="1"/>
    <xf numFmtId="0" fontId="2" fillId="2" borderId="4" xfId="0" applyFont="1" applyFill="1" applyBorder="1"/>
    <xf numFmtId="164" fontId="3" fillId="2" borderId="4" xfId="0" applyNumberFormat="1" applyFont="1" applyFill="1" applyBorder="1"/>
    <xf numFmtId="0" fontId="3" fillId="10" borderId="0" xfId="0" applyFont="1" applyFill="1" applyAlignment="1"/>
    <xf numFmtId="17" fontId="3" fillId="10" borderId="0" xfId="0" applyNumberFormat="1" applyFont="1" applyFill="1" applyAlignment="1">
      <alignment horizontal="right"/>
    </xf>
    <xf numFmtId="0" fontId="7" fillId="10" borderId="0" xfId="0" applyFont="1" applyFill="1" applyAlignment="1">
      <alignment horizontal="right"/>
    </xf>
    <xf numFmtId="0" fontId="3" fillId="10" borderId="0" xfId="0" applyFont="1" applyFill="1"/>
    <xf numFmtId="164" fontId="7" fillId="10" borderId="0" xfId="0" applyNumberFormat="1" applyFont="1" applyFill="1" applyAlignment="1">
      <alignment horizontal="left"/>
    </xf>
    <xf numFmtId="0" fontId="7" fillId="10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/>
    </xf>
    <xf numFmtId="164" fontId="7" fillId="10" borderId="0" xfId="0" applyNumberFormat="1" applyFont="1" applyFill="1" applyAlignment="1">
      <alignment horizontal="left"/>
    </xf>
    <xf numFmtId="0" fontId="13" fillId="8" borderId="0" xfId="0" applyFont="1" applyFill="1" applyAlignment="1"/>
    <xf numFmtId="0" fontId="2" fillId="8" borderId="0" xfId="0" applyFont="1" applyFill="1" applyAlignment="1"/>
    <xf numFmtId="17" fontId="3" fillId="8" borderId="0" xfId="0" applyNumberFormat="1" applyFont="1" applyFill="1" applyAlignment="1">
      <alignment horizontal="right"/>
    </xf>
    <xf numFmtId="0" fontId="4" fillId="2" borderId="0" xfId="0" applyFont="1" applyFill="1" applyAlignment="1"/>
    <xf numFmtId="0" fontId="3" fillId="10" borderId="0" xfId="0" applyFont="1" applyFill="1" applyAlignment="1">
      <alignment horizontal="right"/>
    </xf>
    <xf numFmtId="0" fontId="4" fillId="10" borderId="0" xfId="0" applyFont="1" applyFill="1" applyAlignment="1"/>
    <xf numFmtId="0" fontId="3" fillId="8" borderId="0" xfId="0" applyFont="1" applyFill="1" applyAlignment="1"/>
    <xf numFmtId="0" fontId="3" fillId="8" borderId="0" xfId="0" applyFont="1" applyFill="1" applyAlignment="1"/>
    <xf numFmtId="0" fontId="2" fillId="2" borderId="4" xfId="0" applyFont="1" applyFill="1" applyBorder="1" applyAlignment="1"/>
    <xf numFmtId="164" fontId="3" fillId="10" borderId="0" xfId="0" applyNumberFormat="1" applyFont="1" applyFill="1" applyAlignment="1">
      <alignment horizontal="left"/>
    </xf>
    <xf numFmtId="0" fontId="3" fillId="10" borderId="0" xfId="0" applyFont="1" applyFill="1" applyAlignment="1"/>
    <xf numFmtId="17" fontId="3" fillId="10" borderId="4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left"/>
    </xf>
    <xf numFmtId="0" fontId="17" fillId="10" borderId="0" xfId="0" applyFont="1" applyFill="1"/>
    <xf numFmtId="17" fontId="3" fillId="8" borderId="4" xfId="0" applyNumberFormat="1" applyFont="1" applyFill="1" applyBorder="1" applyAlignment="1">
      <alignment horizontal="right"/>
    </xf>
    <xf numFmtId="0" fontId="4" fillId="8" borderId="0" xfId="0" applyFont="1" applyFill="1" applyAlignment="1"/>
    <xf numFmtId="167" fontId="3" fillId="8" borderId="0" xfId="0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6" fontId="3" fillId="2" borderId="0" xfId="0" applyNumberFormat="1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/>
    <xf numFmtId="164" fontId="4" fillId="2" borderId="0" xfId="0" applyNumberFormat="1" applyFont="1" applyFill="1" applyAlignment="1"/>
    <xf numFmtId="9" fontId="4" fillId="2" borderId="0" xfId="0" applyNumberFormat="1" applyFont="1" applyFill="1" applyAlignment="1"/>
    <xf numFmtId="166" fontId="4" fillId="2" borderId="0" xfId="0" applyNumberFormat="1" applyFont="1" applyFill="1" applyAlignment="1"/>
    <xf numFmtId="164" fontId="4" fillId="2" borderId="0" xfId="0" applyNumberFormat="1" applyFont="1" applyFill="1" applyAlignment="1"/>
    <xf numFmtId="164" fontId="4" fillId="2" borderId="0" xfId="0" applyNumberFormat="1" applyFont="1" applyFill="1" applyAlignment="1"/>
    <xf numFmtId="164" fontId="4" fillId="2" borderId="0" xfId="0" applyNumberFormat="1" applyFont="1" applyFill="1" applyAlignment="1"/>
    <xf numFmtId="165" fontId="3" fillId="2" borderId="0" xfId="0" applyNumberFormat="1" applyFont="1" applyFill="1" applyAlignment="1"/>
    <xf numFmtId="164" fontId="3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/>
    <xf numFmtId="165" fontId="3" fillId="2" borderId="0" xfId="0" applyNumberFormat="1" applyFont="1" applyFill="1"/>
    <xf numFmtId="0" fontId="18" fillId="2" borderId="0" xfId="0" applyFont="1" applyFill="1" applyAlignment="1"/>
    <xf numFmtId="164" fontId="3" fillId="2" borderId="0" xfId="0" applyNumberFormat="1" applyFont="1" applyFill="1" applyAlignment="1">
      <alignment horizontal="right"/>
    </xf>
    <xf numFmtId="0" fontId="19" fillId="2" borderId="0" xfId="0" applyFont="1" applyFill="1"/>
    <xf numFmtId="0" fontId="19" fillId="2" borderId="0" xfId="0" applyFont="1" applyFill="1" applyAlignment="1"/>
    <xf numFmtId="0" fontId="19" fillId="2" borderId="0" xfId="0" applyFont="1" applyFill="1" applyAlignment="1">
      <alignment horizontal="right"/>
    </xf>
    <xf numFmtId="164" fontId="19" fillId="2" borderId="0" xfId="0" applyNumberFormat="1" applyFont="1" applyFill="1"/>
    <xf numFmtId="164" fontId="19" fillId="2" borderId="0" xfId="0" applyNumberFormat="1" applyFont="1" applyFill="1" applyAlignment="1"/>
    <xf numFmtId="166" fontId="19" fillId="2" borderId="0" xfId="0" applyNumberFormat="1" applyFont="1" applyFill="1"/>
    <xf numFmtId="164" fontId="20" fillId="2" borderId="0" xfId="0" applyNumberFormat="1" applyFont="1" applyFill="1" applyAlignment="1"/>
    <xf numFmtId="164" fontId="19" fillId="0" borderId="0" xfId="0" applyNumberFormat="1" applyFont="1"/>
    <xf numFmtId="164" fontId="20" fillId="2" borderId="0" xfId="0" applyNumberFormat="1" applyFont="1" applyFill="1"/>
    <xf numFmtId="166" fontId="20" fillId="2" borderId="0" xfId="0" applyNumberFormat="1" applyFont="1" applyFill="1"/>
    <xf numFmtId="0" fontId="19" fillId="2" borderId="0" xfId="0" applyFont="1" applyFill="1" applyAlignment="1"/>
    <xf numFmtId="164" fontId="20" fillId="0" borderId="0" xfId="0" applyNumberFormat="1" applyFont="1" applyAlignment="1"/>
    <xf numFmtId="0" fontId="3" fillId="0" borderId="0" xfId="0" applyFont="1" applyAlignment="1">
      <alignment horizontal="left"/>
    </xf>
  </cellXfs>
  <cellStyles count="1">
    <cellStyle name="Normal" xfId="0" builtinId="0"/>
  </cellStyles>
  <dxfs count="36">
    <dxf>
      <font>
        <color rgb="FFFF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Member_Status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Bereavment Collection-style" pivot="0" count="2" xr9:uid="{00000000-0011-0000-FFFF-FFFF01000000}">
      <tableStyleElement type="firstRowStripe" dxfId="32"/>
      <tableStyleElement type="secondRowStripe" dxfId="31"/>
    </tableStyle>
    <tableStyle name="Google Sheets Pivot Table Style" table="0" count="12" xr9:uid="{00000000-0011-0000-FFFF-FFFF02000000}">
      <tableStyleElement type="wholeTable" dxfId="30"/>
      <tableStyleElement type="headerRow" dxfId="23"/>
      <tableStyleElement type="totalRow" dxfId="19"/>
      <tableStyleElement type="firstSubtotalRow" dxfId="22"/>
      <tableStyleElement type="secondSubtotalRow" dxfId="21"/>
      <tableStyleElement type="thirdSubtotalRow" dxfId="20"/>
      <tableStyleElement type="firstColumnSubheading" dxfId="26"/>
      <tableStyleElement type="secondColumnSubheading" dxfId="25"/>
      <tableStyleElement type="thirdColumnSubheading" dxfId="24"/>
      <tableStyleElement type="firstRowSubheading" dxfId="29"/>
      <tableStyleElement type="secondRowSubheading" dxfId="28"/>
      <tableStyleElement type="thirdRowSubheading" dxfId="27"/>
    </tableStyle>
    <tableStyle name="contacts-style" pivot="0" count="3" xr9:uid="{00000000-0011-0000-FFFF-FFFF03000000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pivotCacheDefinition" Target="pivotCache/pivotCacheDefinition4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pivotCacheDefinition" Target="pivotCache/pivotCacheDefinition3.xml" /><Relationship Id="rId4" Type="http://schemas.openxmlformats.org/officeDocument/2006/relationships/worksheet" Target="worksheets/sheet4.xml" /><Relationship Id="rId9" Type="http://schemas.openxmlformats.org/officeDocument/2006/relationships/pivotCacheDefinition" Target="pivotCache/pivotCacheDefinition2.xml" /><Relationship Id="rId14" Type="http://schemas.openxmlformats.org/officeDocument/2006/relationships/sharedStrings" Target="sharedStrings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0000000}">
  <cacheSource type="worksheet">
    <worksheetSource ref="A1:BD148" sheet="Member_Status"/>
  </cacheSource>
  <cacheFields count="56">
    <cacheField name="Status" numFmtId="0">
      <sharedItems containsBlank="1" count="5">
        <s v="Member"/>
        <s v="other income"/>
        <s v="expense"/>
        <s v="Balance"/>
        <m/>
      </sharedItems>
    </cacheField>
    <cacheField name="Title" numFmtId="0">
      <sharedItems containsBlank="1" count="10">
        <s v="Mrs."/>
        <s v="Mr."/>
        <s v="Pastor"/>
        <s v="Ms."/>
        <s v="Dr."/>
        <s v="Papa"/>
        <s v="Chief Mrs."/>
        <s v="Chief"/>
        <s v="na"/>
        <m/>
      </sharedItems>
    </cacheField>
    <cacheField name="Last" numFmtId="0">
      <sharedItems containsBlank="1" count="61">
        <s v="Abada"/>
        <s v="Agbara"/>
        <s v="Aguele"/>
        <s v="Akaba"/>
        <s v="Akporee"/>
        <s v="Alawuru"/>
        <s v="Amegee"/>
        <s v="Asidi"/>
        <s v="Atori"/>
        <s v="Chiefredo"/>
        <s v="Dilworth"/>
        <s v="Eghwofobe"/>
        <s v="Ejafiavwo"/>
        <s v="Emadamerho"/>
        <s v="Emekpe"/>
        <s v="Emetiyoma"/>
        <s v="Eruoto"/>
        <s v="Esegine"/>
        <s v="Evwaraye"/>
        <s v="George "/>
        <s v="Ighofose"/>
        <s v="Ikaji"/>
        <s v="Isiorho"/>
        <s v="Minor"/>
        <s v="Nana"/>
        <s v="Ngene"/>
        <s v="Obi"/>
        <s v="Odjugo"/>
        <s v="Ojugo"/>
        <s v="Oghoufo"/>
        <s v="Ojaruega"/>
        <s v="Okagbare"/>
        <s v="Okere"/>
        <s v="Okoko"/>
        <s v="Oleita"/>
        <s v="Onokpikini"/>
        <s v="Onomake"/>
        <s v="Onosode"/>
        <s v="Onyejiaka"/>
        <s v="Orhorhoro"/>
        <s v="Ozorewor"/>
        <s v="Scott-Emuakpor"/>
        <s v="Toweh"/>
        <s v="Uduchukwu"/>
        <s v="Ukavwe"/>
        <s v="Ukuyoma"/>
        <s v="Wanogho"/>
        <s v="Warrence"/>
        <s v="Meeting"/>
        <s v="Invitation"/>
        <s v="YAC fundraiser"/>
        <s v="Insurance premiums"/>
        <s v="Wrapper payments"/>
        <s v="UPUA Raffle tickets"/>
        <s v="Bereavement Warrence P."/>
        <s v="Bereavement Toweh"/>
        <s v="Hosting expenses"/>
        <m/>
        <s v="Payments"/>
        <s v="Total"/>
        <s v="Account"/>
      </sharedItems>
    </cacheField>
    <cacheField name="First" numFmtId="0">
      <sharedItems containsBlank="1" count="110">
        <s v="Evi"/>
        <s v="Otuke"/>
        <s v="Onome"/>
        <s v="Omolara"/>
        <s v="Sarah"/>
        <s v="Maureen"/>
        <s v="Monday"/>
        <s v="Emudiaga"/>
        <s v="Precious"/>
        <s v="Ruona"/>
        <s v="Fejiro"/>
        <s v="Victoria"/>
        <s v="Merit"/>
        <s v="Aghogho"/>
        <s v="Ngozi"/>
        <s v="Robinson"/>
        <s v="Krishawn"/>
        <s v="Belief"/>
        <s v="Enovwo"/>
        <s v="Kwesi"/>
        <s v="Jude"/>
        <s v="Johnson"/>
        <s v="Rebecca"/>
        <s v="Laura Adejoke"/>
        <s v="Tive"/>
        <s v="Lovette"/>
        <s v="Ochuko"/>
        <s v="Theresa"/>
        <s v="Kehinde"/>
        <s v="Annete-Onoriode"/>
        <s v="Edewor"/>
        <s v="Tessy"/>
        <s v="Jeff"/>
        <s v="Abigail Enaibre"/>
        <s v="Emuobonuvie"/>
        <s v="Julie"/>
        <s v="Joeseph Efe"/>
        <s v="Christina"/>
        <s v="Vera"/>
        <s v="Anthonia"/>
        <s v="Benson"/>
        <s v="Emuobosan"/>
        <s v="Onoerhime"/>
        <s v="Prince"/>
        <s v="Voke"/>
        <s v="Robert"/>
        <s v="Bruno"/>
        <s v="Agnes"/>
        <s v="Jones"/>
        <s v="Stella"/>
        <s v="Eguono"/>
        <s v="Kelvin"/>
        <s v="Ovieh"/>
        <s v="Oghogho"/>
        <s v="Terobinse"/>
        <s v="Daniel"/>
        <s v="Florence"/>
        <s v="Odiri"/>
        <s v="Francis Onoriode"/>
        <s v="Pedro"/>
        <s v="Tochukwu"/>
        <s v="Onagite"/>
        <s v="Felicia"/>
        <s v="Robinson "/>
        <s v="Joshua"/>
        <s v="Matthew"/>
        <s v="Gladys"/>
        <s v="Godfrey"/>
        <s v="Paul"/>
        <s v="Welcome Support"/>
        <s v="Lovette George"/>
        <s v="Dr Nana's contribution"/>
        <s v="Collected to date"/>
        <s v="paid by Akaba/Alawuru"/>
        <s v="Owerri"/>
        <s v="Orhorho"/>
        <s v="Theresa Ikajii"/>
        <m/>
        <s v="hosting checks"/>
        <s v="Wrapper Payment"/>
        <s v="Exco Birthday Gift"/>
        <s v="Ikwanu Umuahia Association (Owerri)"/>
        <s v="Fundraiser raffle &amp; invite"/>
        <s v="Fundraiser DJ"/>
        <s v="UPUMI FundRaiser Venue"/>
        <s v="UPUA Convention donation"/>
        <s v="UPUA Raffle tickets pay"/>
        <s v="July 4th Canopy Naigirain foundation "/>
        <s v="UPUMI full page AD UPUA 24 convention"/>
        <s v="UPUA Dues"/>
        <s v="Bereavement Payout Warrence"/>
        <s v="Insurance Premiums"/>
        <s v="Tax services"/>
        <s v="for memebers support"/>
        <s v="Wedding gifts"/>
        <s v="UPUA Life insurance"/>
        <s v="UPUA convention reimbursment"/>
        <s v="UPUA membership dues"/>
        <s v="Kids Christmas Gifts"/>
        <s v="Website"/>
        <s v="MI Registration"/>
        <s v="Scholarships/Grads - Rachel Akaba"/>
        <s v="Scholarships/Grads -"/>
        <s v="Zoom Acount"/>
        <s v="Christmas Party Hall"/>
        <s v="Christmas Party DJ"/>
        <s v="Income"/>
        <s v="Expense"/>
        <s v="Business"/>
        <s v="FundRaiser"/>
      </sharedItems>
    </cacheField>
    <cacheField name="Joined" numFmtId="17">
      <sharedItems containsDate="1" containsString="0" containsBlank="1" count="32">
        <d v="2023-07-23T00:00:00"/>
        <d v="2023-05-01T00:00:00"/>
        <d v="2001-01-01T00:00:00"/>
        <d v="2026-02-28T00:00:00"/>
        <d v="2026-05-01T00:00:00"/>
        <d v="2001-01-03T00:00:00"/>
        <d v="2001-01-02T00:00:00"/>
        <d v="2025-11-01T00:00:00"/>
        <d v="2001-01-04T00:00:00"/>
        <d v="2019-11-01T00:00:00"/>
        <d v="2024-11-01T00:00:00"/>
        <d v="2021-04-01T00:00:00"/>
        <d v="2025-01-01T00:00:00"/>
        <d v="2021-07-21T00:00:00"/>
        <d v="2019-09-01T00:00:00"/>
        <d v="2019-02-01T00:00:00"/>
        <d v="2023-06-01T00:00:00"/>
        <d v="2024-12-01T00:00:00"/>
        <d v="2024-02-24T00:00:00"/>
        <d v="2024-02-25T00:00:00"/>
        <d v="2023-10-28T00:00:00"/>
        <d v="2023-03-23T00:00:00"/>
        <d v="2022-04-01T00:00:00"/>
        <d v="2026-04-01T00:00:00"/>
        <d v="2019-06-01T00:00:00"/>
        <d v="2026-01-24T00:00:00"/>
        <d v="2021-07-01T00:00:00"/>
        <d v="2018-03-01T00:00:00"/>
        <d v="2018-07-01T00:00:00"/>
        <d v="2019-10-01T00:00:00"/>
        <d v="2025-06-01T00:00:00"/>
        <m/>
      </sharedItems>
    </cacheField>
    <cacheField name="Phone2">
      <sharedItems containsBlank="1" containsMixedTypes="1" containsNumber="1" containsInteger="1" count="71">
        <s v="(857) 248-8789"/>
        <n v="8576159120"/>
        <n v="5862296613"/>
        <n v="5863295145"/>
        <n v="3134874212"/>
        <n v="2482275923"/>
        <n v="7347262408"/>
        <n v="7342762638"/>
        <n v="2487521535"/>
        <n v="6185414024"/>
        <n v="7345951092"/>
        <n v="2487473278"/>
        <n v="3135302348"/>
        <n v="2482527976"/>
        <n v="7344449859"/>
        <n v="2485210669"/>
        <n v="3132181786"/>
        <n v="2488852808"/>
        <s v=" (248) 766-3000"/>
        <n v="9062039273"/>
        <n v="2485048066"/>
        <n v="2489125998"/>
        <s v="810 4105267"/>
        <s v="313 6900667"/>
        <s v="(248)736 7156."/>
        <s v="(313) 529-0205"/>
        <s v="(313) 487-4212"/>
        <n v="3132581826"/>
        <n v="13462821181"/>
        <n v="2487471200"/>
        <n v="2486672255"/>
        <n v="3135566202"/>
        <n v="3132587910"/>
        <n v="3138296855"/>
        <n v="7346297746"/>
        <n v="3136758795"/>
        <n v="7347575901"/>
        <n v="3133169728"/>
        <n v="3134099022"/>
        <n v="3134099011"/>
        <n v="2486366884"/>
        <n v="2483764669"/>
        <n v="2483465357"/>
        <n v="2485953225"/>
        <n v="2486671660"/>
        <n v="5862223482"/>
        <s v="(313) 530-2348"/>
        <n v="8323878068"/>
        <n v="7133677639"/>
        <n v="5173317291"/>
        <n v="5172750770"/>
        <n v="2488926183"/>
        <n v="2484447478"/>
        <n v="2484447679"/>
        <n v="4199121533"/>
        <n v="3132317305"/>
        <n v="3133774234"/>
        <n v="3133356953"/>
        <n v="2699992446"/>
        <n v="5172901677"/>
        <n v="2693399903"/>
        <n v="7347722949"/>
        <n v="7347728050"/>
        <n v="3133030114"/>
        <n v="3133038792"/>
        <n v="3134145840"/>
        <n v="2489435989"/>
        <n v="2489435811"/>
        <n v="2487732278"/>
        <n v="2487731173"/>
        <m/>
      </sharedItems>
    </cacheField>
    <cacheField name="Email" numFmtId="0">
      <sharedItems containsBlank="1" count="35">
        <m/>
        <s v="abada351@gmail.com"/>
        <s v="vico08omolara@yahoo.com"/>
        <e v="#N/A"/>
        <s v="onomeagbarha@hotmail.com"/>
        <s v="jformula123@gmail.com"/>
        <s v="mondaya@comcast.net"/>
        <s v="palawuru@yahoo.com"/>
        <s v="meanvipro@yahoo.com"/>
        <e v="#REF!"/>
        <s v="reghwofobe@peoplepc.com"/>
        <s v="ejefia@hotmail.com"/>
        <s v="lae4766@gmail.com"/>
        <s v="Te2675@yahoo.com"/>
        <s v="lovette_george@yahoo.com"/>
        <s v="tubitaki@aol.com"/>
        <s v="emuoboq@gmail.com"/>
        <s v="emoubo4real@yahoo.com"/>
        <s v="n/a"/>
        <s v="onoerhime@gmail.com"/>
        <s v="mobo1777@gmail.com"/>
        <s v="daddyprince73@yahoo.com"/>
        <s v="toben4@yahoo.com"/>
        <s v="goddeyok@gmail.com"/>
        <s v="mail2vokeus@yahoo.com"/>
        <s v="b_okere@yahoo.com"/>
        <s v="oleitaj@gmail.com"/>
        <s v="eguonochantex@gmail.com"/>
        <s v="oviehonomake@aol.com"/>
        <s v="e_onosode@yahoo.com"/>
        <s v="oghogho_ng@yahoo.com"/>
        <s v="danorhorhoro@yahoo.com"/>
        <s v="ukavwe@icloud.com"/>
        <s v="gladyswanogho@icloud.com"/>
        <s v="etareri@yahoo.com"/>
      </sharedItems>
    </cacheField>
    <cacheField name="Jan" numFmtId="0">
      <sharedItems containsBlank="1" count="3">
        <s v="Present"/>
        <m/>
        <s v="Excused"/>
      </sharedItems>
    </cacheField>
    <cacheField name="Dues-Jan" numFmtId="0">
      <sharedItems containsString="0" containsBlank="1" containsNumber="1" count="7">
        <m/>
        <n v="20"/>
        <n v="90"/>
        <n v="100"/>
        <n v="400"/>
        <n v="0"/>
        <n v="35520.93"/>
      </sharedItems>
    </cacheField>
    <cacheField name="Feb" numFmtId="0">
      <sharedItems containsBlank="1" count="3">
        <m/>
        <s v="Present"/>
        <s v="Excused"/>
      </sharedItems>
    </cacheField>
    <cacheField name="Dues-Feb" numFmtId="0">
      <sharedItems containsString="0" containsBlank="1" containsNumber="1" count="15">
        <m/>
        <n v="20"/>
        <n v="200"/>
        <n v="50"/>
        <n v="120"/>
        <n v="240"/>
        <n v="480"/>
        <n v="59"/>
        <n v="300"/>
        <n v="100"/>
        <n v="750"/>
        <n v="1659"/>
        <n v="-900"/>
        <n v="37349.93"/>
        <n v="90"/>
      </sharedItems>
    </cacheField>
    <cacheField name="Mar" numFmtId="0">
      <sharedItems containsBlank="1" count="3">
        <m/>
        <s v="Excused"/>
        <s v="Present"/>
      </sharedItems>
    </cacheField>
    <cacheField name="Dues-Mar" numFmtId="0">
      <sharedItems containsString="0" containsBlank="1" containsNumber="1" count="19">
        <m/>
        <n v="120"/>
        <n v="20"/>
        <n v="167"/>
        <n v="270"/>
        <n v="50"/>
        <n v="40"/>
        <n v="240"/>
        <n v="100"/>
        <n v="80"/>
        <n v="614"/>
        <n v="6420"/>
        <n v="1400"/>
        <n v="1190"/>
        <n v="30"/>
        <n v="12901"/>
        <n v="-100"/>
        <n v="42812.93"/>
        <n v="90"/>
      </sharedItems>
    </cacheField>
    <cacheField name="Apr" numFmtId="0">
      <sharedItems containsString="0" containsBlank="1" count="1">
        <m/>
      </sharedItems>
    </cacheField>
    <cacheField name="Dues-Apr" numFmtId="164">
      <sharedItems containsString="0" containsBlank="1" containsNumber="1" count="21">
        <n v="120"/>
        <m/>
        <n v="20"/>
        <n v="240"/>
        <n v="130"/>
        <n v="190"/>
        <n v="80"/>
        <n v="160"/>
        <n v="180"/>
        <n v="84"/>
        <n v="614"/>
        <n v="6420"/>
        <n v="1400"/>
        <n v="1190"/>
        <n v="100"/>
        <n v="4200"/>
        <n v="2000"/>
        <n v="11158"/>
        <n v="-6300"/>
        <n v="42332.93"/>
        <n v="89.73"/>
      </sharedItems>
    </cacheField>
    <cacheField name="May" numFmtId="0">
      <sharedItems containsBlank="1" count="3">
        <m/>
        <s v="Present"/>
        <s v="Excused"/>
      </sharedItems>
    </cacheField>
    <cacheField name=" Dues-May ">
      <sharedItems containsBlank="1" containsMixedTypes="1" containsNumber="1" count="17">
        <m/>
        <n v="300"/>
        <n v="200"/>
        <n v="240"/>
        <n v="20"/>
        <s v="-"/>
        <n v="100"/>
        <n v="614"/>
        <n v="6420"/>
        <n v="1400"/>
        <n v="1190"/>
        <n v="4200"/>
        <n v="500"/>
        <n v="10784"/>
        <n v="-5100"/>
        <n v="35520.93"/>
        <n v="90"/>
      </sharedItems>
    </cacheField>
    <cacheField name="Jun" numFmtId="0">
      <sharedItems containsString="0" containsBlank="1" count="1">
        <m/>
      </sharedItems>
    </cacheField>
    <cacheField name="Dues-Jun" numFmtId="0">
      <sharedItems containsString="0" containsBlank="1" containsNumber="1" count="11">
        <m/>
        <n v="20"/>
        <n v="100"/>
        <n v="120"/>
        <n v="240"/>
        <n v="70"/>
        <n v="4650"/>
        <n v="910"/>
        <n v="-4750"/>
        <n v="35394"/>
        <n v="89.73"/>
      </sharedItems>
    </cacheField>
    <cacheField name="Jul" numFmtId="0">
      <sharedItems containsString="0" containsBlank="1" count="1">
        <m/>
      </sharedItems>
    </cacheField>
    <cacheField name="Dues-Jul">
      <sharedItems containsBlank="1" containsMixedTypes="1" containsNumber="1" count="6">
        <m/>
        <s v="-"/>
        <n v="140"/>
        <n v="0"/>
        <n v="35844.93"/>
        <n v="89.73"/>
      </sharedItems>
    </cacheField>
    <cacheField name="Aug" numFmtId="0">
      <sharedItems containsString="0" containsBlank="1" count="1">
        <m/>
      </sharedItems>
    </cacheField>
    <cacheField name="Dues-Aug" numFmtId="0">
      <sharedItems containsString="0" containsBlank="1" containsNumber="1" count="4">
        <m/>
        <n v="0"/>
        <n v="35520.93"/>
        <n v="89.73"/>
      </sharedItems>
    </cacheField>
    <cacheField name="Sep" numFmtId="0">
      <sharedItems containsString="0" containsBlank="1" count="1">
        <m/>
      </sharedItems>
    </cacheField>
    <cacheField name="Dues-Sep" numFmtId="0">
      <sharedItems containsString="0" containsBlank="1" containsNumber="1" count="4">
        <m/>
        <n v="0"/>
        <n v="35520.93"/>
        <n v="90"/>
      </sharedItems>
    </cacheField>
    <cacheField name="Oct" numFmtId="0">
      <sharedItems containsString="0" containsBlank="1" count="1">
        <m/>
      </sharedItems>
    </cacheField>
    <cacheField name="Dues-Oct" numFmtId="0">
      <sharedItems containsString="0" containsBlank="1" containsNumber="1" count="4">
        <m/>
        <n v="0"/>
        <n v="35520.93"/>
        <n v="90"/>
      </sharedItems>
    </cacheField>
    <cacheField name="Nov" numFmtId="0">
      <sharedItems containsString="0" containsBlank="1" count="1">
        <m/>
      </sharedItems>
    </cacheField>
    <cacheField name="Dues-Nov" numFmtId="0">
      <sharedItems containsString="0" containsBlank="1" containsNumber="1" count="4">
        <m/>
        <n v="0"/>
        <n v="35520.93"/>
        <n v="90"/>
      </sharedItems>
    </cacheField>
    <cacheField name="Dec" numFmtId="0">
      <sharedItems containsString="0" containsBlank="1" count="1">
        <m/>
      </sharedItems>
    </cacheField>
    <cacheField name="Dues-Dec" numFmtId="0">
      <sharedItems containsString="0" containsBlank="1" containsNumber="1" count="4">
        <m/>
        <n v="0"/>
        <n v="35520.93"/>
        <n v="90"/>
      </sharedItems>
    </cacheField>
    <cacheField name="2026 dues paid" numFmtId="164">
      <sharedItems containsString="0" containsBlank="1" containsNumber="1" count="35">
        <n v="120"/>
        <n v="300"/>
        <n v="0"/>
        <m/>
        <n v="240"/>
        <n v="167"/>
        <n v="200"/>
        <n v="270"/>
        <n v="100"/>
        <n v="140"/>
        <n v="170"/>
        <n v="50"/>
        <n v="190"/>
        <n v="80"/>
        <n v="150"/>
        <n v="180"/>
        <n v="160"/>
        <n v="480"/>
        <n v="60"/>
        <n v="193"/>
        <n v="20"/>
        <n v="1842"/>
        <n v="19260"/>
        <n v="3570"/>
        <n v="30"/>
        <n v="70"/>
        <n v="400"/>
        <n v="9150"/>
        <n v="500"/>
        <n v="4650"/>
        <n v="2000"/>
        <n v="33552"/>
        <n v="-17150"/>
        <n v="36987.299999999996"/>
        <n v="89.901818181818186"/>
      </sharedItems>
    </cacheField>
    <cacheField name="2026 balance" numFmtId="164">
      <sharedItems containsString="0" containsBlank="1" containsNumber="1" containsInteger="1" count="25">
        <n v="-40"/>
        <n v="140"/>
        <n v="-120"/>
        <m/>
        <n v="200"/>
        <n v="-160"/>
        <n v="7"/>
        <n v="40"/>
        <n v="80"/>
        <n v="110"/>
        <n v="-60"/>
        <n v="60"/>
        <n v="10"/>
        <n v="-110"/>
        <n v="30"/>
        <n v="0"/>
        <n v="-10"/>
        <n v="160"/>
        <n v="-80"/>
        <n v="20"/>
        <n v="100"/>
        <n v="320"/>
        <n v="-100"/>
        <n v="-2193"/>
        <n v="-4346"/>
      </sharedItems>
    </cacheField>
    <cacheField name="2025 balance">
      <sharedItems containsBlank="1" containsMixedTypes="1" containsNumber="1" containsInteger="1" count="22">
        <n v="-240"/>
        <n v="80"/>
        <m/>
        <n v="0"/>
        <n v="-10"/>
        <n v="-80"/>
        <n v="-140"/>
        <n v="20"/>
        <n v="-200"/>
        <n v="-160"/>
        <n v="-20"/>
        <s v="-"/>
        <n v="-120"/>
        <n v="-190"/>
        <n v="110"/>
        <n v="-90"/>
        <n v="40"/>
        <n v="-110"/>
        <n v="-180"/>
        <n v="-50"/>
        <n v="-5830"/>
        <n v="-11420"/>
      </sharedItems>
    </cacheField>
    <cacheField name="2024 balance">
      <sharedItems containsBlank="1" containsMixedTypes="1" containsNumber="1" containsInteger="1" count="27">
        <n v="250"/>
        <n v="-240"/>
        <m/>
        <n v="80"/>
        <n v="60"/>
        <s v="-"/>
        <n v="170"/>
        <n v="40"/>
        <n v="-40"/>
        <n v="-140"/>
        <n v="0"/>
        <n v="240"/>
        <n v="-30"/>
        <n v="-130"/>
        <n v="-10"/>
        <n v="-20"/>
        <n v="100"/>
        <n v="20"/>
        <n v="180"/>
        <n v="-120"/>
        <n v="160"/>
        <n v="50"/>
        <n v="120"/>
        <n v="-80"/>
        <n v="70"/>
        <n v="13610"/>
        <n v="26280"/>
      </sharedItems>
    </cacheField>
    <cacheField name="2023 balance">
      <sharedItems containsBlank="1" containsMixedTypes="1" containsNumber="1" containsInteger="1" count="18">
        <n v="-10"/>
        <n v="180"/>
        <m/>
        <n v="-60"/>
        <s v="-"/>
        <n v="0"/>
        <n v="100"/>
        <n v="-240"/>
        <n v="20"/>
        <n v="40"/>
        <n v="-40"/>
        <n v="-20"/>
        <n v="160"/>
        <n v="10"/>
        <n v="-100"/>
        <n v="-150"/>
        <n v="11300"/>
        <n v="22300"/>
      </sharedItems>
    </cacheField>
    <cacheField name="2022 balance">
      <sharedItems containsBlank="1" containsMixedTypes="1" containsNumber="1" containsInteger="1" count="22">
        <s v="-"/>
        <n v="-120"/>
        <m/>
        <n v="-90"/>
        <n v="0"/>
        <n v="-20"/>
        <n v="-240"/>
        <n v="-70"/>
        <n v="-100"/>
        <n v="240"/>
        <n v="20"/>
        <n v="-170"/>
        <n v="-80"/>
        <n v="10"/>
        <n v="120"/>
        <n v="-140"/>
        <n v="80"/>
        <n v="90"/>
        <n v="60"/>
        <n v="30"/>
        <n v="-1970"/>
        <n v="-6510"/>
      </sharedItems>
    </cacheField>
    <cacheField name="2021 balance2">
      <sharedItems containsBlank="1" containsMixedTypes="1" containsNumber="1" containsInteger="1" count="16">
        <s v="-"/>
        <n v="-80"/>
        <m/>
        <n v="0"/>
        <n v="-20"/>
        <n v="50"/>
        <n v="-40"/>
        <n v="-60"/>
        <n v="-120"/>
        <n v="10"/>
        <n v="40"/>
        <n v="-50"/>
        <n v="-140"/>
        <n v="-190"/>
        <n v="-1150"/>
        <n v="-2850"/>
      </sharedItems>
    </cacheField>
    <cacheField name="2020 balance">
      <sharedItems containsBlank="1" containsMixedTypes="1" containsNumber="1" containsInteger="1" count="22">
        <s v="-"/>
        <n v="-140"/>
        <m/>
        <n v="0"/>
        <n v="320"/>
        <n v="80"/>
        <n v="-60"/>
        <n v="-120"/>
        <n v="-40"/>
        <n v="200"/>
        <n v="110"/>
        <n v="360"/>
        <n v="-5"/>
        <n v="5"/>
        <n v="220"/>
        <n v="90"/>
        <n v="50"/>
        <n v="340"/>
        <n v="325"/>
        <n v="330"/>
        <n v="2905"/>
        <n v="5810"/>
      </sharedItems>
    </cacheField>
    <cacheField name="2019 balance">
      <sharedItems containsBlank="1" containsMixedTypes="1" containsNumber="1" containsInteger="1" count="8">
        <s v="-"/>
        <m/>
        <n v="120"/>
        <n v="0"/>
        <n v="30"/>
        <n v="100"/>
        <n v="280"/>
        <n v="560"/>
      </sharedItems>
    </cacheField>
    <cacheField name="2018 balance">
      <sharedItems containsBlank="1" containsMixedTypes="1" containsNumber="1" containsInteger="1" count="9">
        <s v="-"/>
        <m/>
        <n v="0"/>
        <n v="40"/>
        <n v="-60"/>
        <n v="-5"/>
        <n v="70"/>
        <n v="110"/>
        <n v="220"/>
      </sharedItems>
    </cacheField>
    <cacheField name="Total" numFmtId="164">
      <sharedItems containsString="0" containsBlank="1" containsNumber="1" count="54">
        <n v="-40"/>
        <n v="-180"/>
        <n v="-120"/>
        <m/>
        <n v="-110"/>
        <n v="-130"/>
        <n v="90"/>
        <n v="-440"/>
        <n v="-450"/>
        <n v="67"/>
        <n v="-140"/>
        <n v="180"/>
        <n v="-520"/>
        <n v="-340"/>
        <n v="-100"/>
        <n v="-220"/>
        <n v="-400"/>
        <n v="-160"/>
        <n v="-170"/>
        <n v="-270"/>
        <n v="-280"/>
        <n v="80"/>
        <n v="30"/>
        <n v="140"/>
        <n v="-460"/>
        <n v="0"/>
        <n v="-10"/>
        <n v="40"/>
        <n v="-970"/>
        <n v="500"/>
        <n v="300"/>
        <n v="-760"/>
        <n v="-290"/>
        <n v="-210"/>
        <n v="-80"/>
        <n v="-390"/>
        <n v="100"/>
        <n v="50"/>
        <n v="-260"/>
        <n v="165"/>
        <n v="193"/>
        <n v="20"/>
        <n v="1842"/>
        <n v="19260"/>
        <n v="3570"/>
        <n v="400"/>
        <n v="9150"/>
        <n v="200"/>
        <n v="9300"/>
        <n v="2000"/>
        <n v="33552"/>
        <n v="-21900"/>
        <n v="35728.859999999993"/>
        <n v="89.886477272727276"/>
      </sharedItems>
    </cacheField>
    <cacheField name="Financial GoodStanding" numFmtId="0">
      <sharedItems containsBlank="1" count="3">
        <s v="Yes"/>
        <m/>
        <s v="No"/>
      </sharedItems>
    </cacheField>
    <cacheField name="%Attendance" numFmtId="9">
      <sharedItems containsString="0" containsBlank="1" containsNumber="1" count="6">
        <n v="0.2857142857142857"/>
        <n v="0.14285714285714285"/>
        <m/>
        <n v="0.42857142857142855"/>
        <n v="0"/>
        <n v="0.5714285714285714"/>
      </sharedItems>
    </cacheField>
    <cacheField name="Levies">
      <sharedItems containsBlank="1" containsMixedTypes="1" containsNumber="1" containsInteger="1" count="6">
        <n v="0"/>
        <m/>
        <n v="-50"/>
        <s v="-"/>
        <n v="-200"/>
        <n v="-150"/>
      </sharedItems>
    </cacheField>
    <cacheField name="Years active">
      <sharedItems containsBlank="1" containsMixedTypes="1" containsNumber="1" count="10">
        <s v="2+"/>
        <n v="0.42739726027397262"/>
        <m/>
        <n v="0.75342465753424659"/>
        <n v="1.7534246575342465"/>
        <n v="1.5863013698630137"/>
        <n v="1.6712328767123288"/>
        <n v="0.33972602739726027"/>
        <n v="0.52328767123287667"/>
        <n v="1.1726027397260275"/>
      </sharedItems>
    </cacheField>
    <cacheField name="GoodStanding" numFmtId="0">
      <sharedItems containsBlank="1" count="2">
        <s v="No"/>
        <m/>
      </sharedItems>
    </cacheField>
    <cacheField name="Voter" numFmtId="0">
      <sharedItems containsBlank="1" count="3">
        <s v="No"/>
        <m/>
        <s v="-"/>
      </sharedItems>
    </cacheField>
    <cacheField name="Insurance?" numFmtId="0">
      <sharedItems containsBlank="1" count="4">
        <s v="Yes"/>
        <s v="No"/>
        <m/>
        <s v="-"/>
      </sharedItems>
    </cacheField>
    <cacheField name="Ins. premium paid" numFmtId="0">
      <sharedItems containsString="0" containsBlank="1" containsNumber="1" containsInteger="1" count="4">
        <m/>
        <n v="153"/>
        <n v="154"/>
        <n v="614"/>
      </sharedItems>
    </cacheField>
    <cacheField name="Wrapper type" numFmtId="164">
      <sharedItems containsBlank="1" count="4">
        <s v="f"/>
        <s v="m"/>
        <m/>
        <s v="-"/>
      </sharedItems>
    </cacheField>
    <cacheField name="Wrapper ordered" numFmtId="0">
      <sharedItems containsString="0" containsBlank="1" containsNumber="1" containsInteger="1" count="3">
        <n v="1"/>
        <m/>
        <n v="2"/>
      </sharedItems>
    </cacheField>
    <cacheField name="Wrapper payment">
      <sharedItems containsBlank="1" containsMixedTypes="1" containsNumber="1" containsInteger="1" count="6">
        <n v="120"/>
        <m/>
        <n v="300"/>
        <n v="240"/>
        <s v="-"/>
        <n v="6420"/>
      </sharedItems>
    </cacheField>
    <cacheField name="Hosting">
      <sharedItems containsDate="1" containsBlank="1" containsMixedTypes="1" count="19">
        <d v="2027-03-01T00:00:00"/>
        <s v="-"/>
        <s v="New"/>
        <m/>
        <d v="2026-10-01T00:00:00"/>
        <d v="2026-11-01T00:00:00"/>
        <d v="2026-05-01T00:00:00"/>
        <d v="2026-03-01T00:00:00"/>
        <d v="2027-01-01T00:00:00"/>
        <d v="2027-04-01T00:00:00"/>
        <d v="2027-02-01T00:00:00"/>
        <s v="elder"/>
        <d v="2026-06-01T00:00:00"/>
        <d v="2026-02-01T00:00:00"/>
        <d v="2026-04-01T00:00:00"/>
        <d v="2026-01-01T00:00:00"/>
        <d v="2026-09-01T00:00:00"/>
        <d v="2026-07-01T00:00:00"/>
        <s v="moved/elder"/>
      </sharedItems>
    </cacheField>
    <cacheField name="Raffle tix UPUMI fundraiser">
      <sharedItems containsBlank="1" containsMixedTypes="1" containsNumber="1" containsInteger="1" count="3">
        <m/>
        <n v="50"/>
        <s v="-"/>
      </sharedItems>
    </cacheField>
    <cacheField name="Raffle tix UPUA convention">
      <sharedItems containsBlank="1" containsMixedTypes="1" containsNumber="1" containsInteger="1" count="5">
        <m/>
        <n v="20"/>
        <s v="-"/>
        <n v="-20"/>
        <n v="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1000000}">
  <cacheSource type="worksheet">
    <worksheetSource ref="A1:BG1020" sheet="Member_Status"/>
  </cacheSource>
  <cacheFields count="59">
    <cacheField name="Status" numFmtId="0">
      <sharedItems containsBlank="1" count="5">
        <s v="Member"/>
        <s v="other income"/>
        <s v="expense"/>
        <s v="Balance"/>
        <m/>
      </sharedItems>
    </cacheField>
    <cacheField name="Title" numFmtId="0">
      <sharedItems containsBlank="1" count="10">
        <s v="Mrs."/>
        <s v="Mr."/>
        <s v="Pastor"/>
        <s v="Ms."/>
        <s v="Dr."/>
        <s v="Papa"/>
        <s v="Chief Mrs."/>
        <s v="Chief"/>
        <s v="na"/>
        <m/>
      </sharedItems>
    </cacheField>
    <cacheField name="Last" numFmtId="0">
      <sharedItems containsBlank="1" count="61">
        <s v="Abada"/>
        <s v="Agbara"/>
        <s v="Aguele"/>
        <s v="Akaba"/>
        <s v="Akporee"/>
        <s v="Alawuru"/>
        <s v="Amegee"/>
        <s v="Asidi"/>
        <s v="Atori"/>
        <s v="Chiefredo"/>
        <s v="Dilworth"/>
        <s v="Eghwofobe"/>
        <s v="Ejafiavwo"/>
        <s v="Emadamerho"/>
        <s v="Emekpe"/>
        <s v="Emetiyoma"/>
        <s v="Eruoto"/>
        <s v="Esegine"/>
        <s v="Evwaraye"/>
        <s v="George "/>
        <s v="Ighofose"/>
        <s v="Ikaji"/>
        <s v="Isiorho"/>
        <s v="Minor"/>
        <s v="Nana"/>
        <s v="Ngene"/>
        <s v="Obi"/>
        <s v="Odjugo"/>
        <s v="Ojugo"/>
        <s v="Oghoufo"/>
        <s v="Ojaruega"/>
        <s v="Okagbare"/>
        <s v="Okere"/>
        <s v="Okoko"/>
        <s v="Oleita"/>
        <s v="Onokpikini"/>
        <s v="Onomake"/>
        <s v="Onosode"/>
        <s v="Onyejiaka"/>
        <s v="Orhorhoro"/>
        <s v="Ozorewor"/>
        <s v="Scott-Emuakpor"/>
        <s v="Toweh"/>
        <s v="Uduchukwu"/>
        <s v="Ukavwe"/>
        <s v="Ukuyoma"/>
        <s v="Wanogho"/>
        <s v="Warrence"/>
        <s v="Meeting"/>
        <s v="Invitation"/>
        <s v="YAC fundraiser"/>
        <s v="Insurance premiums"/>
        <s v="Wrapper payments"/>
        <s v="UPUA Raffle tickets"/>
        <s v="Bereavement Warrence P."/>
        <s v="Bereavement Toweh"/>
        <s v="Hosting expenses"/>
        <m/>
        <s v="Payments"/>
        <s v="Total"/>
        <s v="Account"/>
      </sharedItems>
    </cacheField>
    <cacheField name="First" numFmtId="0">
      <sharedItems containsBlank="1" count="110">
        <s v="Evi"/>
        <s v="Otuke"/>
        <s v="Onome"/>
        <s v="Omolara"/>
        <s v="Sarah"/>
        <s v="Maureen"/>
        <s v="Monday"/>
        <s v="Emudiaga"/>
        <s v="Precious"/>
        <s v="Ruona"/>
        <s v="Fejiro"/>
        <s v="Victoria"/>
        <s v="Merit"/>
        <s v="Aghogho"/>
        <s v="Ngozi"/>
        <s v="Robinson"/>
        <s v="Krishawn"/>
        <s v="Belief"/>
        <s v="Enovwo"/>
        <s v="Kwesi"/>
        <s v="Jude"/>
        <s v="Johnson"/>
        <s v="Rebecca"/>
        <s v="Laura Adejoke"/>
        <s v="Tive"/>
        <s v="Lovette"/>
        <s v="Ochuko"/>
        <s v="Theresa"/>
        <s v="Kehinde"/>
        <s v="Annete-Onoriode"/>
        <s v="Edewor"/>
        <s v="Tessy"/>
        <s v="Jeff"/>
        <s v="Abigail Enaibre"/>
        <s v="Emuobonuvie"/>
        <s v="Julie"/>
        <s v="Joeseph Efe"/>
        <s v="Christina"/>
        <s v="Vera"/>
        <s v="Anthonia"/>
        <s v="Benson"/>
        <s v="Emuobosan"/>
        <s v="Onoerhime"/>
        <s v="Prince"/>
        <s v="Voke"/>
        <s v="Robert"/>
        <s v="Bruno"/>
        <s v="Agnes"/>
        <s v="Jones"/>
        <s v="Stella"/>
        <s v="Eguono"/>
        <s v="Kelvin"/>
        <s v="Ovieh"/>
        <s v="Oghogho"/>
        <s v="Terobinse"/>
        <s v="Daniel"/>
        <s v="Florence"/>
        <s v="Odiri"/>
        <s v="Francis Onoriode"/>
        <s v="Pedro"/>
        <s v="Tochukwu"/>
        <s v="Onagite"/>
        <s v="Felicia"/>
        <s v="Robinson "/>
        <s v="Joshua"/>
        <s v="Matthew"/>
        <s v="Gladys"/>
        <s v="Godfrey"/>
        <s v="Paul"/>
        <s v="Welcome Support"/>
        <s v="Lovette George"/>
        <s v="Dr Nana's contribution"/>
        <s v="Collected to date"/>
        <s v="paid by Akaba/Alawuru"/>
        <s v="Owerri"/>
        <s v="Orhorho"/>
        <s v="Theresa Ikajii"/>
        <m/>
        <s v="hosting checks"/>
        <s v="Wrapper Payment"/>
        <s v="Exco Birthday Gift"/>
        <s v="Ikwanu Umuahia Association (Owerri)"/>
        <s v="Fundraiser raffle &amp; invite"/>
        <s v="Fundraiser DJ"/>
        <s v="UPUMI FundRaiser Venue"/>
        <s v="UPUA Convention donation"/>
        <s v="UPUA Raffle tickets pay"/>
        <s v="July 4th Canopy Naigirain foundation "/>
        <s v="UPUMI full page AD UPUA 24 convention"/>
        <s v="UPUA Dues"/>
        <s v="Bereavement Payout Warrence"/>
        <s v="Insurance Premiums"/>
        <s v="Tax services"/>
        <s v="for memebers support"/>
        <s v="Wedding gifts"/>
        <s v="UPUA Life insurance"/>
        <s v="UPUA convention reimbursment"/>
        <s v="UPUA membership dues"/>
        <s v="Kids Christmas Gifts"/>
        <s v="Website"/>
        <s v="MI Registration"/>
        <s v="Scholarships/Grads - Rachel Akaba"/>
        <s v="Scholarships/Grads -"/>
        <s v="Zoom Acount"/>
        <s v="Christmas Party Hall"/>
        <s v="Christmas Party DJ"/>
        <s v="Income"/>
        <s v="Expense"/>
        <s v="Business"/>
        <s v="FundRaiser"/>
      </sharedItems>
    </cacheField>
    <cacheField name="Joined" numFmtId="17">
      <sharedItems containsDate="1" containsString="0" containsBlank="1" count="32">
        <d v="2023-07-23T00:00:00"/>
        <d v="2023-05-01T00:00:00"/>
        <d v="2001-01-01T00:00:00"/>
        <d v="2026-02-28T00:00:00"/>
        <d v="2026-05-01T00:00:00"/>
        <d v="2001-01-03T00:00:00"/>
        <d v="2001-01-02T00:00:00"/>
        <d v="2025-11-01T00:00:00"/>
        <d v="2001-01-04T00:00:00"/>
        <d v="2019-11-01T00:00:00"/>
        <d v="2024-11-01T00:00:00"/>
        <d v="2021-04-01T00:00:00"/>
        <d v="2025-01-01T00:00:00"/>
        <d v="2021-07-21T00:00:00"/>
        <d v="2019-09-01T00:00:00"/>
        <d v="2019-02-01T00:00:00"/>
        <d v="2023-06-01T00:00:00"/>
        <d v="2024-12-01T00:00:00"/>
        <d v="2024-02-24T00:00:00"/>
        <d v="2024-02-25T00:00:00"/>
        <d v="2023-10-28T00:00:00"/>
        <d v="2023-03-23T00:00:00"/>
        <d v="2022-04-01T00:00:00"/>
        <d v="2026-04-01T00:00:00"/>
        <d v="2019-06-01T00:00:00"/>
        <d v="2026-01-24T00:00:00"/>
        <d v="2021-07-01T00:00:00"/>
        <d v="2018-03-01T00:00:00"/>
        <d v="2018-07-01T00:00:00"/>
        <d v="2019-10-01T00:00:00"/>
        <d v="2025-06-01T00:00:00"/>
        <m/>
      </sharedItems>
    </cacheField>
    <cacheField name="Phone2">
      <sharedItems containsBlank="1" containsMixedTypes="1" containsNumber="1" containsInteger="1" count="71">
        <s v="(857) 248-8789"/>
        <n v="8576159120"/>
        <n v="5862296613"/>
        <n v="5863295145"/>
        <n v="3134874212"/>
        <n v="2482275923"/>
        <n v="7347262408"/>
        <n v="7342762638"/>
        <n v="2487521535"/>
        <n v="6185414024"/>
        <n v="7345951092"/>
        <n v="2487473278"/>
        <n v="3135302348"/>
        <n v="2482527976"/>
        <n v="7344449859"/>
        <n v="2485210669"/>
        <n v="3132181786"/>
        <n v="2488852808"/>
        <s v=" (248) 766-3000"/>
        <n v="9062039273"/>
        <n v="2485048066"/>
        <n v="2489125998"/>
        <s v="810 4105267"/>
        <s v="313 6900667"/>
        <s v="(248)736 7156."/>
        <s v="(313) 529-0205"/>
        <s v="(313) 487-4212"/>
        <n v="3132581826"/>
        <n v="13462821181"/>
        <n v="2487471200"/>
        <n v="2486672255"/>
        <n v="3135566202"/>
        <n v="3132587910"/>
        <n v="3138296855"/>
        <n v="7346297746"/>
        <n v="3136758795"/>
        <n v="7347575901"/>
        <n v="3133169728"/>
        <n v="3134099022"/>
        <n v="3134099011"/>
        <n v="2486366884"/>
        <n v="2483764669"/>
        <n v="2483465357"/>
        <n v="2485953225"/>
        <n v="2486671660"/>
        <n v="5862223482"/>
        <s v="(313) 530-2348"/>
        <n v="8323878068"/>
        <n v="7133677639"/>
        <n v="5173317291"/>
        <n v="5172750770"/>
        <n v="2488926183"/>
        <n v="2484447478"/>
        <n v="2484447679"/>
        <n v="4199121533"/>
        <n v="3132317305"/>
        <n v="3133774234"/>
        <n v="3133356953"/>
        <n v="2699992446"/>
        <n v="5172901677"/>
        <n v="2693399903"/>
        <n v="7347722949"/>
        <n v="7347728050"/>
        <n v="3133030114"/>
        <n v="3133038792"/>
        <n v="3134145840"/>
        <n v="2489435989"/>
        <n v="2489435811"/>
        <n v="2487732278"/>
        <n v="2487731173"/>
        <m/>
      </sharedItems>
    </cacheField>
    <cacheField name="Email" numFmtId="0">
      <sharedItems containsBlank="1" count="35">
        <m/>
        <s v="abada351@gmail.com"/>
        <s v="vico08omolara@yahoo.com"/>
        <e v="#N/A"/>
        <s v="onomeagbarha@hotmail.com"/>
        <s v="jformula123@gmail.com"/>
        <s v="mondaya@comcast.net"/>
        <s v="palawuru@yahoo.com"/>
        <s v="meanvipro@yahoo.com"/>
        <e v="#REF!"/>
        <s v="reghwofobe@peoplepc.com"/>
        <s v="ejefia@hotmail.com"/>
        <s v="lae4766@gmail.com"/>
        <s v="Te2675@yahoo.com"/>
        <s v="lovette_george@yahoo.com"/>
        <s v="tubitaki@aol.com"/>
        <s v="emuoboq@gmail.com"/>
        <s v="emoubo4real@yahoo.com"/>
        <s v="n/a"/>
        <s v="onoerhime@gmail.com"/>
        <s v="mobo1777@gmail.com"/>
        <s v="daddyprince73@yahoo.com"/>
        <s v="toben4@yahoo.com"/>
        <s v="goddeyok@gmail.com"/>
        <s v="mail2vokeus@yahoo.com"/>
        <s v="b_okere@yahoo.com"/>
        <s v="oleitaj@gmail.com"/>
        <s v="eguonochantex@gmail.com"/>
        <s v="oviehonomake@aol.com"/>
        <s v="e_onosode@yahoo.com"/>
        <s v="oghogho_ng@yahoo.com"/>
        <s v="danorhorhoro@yahoo.com"/>
        <s v="ukavwe@icloud.com"/>
        <s v="gladyswanogho@icloud.com"/>
        <s v="etareri@yahoo.com"/>
      </sharedItems>
    </cacheField>
    <cacheField name="Jan" numFmtId="0">
      <sharedItems containsBlank="1" count="3">
        <s v="Present"/>
        <m/>
        <s v="Excused"/>
      </sharedItems>
    </cacheField>
    <cacheField name="Dues-Jan" numFmtId="0">
      <sharedItems containsString="0" containsBlank="1" containsNumber="1" count="7">
        <m/>
        <n v="20"/>
        <n v="90"/>
        <n v="100"/>
        <n v="400"/>
        <n v="0"/>
        <n v="35520.93"/>
      </sharedItems>
    </cacheField>
    <cacheField name="Feb" numFmtId="0">
      <sharedItems containsBlank="1" count="3">
        <m/>
        <s v="Present"/>
        <s v="Excused"/>
      </sharedItems>
    </cacheField>
    <cacheField name="Dues-Feb" numFmtId="0">
      <sharedItems containsString="0" containsBlank="1" containsNumber="1" count="15">
        <m/>
        <n v="20"/>
        <n v="200"/>
        <n v="50"/>
        <n v="120"/>
        <n v="240"/>
        <n v="480"/>
        <n v="59"/>
        <n v="300"/>
        <n v="100"/>
        <n v="750"/>
        <n v="1659"/>
        <n v="-900"/>
        <n v="37349.93"/>
        <n v="90"/>
      </sharedItems>
    </cacheField>
    <cacheField name="Mar" numFmtId="0">
      <sharedItems containsBlank="1" count="3">
        <m/>
        <s v="Excused"/>
        <s v="Present"/>
      </sharedItems>
    </cacheField>
    <cacheField name="Dues-Mar" numFmtId="0">
      <sharedItems containsString="0" containsBlank="1" containsNumber="1" count="19">
        <m/>
        <n v="120"/>
        <n v="20"/>
        <n v="167"/>
        <n v="270"/>
        <n v="50"/>
        <n v="40"/>
        <n v="240"/>
        <n v="100"/>
        <n v="80"/>
        <n v="614"/>
        <n v="6420"/>
        <n v="1400"/>
        <n v="1190"/>
        <n v="30"/>
        <n v="12901"/>
        <n v="-100"/>
        <n v="42812.93"/>
        <n v="90"/>
      </sharedItems>
    </cacheField>
    <cacheField name="Apr" numFmtId="0">
      <sharedItems containsString="0" containsBlank="1" count="1">
        <m/>
      </sharedItems>
    </cacheField>
    <cacheField name="Dues-Apr" numFmtId="164">
      <sharedItems containsString="0" containsBlank="1" containsNumber="1" count="21">
        <n v="120"/>
        <m/>
        <n v="20"/>
        <n v="240"/>
        <n v="130"/>
        <n v="190"/>
        <n v="80"/>
        <n v="160"/>
        <n v="180"/>
        <n v="84"/>
        <n v="614"/>
        <n v="6420"/>
        <n v="1400"/>
        <n v="1190"/>
        <n v="100"/>
        <n v="4200"/>
        <n v="2000"/>
        <n v="11158"/>
        <n v="-6300"/>
        <n v="42332.93"/>
        <n v="89.73"/>
      </sharedItems>
    </cacheField>
    <cacheField name="May" numFmtId="0">
      <sharedItems containsBlank="1" count="3">
        <m/>
        <s v="Present"/>
        <s v="Excused"/>
      </sharedItems>
    </cacheField>
    <cacheField name=" Dues-May ">
      <sharedItems containsBlank="1" containsMixedTypes="1" containsNumber="1" count="17">
        <m/>
        <n v="300"/>
        <n v="200"/>
        <n v="240"/>
        <n v="20"/>
        <s v="-"/>
        <n v="100"/>
        <n v="614"/>
        <n v="6420"/>
        <n v="1400"/>
        <n v="1190"/>
        <n v="4200"/>
        <n v="500"/>
        <n v="10784"/>
        <n v="-5100"/>
        <n v="35520.93"/>
        <n v="90"/>
      </sharedItems>
    </cacheField>
    <cacheField name="Jun" numFmtId="0">
      <sharedItems containsString="0" containsBlank="1" count="1">
        <m/>
      </sharedItems>
    </cacheField>
    <cacheField name="Dues-Jun" numFmtId="0">
      <sharedItems containsString="0" containsBlank="1" containsNumber="1" count="11">
        <m/>
        <n v="20"/>
        <n v="100"/>
        <n v="120"/>
        <n v="240"/>
        <n v="70"/>
        <n v="4650"/>
        <n v="910"/>
        <n v="-4750"/>
        <n v="35394"/>
        <n v="89.73"/>
      </sharedItems>
    </cacheField>
    <cacheField name="Jul" numFmtId="0">
      <sharedItems containsString="0" containsBlank="1" count="1">
        <m/>
      </sharedItems>
    </cacheField>
    <cacheField name="Dues-Jul">
      <sharedItems containsBlank="1" containsMixedTypes="1" containsNumber="1" count="6">
        <m/>
        <s v="-"/>
        <n v="140"/>
        <n v="0"/>
        <n v="35844.93"/>
        <n v="89.73"/>
      </sharedItems>
    </cacheField>
    <cacheField name="Aug" numFmtId="0">
      <sharedItems containsString="0" containsBlank="1" count="1">
        <m/>
      </sharedItems>
    </cacheField>
    <cacheField name="Dues-Aug" numFmtId="0">
      <sharedItems containsString="0" containsBlank="1" containsNumber="1" count="4">
        <m/>
        <n v="0"/>
        <n v="35520.93"/>
        <n v="89.73"/>
      </sharedItems>
    </cacheField>
    <cacheField name="Sep" numFmtId="0">
      <sharedItems containsString="0" containsBlank="1" count="1">
        <m/>
      </sharedItems>
    </cacheField>
    <cacheField name="Dues-Sep" numFmtId="0">
      <sharedItems containsString="0" containsBlank="1" containsNumber="1" count="4">
        <m/>
        <n v="0"/>
        <n v="35520.93"/>
        <n v="90"/>
      </sharedItems>
    </cacheField>
    <cacheField name="Oct" numFmtId="0">
      <sharedItems containsString="0" containsBlank="1" count="1">
        <m/>
      </sharedItems>
    </cacheField>
    <cacheField name="Dues-Oct" numFmtId="0">
      <sharedItems containsString="0" containsBlank="1" containsNumber="1" count="4">
        <m/>
        <n v="0"/>
        <n v="35520.93"/>
        <n v="90"/>
      </sharedItems>
    </cacheField>
    <cacheField name="Nov" numFmtId="0">
      <sharedItems containsString="0" containsBlank="1" count="1">
        <m/>
      </sharedItems>
    </cacheField>
    <cacheField name="Dues-Nov" numFmtId="0">
      <sharedItems containsString="0" containsBlank="1" containsNumber="1" count="4">
        <m/>
        <n v="0"/>
        <n v="35520.93"/>
        <n v="90"/>
      </sharedItems>
    </cacheField>
    <cacheField name="Dec" numFmtId="0">
      <sharedItems containsString="0" containsBlank="1" count="1">
        <m/>
      </sharedItems>
    </cacheField>
    <cacheField name="Dues-Dec" numFmtId="0">
      <sharedItems containsString="0" containsBlank="1" containsNumber="1" count="4">
        <m/>
        <n v="0"/>
        <n v="35520.93"/>
        <n v="90"/>
      </sharedItems>
    </cacheField>
    <cacheField name="2026 dues paid" numFmtId="164">
      <sharedItems containsString="0" containsBlank="1" containsNumber="1" count="35">
        <n v="120"/>
        <n v="300"/>
        <n v="0"/>
        <m/>
        <n v="240"/>
        <n v="167"/>
        <n v="200"/>
        <n v="270"/>
        <n v="100"/>
        <n v="140"/>
        <n v="170"/>
        <n v="50"/>
        <n v="190"/>
        <n v="80"/>
        <n v="150"/>
        <n v="180"/>
        <n v="160"/>
        <n v="480"/>
        <n v="60"/>
        <n v="193"/>
        <n v="20"/>
        <n v="1842"/>
        <n v="19260"/>
        <n v="3570"/>
        <n v="30"/>
        <n v="70"/>
        <n v="400"/>
        <n v="9150"/>
        <n v="500"/>
        <n v="4650"/>
        <n v="2000"/>
        <n v="33552"/>
        <n v="-17150"/>
        <n v="36987.299999999996"/>
        <n v="89.901818181818186"/>
      </sharedItems>
    </cacheField>
    <cacheField name="2026 balance" numFmtId="164">
      <sharedItems containsString="0" containsBlank="1" containsNumber="1" containsInteger="1" count="25">
        <n v="-40"/>
        <n v="140"/>
        <n v="-120"/>
        <m/>
        <n v="200"/>
        <n v="-160"/>
        <n v="7"/>
        <n v="40"/>
        <n v="80"/>
        <n v="110"/>
        <n v="-60"/>
        <n v="60"/>
        <n v="10"/>
        <n v="-110"/>
        <n v="30"/>
        <n v="0"/>
        <n v="-10"/>
        <n v="160"/>
        <n v="-80"/>
        <n v="20"/>
        <n v="100"/>
        <n v="320"/>
        <n v="-100"/>
        <n v="-2193"/>
        <n v="-4346"/>
      </sharedItems>
    </cacheField>
    <cacheField name="2025 balance">
      <sharedItems containsBlank="1" containsMixedTypes="1" containsNumber="1" containsInteger="1" count="22">
        <n v="-240"/>
        <n v="80"/>
        <m/>
        <n v="0"/>
        <n v="-10"/>
        <n v="-80"/>
        <n v="-140"/>
        <n v="20"/>
        <n v="-200"/>
        <n v="-160"/>
        <n v="-20"/>
        <s v="-"/>
        <n v="-120"/>
        <n v="-190"/>
        <n v="110"/>
        <n v="-90"/>
        <n v="40"/>
        <n v="-110"/>
        <n v="-180"/>
        <n v="-50"/>
        <n v="-5830"/>
        <n v="-11420"/>
      </sharedItems>
    </cacheField>
    <cacheField name="2024 balance">
      <sharedItems containsBlank="1" containsMixedTypes="1" containsNumber="1" containsInteger="1" count="27">
        <n v="250"/>
        <n v="-240"/>
        <m/>
        <n v="80"/>
        <n v="60"/>
        <s v="-"/>
        <n v="170"/>
        <n v="40"/>
        <n v="-40"/>
        <n v="-140"/>
        <n v="0"/>
        <n v="240"/>
        <n v="-30"/>
        <n v="-130"/>
        <n v="-10"/>
        <n v="-20"/>
        <n v="100"/>
        <n v="20"/>
        <n v="180"/>
        <n v="-120"/>
        <n v="160"/>
        <n v="50"/>
        <n v="120"/>
        <n v="-80"/>
        <n v="70"/>
        <n v="13610"/>
        <n v="26280"/>
      </sharedItems>
    </cacheField>
    <cacheField name="2023 balance">
      <sharedItems containsBlank="1" containsMixedTypes="1" containsNumber="1" containsInteger="1" count="18">
        <n v="-10"/>
        <n v="180"/>
        <m/>
        <n v="-60"/>
        <s v="-"/>
        <n v="0"/>
        <n v="100"/>
        <n v="-240"/>
        <n v="20"/>
        <n v="40"/>
        <n v="-40"/>
        <n v="-20"/>
        <n v="160"/>
        <n v="10"/>
        <n v="-100"/>
        <n v="-150"/>
        <n v="11300"/>
        <n v="22300"/>
      </sharedItems>
    </cacheField>
    <cacheField name="2022 balance">
      <sharedItems containsBlank="1" containsMixedTypes="1" containsNumber="1" containsInteger="1" count="22">
        <s v="-"/>
        <n v="-120"/>
        <m/>
        <n v="-90"/>
        <n v="0"/>
        <n v="-20"/>
        <n v="-240"/>
        <n v="-70"/>
        <n v="-100"/>
        <n v="240"/>
        <n v="20"/>
        <n v="-170"/>
        <n v="-80"/>
        <n v="10"/>
        <n v="120"/>
        <n v="-140"/>
        <n v="80"/>
        <n v="90"/>
        <n v="60"/>
        <n v="30"/>
        <n v="-1970"/>
        <n v="-6510"/>
      </sharedItems>
    </cacheField>
    <cacheField name="2021 balance2">
      <sharedItems containsBlank="1" containsMixedTypes="1" containsNumber="1" containsInteger="1" count="16">
        <s v="-"/>
        <n v="-80"/>
        <m/>
        <n v="0"/>
        <n v="-20"/>
        <n v="50"/>
        <n v="-40"/>
        <n v="-60"/>
        <n v="-120"/>
        <n v="10"/>
        <n v="40"/>
        <n v="-50"/>
        <n v="-140"/>
        <n v="-190"/>
        <n v="-1150"/>
        <n v="-2850"/>
      </sharedItems>
    </cacheField>
    <cacheField name="2020 balance">
      <sharedItems containsBlank="1" containsMixedTypes="1" containsNumber="1" containsInteger="1" count="22">
        <s v="-"/>
        <n v="-140"/>
        <m/>
        <n v="0"/>
        <n v="320"/>
        <n v="80"/>
        <n v="-60"/>
        <n v="-120"/>
        <n v="-40"/>
        <n v="200"/>
        <n v="110"/>
        <n v="360"/>
        <n v="-5"/>
        <n v="5"/>
        <n v="220"/>
        <n v="90"/>
        <n v="50"/>
        <n v="340"/>
        <n v="325"/>
        <n v="330"/>
        <n v="2905"/>
        <n v="5810"/>
      </sharedItems>
    </cacheField>
    <cacheField name="2019 balance">
      <sharedItems containsBlank="1" containsMixedTypes="1" containsNumber="1" containsInteger="1" count="8">
        <s v="-"/>
        <m/>
        <n v="120"/>
        <n v="0"/>
        <n v="30"/>
        <n v="100"/>
        <n v="280"/>
        <n v="560"/>
      </sharedItems>
    </cacheField>
    <cacheField name="2018 balance">
      <sharedItems containsBlank="1" containsMixedTypes="1" containsNumber="1" containsInteger="1" count="9">
        <s v="-"/>
        <m/>
        <n v="0"/>
        <n v="40"/>
        <n v="-60"/>
        <n v="-5"/>
        <n v="70"/>
        <n v="110"/>
        <n v="220"/>
      </sharedItems>
    </cacheField>
    <cacheField name="Total" numFmtId="164">
      <sharedItems containsString="0" containsBlank="1" containsNumber="1" count="54">
        <n v="-40"/>
        <n v="-180"/>
        <n v="-120"/>
        <m/>
        <n v="-110"/>
        <n v="-130"/>
        <n v="90"/>
        <n v="-440"/>
        <n v="-450"/>
        <n v="67"/>
        <n v="-140"/>
        <n v="180"/>
        <n v="-520"/>
        <n v="-340"/>
        <n v="-100"/>
        <n v="-220"/>
        <n v="-400"/>
        <n v="-160"/>
        <n v="-170"/>
        <n v="-270"/>
        <n v="-280"/>
        <n v="80"/>
        <n v="30"/>
        <n v="140"/>
        <n v="-460"/>
        <n v="0"/>
        <n v="-10"/>
        <n v="40"/>
        <n v="-970"/>
        <n v="500"/>
        <n v="300"/>
        <n v="-760"/>
        <n v="-290"/>
        <n v="-210"/>
        <n v="-80"/>
        <n v="-390"/>
        <n v="100"/>
        <n v="50"/>
        <n v="-260"/>
        <n v="165"/>
        <n v="193"/>
        <n v="20"/>
        <n v="1842"/>
        <n v="19260"/>
        <n v="3570"/>
        <n v="400"/>
        <n v="9150"/>
        <n v="200"/>
        <n v="9300"/>
        <n v="2000"/>
        <n v="33552"/>
        <n v="-21900"/>
        <n v="35728.859999999993"/>
        <n v="89.886477272727276"/>
      </sharedItems>
    </cacheField>
    <cacheField name="Financial GoodStanding" numFmtId="0">
      <sharedItems containsBlank="1" count="3">
        <s v="Yes"/>
        <m/>
        <s v="No"/>
      </sharedItems>
    </cacheField>
    <cacheField name="%Attendance" numFmtId="9">
      <sharedItems containsString="0" containsBlank="1" containsNumber="1" count="6">
        <n v="0.2857142857142857"/>
        <n v="0.14285714285714285"/>
        <m/>
        <n v="0.42857142857142855"/>
        <n v="0"/>
        <n v="0.5714285714285714"/>
      </sharedItems>
    </cacheField>
    <cacheField name="Levies">
      <sharedItems containsBlank="1" containsMixedTypes="1" containsNumber="1" containsInteger="1" count="6">
        <n v="0"/>
        <m/>
        <n v="-50"/>
        <s v="-"/>
        <n v="-200"/>
        <n v="-150"/>
      </sharedItems>
    </cacheField>
    <cacheField name="Years active">
      <sharedItems containsBlank="1" containsMixedTypes="1" containsNumber="1" count="10">
        <s v="2+"/>
        <n v="0.42739726027397262"/>
        <m/>
        <n v="0.75342465753424659"/>
        <n v="1.7534246575342465"/>
        <n v="1.5863013698630137"/>
        <n v="1.6712328767123288"/>
        <n v="0.33972602739726027"/>
        <n v="0.52328767123287667"/>
        <n v="1.1726027397260275"/>
      </sharedItems>
    </cacheField>
    <cacheField name="GoodStanding" numFmtId="0">
      <sharedItems containsBlank="1" count="2">
        <s v="No"/>
        <m/>
      </sharedItems>
    </cacheField>
    <cacheField name="Voter" numFmtId="0">
      <sharedItems containsBlank="1" count="3">
        <s v="No"/>
        <m/>
        <s v="-"/>
      </sharedItems>
    </cacheField>
    <cacheField name="Insurance?" numFmtId="0">
      <sharedItems containsBlank="1" count="4">
        <s v="Yes"/>
        <s v="No"/>
        <m/>
        <s v="-"/>
      </sharedItems>
    </cacheField>
    <cacheField name="Ins. premium paid" numFmtId="0">
      <sharedItems containsString="0" containsBlank="1" containsNumber="1" containsInteger="1" count="4">
        <m/>
        <n v="153"/>
        <n v="154"/>
        <n v="614"/>
      </sharedItems>
    </cacheField>
    <cacheField name="Wrapper type" numFmtId="164">
      <sharedItems containsBlank="1" count="4">
        <s v="f"/>
        <s v="m"/>
        <m/>
        <s v="-"/>
      </sharedItems>
    </cacheField>
    <cacheField name="Wrapper ordered" numFmtId="0">
      <sharedItems containsString="0" containsBlank="1" containsNumber="1" containsInteger="1" count="3">
        <n v="1"/>
        <m/>
        <n v="2"/>
      </sharedItems>
    </cacheField>
    <cacheField name="Wrapper payment">
      <sharedItems containsBlank="1" containsMixedTypes="1" containsNumber="1" containsInteger="1" count="6">
        <n v="120"/>
        <m/>
        <n v="300"/>
        <n v="240"/>
        <s v="-"/>
        <n v="6420"/>
      </sharedItems>
    </cacheField>
    <cacheField name="Hosting">
      <sharedItems containsDate="1" containsBlank="1" containsMixedTypes="1" count="19">
        <d v="2027-03-01T00:00:00"/>
        <s v="-"/>
        <s v="New"/>
        <m/>
        <d v="2026-10-01T00:00:00"/>
        <d v="2026-11-01T00:00:00"/>
        <d v="2026-05-01T00:00:00"/>
        <d v="2026-03-01T00:00:00"/>
        <d v="2027-01-01T00:00:00"/>
        <d v="2027-04-01T00:00:00"/>
        <d v="2027-02-01T00:00:00"/>
        <s v="elder"/>
        <d v="2026-06-01T00:00:00"/>
        <d v="2026-02-01T00:00:00"/>
        <d v="2026-04-01T00:00:00"/>
        <d v="2026-01-01T00:00:00"/>
        <d v="2026-09-01T00:00:00"/>
        <d v="2026-07-01T00:00:00"/>
        <s v="moved/elder"/>
      </sharedItems>
    </cacheField>
    <cacheField name="Raffle tix UPUMI fundraiser">
      <sharedItems containsBlank="1" containsMixedTypes="1" containsNumber="1" containsInteger="1" count="3">
        <m/>
        <n v="50"/>
        <s v="-"/>
      </sharedItems>
    </cacheField>
    <cacheField name="Raffle tix UPUA convention">
      <sharedItems containsBlank="1" containsMixedTypes="1" containsNumber="1" containsInteger="1" count="5">
        <m/>
        <n v="20"/>
        <s v="-"/>
        <n v="-20"/>
        <n v="40"/>
      </sharedItems>
    </cacheField>
    <cacheField name="SSW contribution">
      <sharedItems containsBlank="1" containsMixedTypes="1" containsNumber="1" containsInteger="1" count="8">
        <m/>
        <n v="20"/>
        <s v="-"/>
        <n v="50"/>
        <n v="30"/>
        <n v="60"/>
        <n v="450"/>
        <n v="0"/>
      </sharedItems>
    </cacheField>
    <cacheField name="Anambra contribution">
      <sharedItems containsBlank="1" containsMixedTypes="1" containsNumber="1" containsInteger="1" count="8">
        <m/>
        <n v="50"/>
        <s v="-"/>
        <n v="20"/>
        <n v="30"/>
        <n v="100"/>
        <n v="630"/>
        <n v="0"/>
      </sharedItems>
    </cacheField>
    <cacheField name="upua 25 raffle">
      <sharedItems containsBlank="1" containsMixedTypes="1" containsNumber="1" containsInteger="1" count="6">
        <m/>
        <n v="20"/>
        <n v="40"/>
        <n v="80"/>
        <n v="0"/>
        <s v="-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2000000}">
  <cacheSource type="worksheet">
    <worksheetSource ref="A1:BA168" sheet="Member_Status"/>
  </cacheSource>
  <cacheFields count="53">
    <cacheField name="Status" numFmtId="0">
      <sharedItems containsBlank="1" count="5">
        <s v="Member"/>
        <s v="other income"/>
        <s v="expense"/>
        <s v="Balance"/>
        <m/>
      </sharedItems>
    </cacheField>
    <cacheField name="Title" numFmtId="0">
      <sharedItems containsBlank="1" count="10">
        <s v="Mrs."/>
        <s v="Mr."/>
        <s v="Pastor"/>
        <s v="Ms."/>
        <s v="Dr."/>
        <s v="Papa"/>
        <s v="Chief Mrs."/>
        <s v="Chief"/>
        <s v="na"/>
        <m/>
      </sharedItems>
    </cacheField>
    <cacheField name="Last" numFmtId="0">
      <sharedItems containsBlank="1" count="61">
        <s v="Abada"/>
        <s v="Agbara"/>
        <s v="Aguele"/>
        <s v="Akaba"/>
        <s v="Akporee"/>
        <s v="Alawuru"/>
        <s v="Amegee"/>
        <s v="Asidi"/>
        <s v="Atori"/>
        <s v="Chiefredo"/>
        <s v="Dilworth"/>
        <s v="Eghwofobe"/>
        <s v="Ejafiavwo"/>
        <s v="Emadamerho"/>
        <s v="Emekpe"/>
        <s v="Emetiyoma"/>
        <s v="Eruoto"/>
        <s v="Esegine"/>
        <s v="Evwaraye"/>
        <s v="George "/>
        <s v="Ighofose"/>
        <s v="Ikaji"/>
        <s v="Isiorho"/>
        <s v="Minor"/>
        <s v="Nana"/>
        <s v="Ngene"/>
        <s v="Obi"/>
        <s v="Odjugo"/>
        <s v="Ojugo"/>
        <s v="Oghoufo"/>
        <s v="Ojaruega"/>
        <s v="Okagbare"/>
        <s v="Okere"/>
        <s v="Okoko"/>
        <s v="Oleita"/>
        <s v="Onokpikini"/>
        <s v="Onomake"/>
        <s v="Onosode"/>
        <s v="Onyejiaka"/>
        <s v="Orhorhoro"/>
        <s v="Ozorewor"/>
        <s v="Scott-Emuakpor"/>
        <s v="Toweh"/>
        <s v="Uduchukwu"/>
        <s v="Ukavwe"/>
        <s v="Ukuyoma"/>
        <s v="Wanogho"/>
        <s v="Warrence"/>
        <s v="Meeting"/>
        <s v="Invitation"/>
        <s v="YAC fundraiser"/>
        <s v="Insurance premiums"/>
        <s v="Wrapper payments"/>
        <s v="UPUA Raffle tickets"/>
        <s v="Bereavement Warrence P."/>
        <s v="Bereavement Toweh"/>
        <s v="Hosting expenses"/>
        <m/>
        <s v="Payments"/>
        <s v="Total"/>
        <s v="Account"/>
      </sharedItems>
    </cacheField>
    <cacheField name="First" numFmtId="0">
      <sharedItems containsBlank="1" count="110">
        <s v="Evi"/>
        <s v="Otuke"/>
        <s v="Onome"/>
        <s v="Omolara"/>
        <s v="Sarah"/>
        <s v="Maureen"/>
        <s v="Monday"/>
        <s v="Emudiaga"/>
        <s v="Precious"/>
        <s v="Ruona"/>
        <s v="Fejiro"/>
        <s v="Victoria"/>
        <s v="Merit"/>
        <s v="Aghogho"/>
        <s v="Ngozi"/>
        <s v="Robinson"/>
        <s v="Krishawn"/>
        <s v="Belief"/>
        <s v="Enovwo"/>
        <s v="Kwesi"/>
        <s v="Jude"/>
        <s v="Johnson"/>
        <s v="Rebecca"/>
        <s v="Laura Adejoke"/>
        <s v="Tive"/>
        <s v="Lovette"/>
        <s v="Ochuko"/>
        <s v="Theresa"/>
        <s v="Kehinde"/>
        <s v="Annete-Onoriode"/>
        <s v="Edewor"/>
        <s v="Tessy"/>
        <s v="Jeff"/>
        <s v="Abigail Enaibre"/>
        <s v="Emuobonuvie"/>
        <s v="Julie"/>
        <s v="Joeseph Efe"/>
        <s v="Christina"/>
        <s v="Vera"/>
        <s v="Anthonia"/>
        <s v="Benson"/>
        <s v="Emuobosan"/>
        <s v="Onoerhime"/>
        <s v="Prince"/>
        <s v="Voke"/>
        <s v="Robert"/>
        <s v="Bruno"/>
        <s v="Agnes"/>
        <s v="Jones"/>
        <s v="Stella"/>
        <s v="Eguono"/>
        <s v="Kelvin"/>
        <s v="Ovieh"/>
        <s v="Oghogho"/>
        <s v="Terobinse"/>
        <s v="Daniel"/>
        <s v="Florence"/>
        <s v="Odiri"/>
        <s v="Francis Onoriode"/>
        <s v="Pedro"/>
        <s v="Tochukwu"/>
        <s v="Onagite"/>
        <s v="Felicia"/>
        <s v="Robinson "/>
        <s v="Joshua"/>
        <s v="Matthew"/>
        <s v="Gladys"/>
        <s v="Godfrey"/>
        <s v="Paul"/>
        <s v="Welcome Support"/>
        <s v="Lovette George"/>
        <s v="Dr Nana's contribution"/>
        <s v="Collected to date"/>
        <s v="paid by Akaba/Alawuru"/>
        <s v="Owerri"/>
        <s v="Orhorho"/>
        <s v="Theresa Ikajii"/>
        <m/>
        <s v="hosting checks"/>
        <s v="Wrapper Payment"/>
        <s v="Exco Birthday Gift"/>
        <s v="Ikwanu Umuahia Association (Owerri)"/>
        <s v="Fundraiser raffle &amp; invite"/>
        <s v="Fundraiser DJ"/>
        <s v="UPUMI FundRaiser Venue"/>
        <s v="UPUA Convention donation"/>
        <s v="UPUA Raffle tickets pay"/>
        <s v="July 4th Canopy Naigirain foundation "/>
        <s v="UPUMI full page AD UPUA 24 convention"/>
        <s v="UPUA Dues"/>
        <s v="Bereavement Payout Warrence"/>
        <s v="Insurance Premiums"/>
        <s v="Tax services"/>
        <s v="for memebers support"/>
        <s v="Wedding gifts"/>
        <s v="UPUA Life insurance"/>
        <s v="UPUA convention reimbursment"/>
        <s v="UPUA membership dues"/>
        <s v="Kids Christmas Gifts"/>
        <s v="Website"/>
        <s v="MI Registration"/>
        <s v="Scholarships/Grads - Rachel Akaba"/>
        <s v="Scholarships/Grads -"/>
        <s v="Zoom Acount"/>
        <s v="Christmas Party Hall"/>
        <s v="Christmas Party DJ"/>
        <s v="Income"/>
        <s v="Expense"/>
        <s v="Business"/>
        <s v="FundRaiser"/>
      </sharedItems>
    </cacheField>
    <cacheField name="Joined" numFmtId="17">
      <sharedItems containsDate="1" containsString="0" containsBlank="1" count="32">
        <d v="2023-07-23T00:00:00"/>
        <d v="2023-05-01T00:00:00"/>
        <d v="2001-01-01T00:00:00"/>
        <d v="2026-02-28T00:00:00"/>
        <d v="2026-05-01T00:00:00"/>
        <d v="2001-01-03T00:00:00"/>
        <d v="2001-01-02T00:00:00"/>
        <d v="2025-11-01T00:00:00"/>
        <d v="2001-01-04T00:00:00"/>
        <d v="2019-11-01T00:00:00"/>
        <d v="2024-11-01T00:00:00"/>
        <d v="2021-04-01T00:00:00"/>
        <d v="2025-01-01T00:00:00"/>
        <d v="2021-07-21T00:00:00"/>
        <d v="2019-09-01T00:00:00"/>
        <d v="2019-02-01T00:00:00"/>
        <d v="2023-06-01T00:00:00"/>
        <d v="2024-12-01T00:00:00"/>
        <d v="2024-02-24T00:00:00"/>
        <d v="2024-02-25T00:00:00"/>
        <d v="2023-10-28T00:00:00"/>
        <d v="2023-03-23T00:00:00"/>
        <d v="2022-04-01T00:00:00"/>
        <d v="2026-04-01T00:00:00"/>
        <d v="2019-06-01T00:00:00"/>
        <d v="2026-01-24T00:00:00"/>
        <d v="2021-07-01T00:00:00"/>
        <d v="2018-03-01T00:00:00"/>
        <d v="2018-07-01T00:00:00"/>
        <d v="2019-10-01T00:00:00"/>
        <d v="2025-06-01T00:00:00"/>
        <m/>
      </sharedItems>
    </cacheField>
    <cacheField name="Phone2">
      <sharedItems containsBlank="1" containsMixedTypes="1" containsNumber="1" containsInteger="1" count="71">
        <s v="(857) 248-8789"/>
        <n v="8576159120"/>
        <n v="5862296613"/>
        <n v="5863295145"/>
        <n v="3134874212"/>
        <n v="2482275923"/>
        <n v="7347262408"/>
        <n v="7342762638"/>
        <n v="2487521535"/>
        <n v="6185414024"/>
        <n v="7345951092"/>
        <n v="2487473278"/>
        <n v="3135302348"/>
        <n v="2482527976"/>
        <n v="7344449859"/>
        <n v="2485210669"/>
        <n v="3132181786"/>
        <n v="2488852808"/>
        <s v=" (248) 766-3000"/>
        <n v="9062039273"/>
        <n v="2485048066"/>
        <n v="2489125998"/>
        <s v="810 4105267"/>
        <s v="313 6900667"/>
        <s v="(248)736 7156."/>
        <s v="(313) 529-0205"/>
        <s v="(313) 487-4212"/>
        <n v="3132581826"/>
        <n v="13462821181"/>
        <n v="2487471200"/>
        <n v="2486672255"/>
        <n v="3135566202"/>
        <n v="3132587910"/>
        <n v="3138296855"/>
        <n v="7346297746"/>
        <n v="3136758795"/>
        <n v="7347575901"/>
        <n v="3133169728"/>
        <n v="3134099022"/>
        <n v="3134099011"/>
        <n v="2486366884"/>
        <n v="2483764669"/>
        <n v="2483465357"/>
        <n v="2485953225"/>
        <n v="2486671660"/>
        <n v="5862223482"/>
        <s v="(313) 530-2348"/>
        <n v="8323878068"/>
        <n v="7133677639"/>
        <n v="5173317291"/>
        <n v="5172750770"/>
        <n v="2488926183"/>
        <n v="2484447478"/>
        <n v="2484447679"/>
        <n v="4199121533"/>
        <n v="3132317305"/>
        <n v="3133774234"/>
        <n v="3133356953"/>
        <n v="2699992446"/>
        <n v="5172901677"/>
        <n v="2693399903"/>
        <n v="7347722949"/>
        <n v="7347728050"/>
        <n v="3133030114"/>
        <n v="3133038792"/>
        <n v="3134145840"/>
        <n v="2489435989"/>
        <n v="2489435811"/>
        <n v="2487732278"/>
        <n v="2487731173"/>
        <m/>
      </sharedItems>
    </cacheField>
    <cacheField name="Email" numFmtId="0">
      <sharedItems containsBlank="1" count="35">
        <m/>
        <s v="abada351@gmail.com"/>
        <s v="vico08omolara@yahoo.com"/>
        <e v="#N/A"/>
        <s v="onomeagbarha@hotmail.com"/>
        <s v="jformula123@gmail.com"/>
        <s v="mondaya@comcast.net"/>
        <s v="palawuru@yahoo.com"/>
        <s v="meanvipro@yahoo.com"/>
        <e v="#REF!"/>
        <s v="reghwofobe@peoplepc.com"/>
        <s v="ejefia@hotmail.com"/>
        <s v="lae4766@gmail.com"/>
        <s v="Te2675@yahoo.com"/>
        <s v="lovette_george@yahoo.com"/>
        <s v="tubitaki@aol.com"/>
        <s v="emuoboq@gmail.com"/>
        <s v="emoubo4real@yahoo.com"/>
        <s v="n/a"/>
        <s v="onoerhime@gmail.com"/>
        <s v="mobo1777@gmail.com"/>
        <s v="daddyprince73@yahoo.com"/>
        <s v="toben4@yahoo.com"/>
        <s v="goddeyok@gmail.com"/>
        <s v="mail2vokeus@yahoo.com"/>
        <s v="b_okere@yahoo.com"/>
        <s v="oleitaj@gmail.com"/>
        <s v="eguonochantex@gmail.com"/>
        <s v="oviehonomake@aol.com"/>
        <s v="e_onosode@yahoo.com"/>
        <s v="oghogho_ng@yahoo.com"/>
        <s v="danorhorhoro@yahoo.com"/>
        <s v="ukavwe@icloud.com"/>
        <s v="gladyswanogho@icloud.com"/>
        <s v="etareri@yahoo.com"/>
      </sharedItems>
    </cacheField>
    <cacheField name="Jan" numFmtId="0">
      <sharedItems containsBlank="1" count="3">
        <s v="Present"/>
        <m/>
        <s v="Excused"/>
      </sharedItems>
    </cacheField>
    <cacheField name="Dues-Jan" numFmtId="0">
      <sharedItems containsString="0" containsBlank="1" containsNumber="1" count="7">
        <m/>
        <n v="20"/>
        <n v="90"/>
        <n v="100"/>
        <n v="400"/>
        <n v="0"/>
        <n v="35520.93"/>
      </sharedItems>
    </cacheField>
    <cacheField name="Feb" numFmtId="0">
      <sharedItems containsBlank="1" count="3">
        <m/>
        <s v="Present"/>
        <s v="Excused"/>
      </sharedItems>
    </cacheField>
    <cacheField name="Dues-Feb" numFmtId="0">
      <sharedItems containsString="0" containsBlank="1" containsNumber="1" count="15">
        <m/>
        <n v="20"/>
        <n v="200"/>
        <n v="50"/>
        <n v="120"/>
        <n v="240"/>
        <n v="480"/>
        <n v="59"/>
        <n v="300"/>
        <n v="100"/>
        <n v="750"/>
        <n v="1659"/>
        <n v="-900"/>
        <n v="37349.93"/>
        <n v="90"/>
      </sharedItems>
    </cacheField>
    <cacheField name="Mar" numFmtId="0">
      <sharedItems containsBlank="1" count="3">
        <m/>
        <s v="Excused"/>
        <s v="Present"/>
      </sharedItems>
    </cacheField>
    <cacheField name="Dues-Mar" numFmtId="0">
      <sharedItems containsString="0" containsBlank="1" containsNumber="1" count="19">
        <m/>
        <n v="120"/>
        <n v="20"/>
        <n v="167"/>
        <n v="270"/>
        <n v="50"/>
        <n v="40"/>
        <n v="240"/>
        <n v="100"/>
        <n v="80"/>
        <n v="614"/>
        <n v="6420"/>
        <n v="1400"/>
        <n v="1190"/>
        <n v="30"/>
        <n v="12901"/>
        <n v="-100"/>
        <n v="42812.93"/>
        <n v="90"/>
      </sharedItems>
    </cacheField>
    <cacheField name="Apr" numFmtId="0">
      <sharedItems containsString="0" containsBlank="1" count="1">
        <m/>
      </sharedItems>
    </cacheField>
    <cacheField name="Dues-Apr" numFmtId="164">
      <sharedItems containsString="0" containsBlank="1" containsNumber="1" count="21">
        <n v="120"/>
        <m/>
        <n v="20"/>
        <n v="240"/>
        <n v="130"/>
        <n v="190"/>
        <n v="80"/>
        <n v="160"/>
        <n v="180"/>
        <n v="84"/>
        <n v="614"/>
        <n v="6420"/>
        <n v="1400"/>
        <n v="1190"/>
        <n v="100"/>
        <n v="4200"/>
        <n v="2000"/>
        <n v="11158"/>
        <n v="-6300"/>
        <n v="42332.93"/>
        <n v="89.73"/>
      </sharedItems>
    </cacheField>
    <cacheField name="May" numFmtId="0">
      <sharedItems containsBlank="1" count="3">
        <m/>
        <s v="Present"/>
        <s v="Excused"/>
      </sharedItems>
    </cacheField>
    <cacheField name=" Dues-May ">
      <sharedItems containsBlank="1" containsMixedTypes="1" containsNumber="1" count="17">
        <m/>
        <n v="300"/>
        <n v="200"/>
        <n v="240"/>
        <n v="20"/>
        <s v="-"/>
        <n v="100"/>
        <n v="614"/>
        <n v="6420"/>
        <n v="1400"/>
        <n v="1190"/>
        <n v="4200"/>
        <n v="500"/>
        <n v="10784"/>
        <n v="-5100"/>
        <n v="35520.93"/>
        <n v="90"/>
      </sharedItems>
    </cacheField>
    <cacheField name="Jun" numFmtId="0">
      <sharedItems containsString="0" containsBlank="1" count="1">
        <m/>
      </sharedItems>
    </cacheField>
    <cacheField name="Dues-Jun" numFmtId="0">
      <sharedItems containsString="0" containsBlank="1" containsNumber="1" count="11">
        <m/>
        <n v="20"/>
        <n v="100"/>
        <n v="120"/>
        <n v="240"/>
        <n v="70"/>
        <n v="4650"/>
        <n v="910"/>
        <n v="-4750"/>
        <n v="35394"/>
        <n v="89.73"/>
      </sharedItems>
    </cacheField>
    <cacheField name="Jul" numFmtId="0">
      <sharedItems containsString="0" containsBlank="1" count="1">
        <m/>
      </sharedItems>
    </cacheField>
    <cacheField name="Dues-Jul">
      <sharedItems containsBlank="1" containsMixedTypes="1" containsNumber="1" count="6">
        <m/>
        <s v="-"/>
        <n v="140"/>
        <n v="0"/>
        <n v="35844.93"/>
        <n v="89.73"/>
      </sharedItems>
    </cacheField>
    <cacheField name="Aug" numFmtId="0">
      <sharedItems containsString="0" containsBlank="1" count="1">
        <m/>
      </sharedItems>
    </cacheField>
    <cacheField name="Dues-Aug" numFmtId="0">
      <sharedItems containsString="0" containsBlank="1" containsNumber="1" count="4">
        <m/>
        <n v="0"/>
        <n v="35520.93"/>
        <n v="89.73"/>
      </sharedItems>
    </cacheField>
    <cacheField name="Sep" numFmtId="0">
      <sharedItems containsString="0" containsBlank="1" count="1">
        <m/>
      </sharedItems>
    </cacheField>
    <cacheField name="Dues-Sep" numFmtId="0">
      <sharedItems containsString="0" containsBlank="1" containsNumber="1" count="4">
        <m/>
        <n v="0"/>
        <n v="35520.93"/>
        <n v="90"/>
      </sharedItems>
    </cacheField>
    <cacheField name="Oct" numFmtId="0">
      <sharedItems containsString="0" containsBlank="1" count="1">
        <m/>
      </sharedItems>
    </cacheField>
    <cacheField name="Dues-Oct" numFmtId="0">
      <sharedItems containsString="0" containsBlank="1" containsNumber="1" count="4">
        <m/>
        <n v="0"/>
        <n v="35520.93"/>
        <n v="90"/>
      </sharedItems>
    </cacheField>
    <cacheField name="Nov" numFmtId="0">
      <sharedItems containsString="0" containsBlank="1" count="1">
        <m/>
      </sharedItems>
    </cacheField>
    <cacheField name="Dues-Nov" numFmtId="0">
      <sharedItems containsString="0" containsBlank="1" containsNumber="1" count="4">
        <m/>
        <n v="0"/>
        <n v="35520.93"/>
        <n v="90"/>
      </sharedItems>
    </cacheField>
    <cacheField name="Dec" numFmtId="0">
      <sharedItems containsString="0" containsBlank="1" count="1">
        <m/>
      </sharedItems>
    </cacheField>
    <cacheField name="Dues-Dec" numFmtId="0">
      <sharedItems containsString="0" containsBlank="1" containsNumber="1" count="4">
        <m/>
        <n v="0"/>
        <n v="35520.93"/>
        <n v="90"/>
      </sharedItems>
    </cacheField>
    <cacheField name="2026 dues paid" numFmtId="164">
      <sharedItems containsString="0" containsBlank="1" containsNumber="1" count="35">
        <n v="120"/>
        <n v="300"/>
        <n v="0"/>
        <m/>
        <n v="240"/>
        <n v="167"/>
        <n v="200"/>
        <n v="270"/>
        <n v="100"/>
        <n v="140"/>
        <n v="170"/>
        <n v="50"/>
        <n v="190"/>
        <n v="80"/>
        <n v="150"/>
        <n v="180"/>
        <n v="160"/>
        <n v="480"/>
        <n v="60"/>
        <n v="193"/>
        <n v="20"/>
        <n v="1842"/>
        <n v="19260"/>
        <n v="3570"/>
        <n v="30"/>
        <n v="70"/>
        <n v="400"/>
        <n v="9150"/>
        <n v="500"/>
        <n v="4650"/>
        <n v="2000"/>
        <n v="33552"/>
        <n v="-17150"/>
        <n v="36987.299999999996"/>
        <n v="89.901818181818186"/>
      </sharedItems>
    </cacheField>
    <cacheField name="2026 balance" numFmtId="164">
      <sharedItems containsString="0" containsBlank="1" containsNumber="1" containsInteger="1" count="25">
        <n v="-40"/>
        <n v="140"/>
        <n v="-120"/>
        <m/>
        <n v="200"/>
        <n v="-160"/>
        <n v="7"/>
        <n v="40"/>
        <n v="80"/>
        <n v="110"/>
        <n v="-60"/>
        <n v="60"/>
        <n v="10"/>
        <n v="-110"/>
        <n v="30"/>
        <n v="0"/>
        <n v="-10"/>
        <n v="160"/>
        <n v="-80"/>
        <n v="20"/>
        <n v="100"/>
        <n v="320"/>
        <n v="-100"/>
        <n v="-2193"/>
        <n v="-4346"/>
      </sharedItems>
    </cacheField>
    <cacheField name="2025 balance">
      <sharedItems containsBlank="1" containsMixedTypes="1" containsNumber="1" containsInteger="1" count="22">
        <n v="-240"/>
        <n v="80"/>
        <m/>
        <n v="0"/>
        <n v="-10"/>
        <n v="-80"/>
        <n v="-140"/>
        <n v="20"/>
        <n v="-200"/>
        <n v="-160"/>
        <n v="-20"/>
        <s v="-"/>
        <n v="-120"/>
        <n v="-190"/>
        <n v="110"/>
        <n v="-90"/>
        <n v="40"/>
        <n v="-110"/>
        <n v="-180"/>
        <n v="-50"/>
        <n v="-5830"/>
        <n v="-11420"/>
      </sharedItems>
    </cacheField>
    <cacheField name="2024 balance">
      <sharedItems containsBlank="1" containsMixedTypes="1" containsNumber="1" containsInteger="1" count="27">
        <n v="250"/>
        <n v="-240"/>
        <m/>
        <n v="80"/>
        <n v="60"/>
        <s v="-"/>
        <n v="170"/>
        <n v="40"/>
        <n v="-40"/>
        <n v="-140"/>
        <n v="0"/>
        <n v="240"/>
        <n v="-30"/>
        <n v="-130"/>
        <n v="-10"/>
        <n v="-20"/>
        <n v="100"/>
        <n v="20"/>
        <n v="180"/>
        <n v="-120"/>
        <n v="160"/>
        <n v="50"/>
        <n v="120"/>
        <n v="-80"/>
        <n v="70"/>
        <n v="13610"/>
        <n v="26280"/>
      </sharedItems>
    </cacheField>
    <cacheField name="2023 balance">
      <sharedItems containsBlank="1" containsMixedTypes="1" containsNumber="1" containsInteger="1" count="18">
        <n v="-10"/>
        <n v="180"/>
        <m/>
        <n v="-60"/>
        <s v="-"/>
        <n v="0"/>
        <n v="100"/>
        <n v="-240"/>
        <n v="20"/>
        <n v="40"/>
        <n v="-40"/>
        <n v="-20"/>
        <n v="160"/>
        <n v="10"/>
        <n v="-100"/>
        <n v="-150"/>
        <n v="11300"/>
        <n v="22300"/>
      </sharedItems>
    </cacheField>
    <cacheField name="2022 balance">
      <sharedItems containsBlank="1" containsMixedTypes="1" containsNumber="1" containsInteger="1" count="22">
        <s v="-"/>
        <n v="-120"/>
        <m/>
        <n v="-90"/>
        <n v="0"/>
        <n v="-20"/>
        <n v="-240"/>
        <n v="-70"/>
        <n v="-100"/>
        <n v="240"/>
        <n v="20"/>
        <n v="-170"/>
        <n v="-80"/>
        <n v="10"/>
        <n v="120"/>
        <n v="-140"/>
        <n v="80"/>
        <n v="90"/>
        <n v="60"/>
        <n v="30"/>
        <n v="-1970"/>
        <n v="-6510"/>
      </sharedItems>
    </cacheField>
    <cacheField name="2021 balance2">
      <sharedItems containsBlank="1" containsMixedTypes="1" containsNumber="1" containsInteger="1" count="16">
        <s v="-"/>
        <n v="-80"/>
        <m/>
        <n v="0"/>
        <n v="-20"/>
        <n v="50"/>
        <n v="-40"/>
        <n v="-60"/>
        <n v="-120"/>
        <n v="10"/>
        <n v="40"/>
        <n v="-50"/>
        <n v="-140"/>
        <n v="-190"/>
        <n v="-1150"/>
        <n v="-2850"/>
      </sharedItems>
    </cacheField>
    <cacheField name="2020 balance">
      <sharedItems containsBlank="1" containsMixedTypes="1" containsNumber="1" containsInteger="1" count="22">
        <s v="-"/>
        <n v="-140"/>
        <m/>
        <n v="0"/>
        <n v="320"/>
        <n v="80"/>
        <n v="-60"/>
        <n v="-120"/>
        <n v="-40"/>
        <n v="200"/>
        <n v="110"/>
        <n v="360"/>
        <n v="-5"/>
        <n v="5"/>
        <n v="220"/>
        <n v="90"/>
        <n v="50"/>
        <n v="340"/>
        <n v="325"/>
        <n v="330"/>
        <n v="2905"/>
        <n v="5810"/>
      </sharedItems>
    </cacheField>
    <cacheField name="2019 balance">
      <sharedItems containsBlank="1" containsMixedTypes="1" containsNumber="1" containsInteger="1" count="8">
        <s v="-"/>
        <m/>
        <n v="120"/>
        <n v="0"/>
        <n v="30"/>
        <n v="100"/>
        <n v="280"/>
        <n v="560"/>
      </sharedItems>
    </cacheField>
    <cacheField name="2018 balance">
      <sharedItems containsBlank="1" containsMixedTypes="1" containsNumber="1" containsInteger="1" count="9">
        <s v="-"/>
        <m/>
        <n v="0"/>
        <n v="40"/>
        <n v="-60"/>
        <n v="-5"/>
        <n v="70"/>
        <n v="110"/>
        <n v="220"/>
      </sharedItems>
    </cacheField>
    <cacheField name="Total" numFmtId="164">
      <sharedItems containsString="0" containsBlank="1" containsNumber="1" count="54">
        <n v="-40"/>
        <n v="-180"/>
        <n v="-120"/>
        <m/>
        <n v="-110"/>
        <n v="-130"/>
        <n v="90"/>
        <n v="-440"/>
        <n v="-450"/>
        <n v="67"/>
        <n v="-140"/>
        <n v="180"/>
        <n v="-520"/>
        <n v="-340"/>
        <n v="-100"/>
        <n v="-220"/>
        <n v="-400"/>
        <n v="-160"/>
        <n v="-170"/>
        <n v="-270"/>
        <n v="-280"/>
        <n v="80"/>
        <n v="30"/>
        <n v="140"/>
        <n v="-460"/>
        <n v="0"/>
        <n v="-10"/>
        <n v="40"/>
        <n v="-970"/>
        <n v="500"/>
        <n v="300"/>
        <n v="-760"/>
        <n v="-290"/>
        <n v="-210"/>
        <n v="-80"/>
        <n v="-390"/>
        <n v="100"/>
        <n v="50"/>
        <n v="-260"/>
        <n v="165"/>
        <n v="193"/>
        <n v="20"/>
        <n v="1842"/>
        <n v="19260"/>
        <n v="3570"/>
        <n v="400"/>
        <n v="9150"/>
        <n v="200"/>
        <n v="9300"/>
        <n v="2000"/>
        <n v="33552"/>
        <n v="-21900"/>
        <n v="35728.859999999993"/>
        <n v="89.886477272727276"/>
      </sharedItems>
    </cacheField>
    <cacheField name="Financial GoodStanding" numFmtId="0">
      <sharedItems containsBlank="1" count="3">
        <s v="Yes"/>
        <m/>
        <s v="No"/>
      </sharedItems>
    </cacheField>
    <cacheField name="%Attendance" numFmtId="9">
      <sharedItems containsString="0" containsBlank="1" containsNumber="1" count="6">
        <n v="0.2857142857142857"/>
        <n v="0.14285714285714285"/>
        <m/>
        <n v="0.42857142857142855"/>
        <n v="0"/>
        <n v="0.5714285714285714"/>
      </sharedItems>
    </cacheField>
    <cacheField name="Levies">
      <sharedItems containsBlank="1" containsMixedTypes="1" containsNumber="1" containsInteger="1" count="6">
        <n v="0"/>
        <m/>
        <n v="-50"/>
        <s v="-"/>
        <n v="-200"/>
        <n v="-150"/>
      </sharedItems>
    </cacheField>
    <cacheField name="Years active">
      <sharedItems containsBlank="1" containsMixedTypes="1" containsNumber="1" count="10">
        <s v="2+"/>
        <n v="0.42739726027397262"/>
        <m/>
        <n v="0.75342465753424659"/>
        <n v="1.7534246575342465"/>
        <n v="1.5863013698630137"/>
        <n v="1.6712328767123288"/>
        <n v="0.33972602739726027"/>
        <n v="0.52328767123287667"/>
        <n v="1.1726027397260275"/>
      </sharedItems>
    </cacheField>
    <cacheField name="GoodStanding" numFmtId="0">
      <sharedItems containsBlank="1" count="2">
        <s v="No"/>
        <m/>
      </sharedItems>
    </cacheField>
    <cacheField name="Voter" numFmtId="0">
      <sharedItems containsBlank="1" count="3">
        <s v="No"/>
        <m/>
        <s v="-"/>
      </sharedItems>
    </cacheField>
    <cacheField name="Insurance?" numFmtId="0">
      <sharedItems containsBlank="1" count="4">
        <s v="Yes"/>
        <s v="No"/>
        <m/>
        <s v="-"/>
      </sharedItems>
    </cacheField>
    <cacheField name="Ins. premium paid" numFmtId="0">
      <sharedItems containsString="0" containsBlank="1" containsNumber="1" containsInteger="1" count="4">
        <m/>
        <n v="153"/>
        <n v="154"/>
        <n v="614"/>
      </sharedItems>
    </cacheField>
    <cacheField name="Wrapper type" numFmtId="164">
      <sharedItems containsBlank="1" count="4">
        <s v="f"/>
        <s v="m"/>
        <m/>
        <s v="-"/>
      </sharedItems>
    </cacheField>
    <cacheField name="Wrapper ordered" numFmtId="0">
      <sharedItems containsString="0" containsBlank="1" containsNumber="1" containsInteger="1" count="3">
        <n v="1"/>
        <m/>
        <n v="2"/>
      </sharedItems>
    </cacheField>
    <cacheField name="Wrapper payment">
      <sharedItems containsBlank="1" containsMixedTypes="1" containsNumber="1" containsInteger="1" count="6">
        <n v="120"/>
        <m/>
        <n v="300"/>
        <n v="240"/>
        <s v="-"/>
        <n v="64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4000000}">
  <cacheSource type="worksheet">
    <worksheetSource ref="A1:BB139" sheet="Member_Status"/>
  </cacheSource>
  <cacheFields count="54">
    <cacheField name="Status" numFmtId="0">
      <sharedItems count="4">
        <s v="Member"/>
        <s v="other income"/>
        <s v="expense"/>
        <s v="Balance"/>
      </sharedItems>
    </cacheField>
    <cacheField name="Title" numFmtId="0">
      <sharedItems containsBlank="1" count="10">
        <s v="Mrs."/>
        <s v="Mr."/>
        <s v="Pastor"/>
        <s v="Ms."/>
        <s v="Dr."/>
        <s v="Papa"/>
        <s v="Chief Mrs."/>
        <s v="Chief"/>
        <s v="na"/>
        <m/>
      </sharedItems>
    </cacheField>
    <cacheField name="Last" numFmtId="0">
      <sharedItems containsBlank="1" count="61">
        <s v="Abada"/>
        <s v="Agbara"/>
        <s v="Aguele"/>
        <s v="Akaba"/>
        <s v="Akporee"/>
        <s v="Alawuru"/>
        <s v="Amegee"/>
        <s v="Asidi"/>
        <s v="Atori"/>
        <s v="Chiefredo"/>
        <s v="Dilworth"/>
        <s v="Eghwofobe"/>
        <s v="Ejafiavwo"/>
        <s v="Emadamerho"/>
        <s v="Emekpe"/>
        <s v="Emetiyoma"/>
        <s v="Eruoto"/>
        <s v="Esegine"/>
        <s v="Evwaraye"/>
        <s v="George "/>
        <s v="Ighofose"/>
        <s v="Ikaji"/>
        <s v="Isiorho"/>
        <s v="Minor"/>
        <s v="Nana"/>
        <s v="Ngene"/>
        <s v="Obi"/>
        <s v="Odjugo"/>
        <s v="Ojugo"/>
        <s v="Oghoufo"/>
        <s v="Ojaruega"/>
        <s v="Okagbare"/>
        <s v="Okere"/>
        <s v="Okoko"/>
        <s v="Oleita"/>
        <s v="Onokpikini"/>
        <s v="Onomake"/>
        <s v="Onosode"/>
        <s v="Onyejiaka"/>
        <s v="Orhorhoro"/>
        <s v="Ozorewor"/>
        <s v="Scott-Emuakpor"/>
        <s v="Toweh"/>
        <s v="Uduchukwu"/>
        <s v="Ukavwe"/>
        <s v="Ukuyoma"/>
        <s v="Wanogho"/>
        <s v="Warrence"/>
        <s v="Meeting"/>
        <s v="Invitation"/>
        <s v="YAC fundraiser"/>
        <s v="Insurance premiums"/>
        <s v="Wrapper payments"/>
        <s v="UPUA Raffle tickets"/>
        <s v="Bereavement Warrence P."/>
        <s v="Bereavement Toweh"/>
        <s v="Hosting expenses"/>
        <m/>
        <s v="Payments"/>
        <s v="Total"/>
        <s v="Account"/>
      </sharedItems>
    </cacheField>
    <cacheField name="First" numFmtId="0">
      <sharedItems containsBlank="1" count="110">
        <s v="Evi"/>
        <s v="Otuke"/>
        <s v="Onome"/>
        <s v="Omolara"/>
        <s v="Sarah"/>
        <s v="Maureen"/>
        <s v="Monday"/>
        <s v="Emudiaga"/>
        <s v="Precious"/>
        <s v="Ruona"/>
        <s v="Fejiro"/>
        <s v="Victoria"/>
        <s v="Merit"/>
        <s v="Aghogho"/>
        <s v="Ngozi"/>
        <s v="Robinson"/>
        <s v="Krishawn"/>
        <s v="Belief"/>
        <s v="Enovwo"/>
        <s v="Kwesi"/>
        <s v="Jude"/>
        <s v="Johnson"/>
        <s v="Rebecca"/>
        <s v="Laura Adejoke"/>
        <s v="Tive"/>
        <s v="Lovette"/>
        <s v="Ochuko"/>
        <s v="Theresa"/>
        <s v="Kehinde"/>
        <s v="Annete-Onoriode"/>
        <s v="Edewor"/>
        <s v="Tessy"/>
        <s v="Jeff"/>
        <s v="Abigail Enaibre"/>
        <s v="Emuobonuvie"/>
        <s v="Julie"/>
        <s v="Joeseph Efe"/>
        <s v="Christina"/>
        <s v="Vera"/>
        <s v="Anthonia"/>
        <s v="Benson"/>
        <s v="Emuobosan"/>
        <s v="Onoerhime"/>
        <s v="Prince"/>
        <s v="Voke"/>
        <s v="Robert"/>
        <s v="Bruno"/>
        <s v="Agnes"/>
        <s v="Jones"/>
        <s v="Stella"/>
        <s v="Eguono"/>
        <s v="Kelvin"/>
        <s v="Ovieh"/>
        <s v="Oghogho"/>
        <s v="Terobinse"/>
        <s v="Daniel"/>
        <s v="Florence"/>
        <s v="Odiri"/>
        <s v="Francis Onoriode"/>
        <s v="Pedro"/>
        <s v="Tochukwu"/>
        <s v="Onagite"/>
        <s v="Felicia"/>
        <s v="Robinson "/>
        <s v="Joshua"/>
        <s v="Matthew"/>
        <s v="Gladys"/>
        <s v="Godfrey"/>
        <s v="Paul"/>
        <s v="Welcome Support"/>
        <s v="Lovette George"/>
        <s v="Dr Nana's contribution"/>
        <s v="Collected to date"/>
        <s v="paid by Akaba/Alawuru"/>
        <s v="Owerri"/>
        <s v="Orhorho"/>
        <s v="Theresa Ikajii"/>
        <m/>
        <s v="hosting checks"/>
        <s v="Wrapper Payment"/>
        <s v="Exco Birthday Gift"/>
        <s v="Ikwanu Umuahia Association (Owerri)"/>
        <s v="Fundraiser raffle &amp; invite"/>
        <s v="Fundraiser DJ"/>
        <s v="UPUMI FundRaiser Venue"/>
        <s v="UPUA Convention donation"/>
        <s v="UPUA Raffle tickets pay"/>
        <s v="July 4th Canopy Naigirain foundation "/>
        <s v="UPUMI full page AD UPUA 24 convention"/>
        <s v="UPUA Dues"/>
        <s v="Bereavement Payout Warrence"/>
        <s v="Insurance Premiums"/>
        <s v="Tax services"/>
        <s v="for memebers support"/>
        <s v="Wedding gifts"/>
        <s v="UPUA Life insurance"/>
        <s v="UPUA convention reimbursment"/>
        <s v="UPUA membership dues"/>
        <s v="Kids Christmas Gifts"/>
        <s v="Website"/>
        <s v="MI Registration"/>
        <s v="Scholarships/Grads - Rachel Akaba"/>
        <s v="Scholarships/Grads -"/>
        <s v="Zoom Acount"/>
        <s v="Christmas Party Hall"/>
        <s v="Christmas Party DJ"/>
        <s v="Income"/>
        <s v="Expense"/>
        <s v="Business"/>
        <s v="FundRaiser"/>
      </sharedItems>
    </cacheField>
    <cacheField name="Joined" numFmtId="17">
      <sharedItems containsDate="1" containsString="0" containsBlank="1" count="32">
        <d v="2023-07-23T00:00:00"/>
        <d v="2023-05-01T00:00:00"/>
        <d v="2001-01-01T00:00:00"/>
        <d v="2026-02-28T00:00:00"/>
        <d v="2026-05-01T00:00:00"/>
        <d v="2001-01-03T00:00:00"/>
        <d v="2001-01-02T00:00:00"/>
        <d v="2025-11-01T00:00:00"/>
        <d v="2001-01-04T00:00:00"/>
        <d v="2019-11-01T00:00:00"/>
        <d v="2024-11-01T00:00:00"/>
        <d v="2021-04-01T00:00:00"/>
        <d v="2025-01-01T00:00:00"/>
        <d v="2021-07-21T00:00:00"/>
        <d v="2019-09-01T00:00:00"/>
        <d v="2019-02-01T00:00:00"/>
        <d v="2023-06-01T00:00:00"/>
        <d v="2024-12-01T00:00:00"/>
        <d v="2024-02-24T00:00:00"/>
        <d v="2024-02-25T00:00:00"/>
        <d v="2023-10-28T00:00:00"/>
        <d v="2023-03-23T00:00:00"/>
        <d v="2022-04-01T00:00:00"/>
        <d v="2026-04-01T00:00:00"/>
        <d v="2019-06-01T00:00:00"/>
        <d v="2026-01-24T00:00:00"/>
        <d v="2021-07-01T00:00:00"/>
        <d v="2018-03-01T00:00:00"/>
        <d v="2018-07-01T00:00:00"/>
        <d v="2019-10-01T00:00:00"/>
        <d v="2025-06-01T00:00:00"/>
        <m/>
      </sharedItems>
    </cacheField>
    <cacheField name="Phone2">
      <sharedItems containsBlank="1" containsMixedTypes="1" containsNumber="1" containsInteger="1" count="71">
        <s v="(857) 248-8789"/>
        <n v="8576159120"/>
        <n v="5862296613"/>
        <n v="5863295145"/>
        <n v="3134874212"/>
        <n v="2482275923"/>
        <n v="7347262408"/>
        <n v="7342762638"/>
        <n v="2487521535"/>
        <n v="6185414024"/>
        <n v="7345951092"/>
        <n v="2487473278"/>
        <n v="3135302348"/>
        <n v="2482527976"/>
        <n v="7344449859"/>
        <n v="2485210669"/>
        <n v="3132181786"/>
        <n v="2488852808"/>
        <s v=" (248) 766-3000"/>
        <n v="9062039273"/>
        <n v="2485048066"/>
        <n v="2489125998"/>
        <s v="810 4105267"/>
        <s v="313 6900667"/>
        <s v="(248)736 7156."/>
        <s v="(313) 529-0205"/>
        <s v="(313) 487-4212"/>
        <n v="3132581826"/>
        <n v="13462821181"/>
        <n v="2487471200"/>
        <n v="2486672255"/>
        <n v="3135566202"/>
        <n v="3132587910"/>
        <n v="3138296855"/>
        <n v="7346297746"/>
        <n v="3136758795"/>
        <n v="7347575901"/>
        <n v="3133169728"/>
        <n v="3134099022"/>
        <n v="3134099011"/>
        <n v="2486366884"/>
        <n v="2483764669"/>
        <n v="2483465357"/>
        <n v="2485953225"/>
        <n v="2486671660"/>
        <n v="5862223482"/>
        <s v="(313) 530-2348"/>
        <n v="8323878068"/>
        <n v="7133677639"/>
        <n v="5173317291"/>
        <n v="5172750770"/>
        <n v="2488926183"/>
        <n v="2484447478"/>
        <n v="2484447679"/>
        <n v="4199121533"/>
        <n v="3132317305"/>
        <n v="3133774234"/>
        <n v="3133356953"/>
        <n v="2699992446"/>
        <n v="5172901677"/>
        <n v="2693399903"/>
        <n v="7347722949"/>
        <n v="7347728050"/>
        <n v="3133030114"/>
        <n v="3133038792"/>
        <n v="3134145840"/>
        <n v="2489435989"/>
        <n v="2489435811"/>
        <n v="2487732278"/>
        <n v="2487731173"/>
        <m/>
      </sharedItems>
    </cacheField>
    <cacheField name="Email" numFmtId="0">
      <sharedItems containsBlank="1" count="35">
        <m/>
        <s v="abada351@gmail.com"/>
        <s v="vico08omolara@yahoo.com"/>
        <e v="#N/A"/>
        <s v="onomeagbarha@hotmail.com"/>
        <s v="jformula123@gmail.com"/>
        <s v="mondaya@comcast.net"/>
        <s v="palawuru@yahoo.com"/>
        <s v="meanvipro@yahoo.com"/>
        <e v="#REF!"/>
        <s v="reghwofobe@peoplepc.com"/>
        <s v="ejefia@hotmail.com"/>
        <s v="lae4766@gmail.com"/>
        <s v="Te2675@yahoo.com"/>
        <s v="lovette_george@yahoo.com"/>
        <s v="tubitaki@aol.com"/>
        <s v="emuoboq@gmail.com"/>
        <s v="emoubo4real@yahoo.com"/>
        <s v="n/a"/>
        <s v="onoerhime@gmail.com"/>
        <s v="mobo1777@gmail.com"/>
        <s v="daddyprince73@yahoo.com"/>
        <s v="toben4@yahoo.com"/>
        <s v="goddeyok@gmail.com"/>
        <s v="mail2vokeus@yahoo.com"/>
        <s v="b_okere@yahoo.com"/>
        <s v="oleitaj@gmail.com"/>
        <s v="eguonochantex@gmail.com"/>
        <s v="oviehonomake@aol.com"/>
        <s v="e_onosode@yahoo.com"/>
        <s v="oghogho_ng@yahoo.com"/>
        <s v="danorhorhoro@yahoo.com"/>
        <s v="ukavwe@icloud.com"/>
        <s v="gladyswanogho@icloud.com"/>
        <s v="etareri@yahoo.com"/>
      </sharedItems>
    </cacheField>
    <cacheField name="Jan" numFmtId="0">
      <sharedItems containsBlank="1" count="3">
        <s v="Present"/>
        <m/>
        <s v="Excused"/>
      </sharedItems>
    </cacheField>
    <cacheField name="Dues-Jan" numFmtId="0">
      <sharedItems containsString="0" containsBlank="1" containsNumber="1" count="7">
        <m/>
        <n v="20"/>
        <n v="90"/>
        <n v="100"/>
        <n v="400"/>
        <n v="0"/>
        <n v="35520.93"/>
      </sharedItems>
    </cacheField>
    <cacheField name="Feb" numFmtId="0">
      <sharedItems containsBlank="1" count="3">
        <m/>
        <s v="Present"/>
        <s v="Excused"/>
      </sharedItems>
    </cacheField>
    <cacheField name="Dues-Feb" numFmtId="0">
      <sharedItems containsString="0" containsBlank="1" containsNumber="1" count="15">
        <m/>
        <n v="20"/>
        <n v="200"/>
        <n v="50"/>
        <n v="120"/>
        <n v="240"/>
        <n v="480"/>
        <n v="59"/>
        <n v="300"/>
        <n v="100"/>
        <n v="750"/>
        <n v="1659"/>
        <n v="-900"/>
        <n v="37349.93"/>
        <n v="90"/>
      </sharedItems>
    </cacheField>
    <cacheField name="Mar" numFmtId="0">
      <sharedItems containsBlank="1" count="3">
        <m/>
        <s v="Excused"/>
        <s v="Present"/>
      </sharedItems>
    </cacheField>
    <cacheField name="Dues-Mar" numFmtId="0">
      <sharedItems containsString="0" containsBlank="1" containsNumber="1" count="19">
        <m/>
        <n v="120"/>
        <n v="20"/>
        <n v="167"/>
        <n v="270"/>
        <n v="50"/>
        <n v="40"/>
        <n v="240"/>
        <n v="100"/>
        <n v="80"/>
        <n v="614"/>
        <n v="6420"/>
        <n v="1400"/>
        <n v="1190"/>
        <n v="30"/>
        <n v="12901"/>
        <n v="-100"/>
        <n v="42812.93"/>
        <n v="90"/>
      </sharedItems>
    </cacheField>
    <cacheField name="Apr" numFmtId="0">
      <sharedItems containsString="0" containsBlank="1" count="1">
        <m/>
      </sharedItems>
    </cacheField>
    <cacheField name="Dues-Apr" numFmtId="164">
      <sharedItems containsString="0" containsBlank="1" containsNumber="1" count="21">
        <n v="120"/>
        <m/>
        <n v="20"/>
        <n v="240"/>
        <n v="130"/>
        <n v="190"/>
        <n v="80"/>
        <n v="160"/>
        <n v="180"/>
        <n v="84"/>
        <n v="614"/>
        <n v="6420"/>
        <n v="1400"/>
        <n v="1190"/>
        <n v="100"/>
        <n v="4200"/>
        <n v="2000"/>
        <n v="11158"/>
        <n v="-6300"/>
        <n v="42332.93"/>
        <n v="89.73"/>
      </sharedItems>
    </cacheField>
    <cacheField name="May" numFmtId="0">
      <sharedItems containsBlank="1" count="3">
        <m/>
        <s v="Present"/>
        <s v="Excused"/>
      </sharedItems>
    </cacheField>
    <cacheField name=" Dues-May ">
      <sharedItems containsBlank="1" containsMixedTypes="1" containsNumber="1" count="17">
        <m/>
        <n v="300"/>
        <n v="200"/>
        <n v="240"/>
        <n v="20"/>
        <s v="-"/>
        <n v="100"/>
        <n v="614"/>
        <n v="6420"/>
        <n v="1400"/>
        <n v="1190"/>
        <n v="4200"/>
        <n v="500"/>
        <n v="10784"/>
        <n v="-5100"/>
        <n v="35520.93"/>
        <n v="90"/>
      </sharedItems>
    </cacheField>
    <cacheField name="Jun" numFmtId="0">
      <sharedItems containsString="0" containsBlank="1" count="1">
        <m/>
      </sharedItems>
    </cacheField>
    <cacheField name="Dues-Jun" numFmtId="0">
      <sharedItems containsString="0" containsBlank="1" containsNumber="1" count="11">
        <m/>
        <n v="20"/>
        <n v="100"/>
        <n v="120"/>
        <n v="240"/>
        <n v="70"/>
        <n v="4650"/>
        <n v="910"/>
        <n v="-4750"/>
        <n v="35394"/>
        <n v="89.73"/>
      </sharedItems>
    </cacheField>
    <cacheField name="Jul" numFmtId="0">
      <sharedItems containsString="0" containsBlank="1" count="1">
        <m/>
      </sharedItems>
    </cacheField>
    <cacheField name="Dues-Jul">
      <sharedItems containsBlank="1" containsMixedTypes="1" containsNumber="1" count="6">
        <m/>
        <s v="-"/>
        <n v="140"/>
        <n v="0"/>
        <n v="35844.93"/>
        <n v="89.73"/>
      </sharedItems>
    </cacheField>
    <cacheField name="Aug" numFmtId="0">
      <sharedItems containsString="0" containsBlank="1" count="1">
        <m/>
      </sharedItems>
    </cacheField>
    <cacheField name="Dues-Aug" numFmtId="0">
      <sharedItems containsString="0" containsBlank="1" containsNumber="1" count="4">
        <m/>
        <n v="0"/>
        <n v="35520.93"/>
        <n v="89.73"/>
      </sharedItems>
    </cacheField>
    <cacheField name="Sep" numFmtId="0">
      <sharedItems containsString="0" containsBlank="1" count="1">
        <m/>
      </sharedItems>
    </cacheField>
    <cacheField name="Dues-Sep" numFmtId="0">
      <sharedItems containsString="0" containsBlank="1" containsNumber="1" count="4">
        <m/>
        <n v="0"/>
        <n v="35520.93"/>
        <n v="90"/>
      </sharedItems>
    </cacheField>
    <cacheField name="Oct" numFmtId="0">
      <sharedItems containsString="0" containsBlank="1" count="1">
        <m/>
      </sharedItems>
    </cacheField>
    <cacheField name="Dues-Oct" numFmtId="0">
      <sharedItems containsString="0" containsBlank="1" containsNumber="1" count="4">
        <m/>
        <n v="0"/>
        <n v="35520.93"/>
        <n v="90"/>
      </sharedItems>
    </cacheField>
    <cacheField name="Nov" numFmtId="0">
      <sharedItems containsString="0" containsBlank="1" count="1">
        <m/>
      </sharedItems>
    </cacheField>
    <cacheField name="Dues-Nov" numFmtId="0">
      <sharedItems containsString="0" containsBlank="1" containsNumber="1" count="4">
        <m/>
        <n v="0"/>
        <n v="35520.93"/>
        <n v="90"/>
      </sharedItems>
    </cacheField>
    <cacheField name="Dec" numFmtId="0">
      <sharedItems containsString="0" containsBlank="1" count="1">
        <m/>
      </sharedItems>
    </cacheField>
    <cacheField name="Dues-Dec" numFmtId="0">
      <sharedItems containsString="0" containsBlank="1" containsNumber="1" count="4">
        <m/>
        <n v="0"/>
        <n v="35520.93"/>
        <n v="90"/>
      </sharedItems>
    </cacheField>
    <cacheField name="2026 dues paid" numFmtId="164">
      <sharedItems containsString="0" containsBlank="1" containsNumber="1" count="35">
        <n v="120"/>
        <n v="300"/>
        <n v="0"/>
        <m/>
        <n v="240"/>
        <n v="167"/>
        <n v="200"/>
        <n v="270"/>
        <n v="100"/>
        <n v="140"/>
        <n v="170"/>
        <n v="50"/>
        <n v="190"/>
        <n v="80"/>
        <n v="150"/>
        <n v="180"/>
        <n v="160"/>
        <n v="480"/>
        <n v="60"/>
        <n v="193"/>
        <n v="20"/>
        <n v="1842"/>
        <n v="19260"/>
        <n v="3570"/>
        <n v="30"/>
        <n v="70"/>
        <n v="400"/>
        <n v="9150"/>
        <n v="500"/>
        <n v="4650"/>
        <n v="2000"/>
        <n v="33552"/>
        <n v="-17150"/>
        <n v="36987.299999999996"/>
        <n v="89.901818181818186"/>
      </sharedItems>
    </cacheField>
    <cacheField name="2026 balance" numFmtId="164">
      <sharedItems containsString="0" containsBlank="1" containsNumber="1" containsInteger="1" count="25">
        <n v="-40"/>
        <n v="140"/>
        <n v="-120"/>
        <m/>
        <n v="200"/>
        <n v="-160"/>
        <n v="7"/>
        <n v="40"/>
        <n v="80"/>
        <n v="110"/>
        <n v="-60"/>
        <n v="60"/>
        <n v="10"/>
        <n v="-110"/>
        <n v="30"/>
        <n v="0"/>
        <n v="-10"/>
        <n v="160"/>
        <n v="-80"/>
        <n v="20"/>
        <n v="100"/>
        <n v="320"/>
        <n v="-100"/>
        <n v="-2193"/>
        <n v="-4346"/>
      </sharedItems>
    </cacheField>
    <cacheField name="2025 balance">
      <sharedItems containsBlank="1" containsMixedTypes="1" containsNumber="1" containsInteger="1" count="22">
        <n v="-240"/>
        <n v="80"/>
        <m/>
        <n v="0"/>
        <n v="-10"/>
        <n v="-80"/>
        <n v="-140"/>
        <n v="20"/>
        <n v="-200"/>
        <n v="-160"/>
        <n v="-20"/>
        <s v="-"/>
        <n v="-120"/>
        <n v="-190"/>
        <n v="110"/>
        <n v="-90"/>
        <n v="40"/>
        <n v="-110"/>
        <n v="-180"/>
        <n v="-50"/>
        <n v="-5830"/>
        <n v="-11420"/>
      </sharedItems>
    </cacheField>
    <cacheField name="2024 balance">
      <sharedItems containsBlank="1" containsMixedTypes="1" containsNumber="1" containsInteger="1" count="27">
        <n v="250"/>
        <n v="-240"/>
        <m/>
        <n v="80"/>
        <n v="60"/>
        <s v="-"/>
        <n v="170"/>
        <n v="40"/>
        <n v="-40"/>
        <n v="-140"/>
        <n v="0"/>
        <n v="240"/>
        <n v="-30"/>
        <n v="-130"/>
        <n v="-10"/>
        <n v="-20"/>
        <n v="100"/>
        <n v="20"/>
        <n v="180"/>
        <n v="-120"/>
        <n v="160"/>
        <n v="50"/>
        <n v="120"/>
        <n v="-80"/>
        <n v="70"/>
        <n v="13610"/>
        <n v="26280"/>
      </sharedItems>
    </cacheField>
    <cacheField name="2023 balance">
      <sharedItems containsBlank="1" containsMixedTypes="1" containsNumber="1" containsInteger="1" count="18">
        <n v="-10"/>
        <n v="180"/>
        <m/>
        <n v="-60"/>
        <s v="-"/>
        <n v="0"/>
        <n v="100"/>
        <n v="-240"/>
        <n v="20"/>
        <n v="40"/>
        <n v="-40"/>
        <n v="-20"/>
        <n v="160"/>
        <n v="10"/>
        <n v="-100"/>
        <n v="-150"/>
        <n v="11300"/>
        <n v="22300"/>
      </sharedItems>
    </cacheField>
    <cacheField name="2022 balance">
      <sharedItems containsBlank="1" containsMixedTypes="1" containsNumber="1" containsInteger="1" count="22">
        <s v="-"/>
        <n v="-120"/>
        <m/>
        <n v="-90"/>
        <n v="0"/>
        <n v="-20"/>
        <n v="-240"/>
        <n v="-70"/>
        <n v="-100"/>
        <n v="240"/>
        <n v="20"/>
        <n v="-170"/>
        <n v="-80"/>
        <n v="10"/>
        <n v="120"/>
        <n v="-140"/>
        <n v="80"/>
        <n v="90"/>
        <n v="60"/>
        <n v="30"/>
        <n v="-1970"/>
        <n v="-6510"/>
      </sharedItems>
    </cacheField>
    <cacheField name="2021 balance2">
      <sharedItems containsBlank="1" containsMixedTypes="1" containsNumber="1" containsInteger="1" count="16">
        <s v="-"/>
        <n v="-80"/>
        <m/>
        <n v="0"/>
        <n v="-20"/>
        <n v="50"/>
        <n v="-40"/>
        <n v="-60"/>
        <n v="-120"/>
        <n v="10"/>
        <n v="40"/>
        <n v="-50"/>
        <n v="-140"/>
        <n v="-190"/>
        <n v="-1150"/>
        <n v="-2850"/>
      </sharedItems>
    </cacheField>
    <cacheField name="2020 balance">
      <sharedItems containsBlank="1" containsMixedTypes="1" containsNumber="1" containsInteger="1" count="22">
        <s v="-"/>
        <n v="-140"/>
        <m/>
        <n v="0"/>
        <n v="320"/>
        <n v="80"/>
        <n v="-60"/>
        <n v="-120"/>
        <n v="-40"/>
        <n v="200"/>
        <n v="110"/>
        <n v="360"/>
        <n v="-5"/>
        <n v="5"/>
        <n v="220"/>
        <n v="90"/>
        <n v="50"/>
        <n v="340"/>
        <n v="325"/>
        <n v="330"/>
        <n v="2905"/>
        <n v="5810"/>
      </sharedItems>
    </cacheField>
    <cacheField name="2019 balance">
      <sharedItems containsBlank="1" containsMixedTypes="1" containsNumber="1" containsInteger="1" count="8">
        <s v="-"/>
        <m/>
        <n v="120"/>
        <n v="0"/>
        <n v="30"/>
        <n v="100"/>
        <n v="280"/>
        <n v="560"/>
      </sharedItems>
    </cacheField>
    <cacheField name="2018 balance">
      <sharedItems containsBlank="1" containsMixedTypes="1" containsNumber="1" containsInteger="1" count="9">
        <s v="-"/>
        <m/>
        <n v="0"/>
        <n v="40"/>
        <n v="-60"/>
        <n v="-5"/>
        <n v="70"/>
        <n v="110"/>
        <n v="220"/>
      </sharedItems>
    </cacheField>
    <cacheField name="Total" numFmtId="164">
      <sharedItems containsString="0" containsBlank="1" containsNumber="1" count="54">
        <n v="-40"/>
        <n v="-180"/>
        <n v="-120"/>
        <m/>
        <n v="-110"/>
        <n v="-130"/>
        <n v="90"/>
        <n v="-440"/>
        <n v="-450"/>
        <n v="67"/>
        <n v="-140"/>
        <n v="180"/>
        <n v="-520"/>
        <n v="-340"/>
        <n v="-100"/>
        <n v="-220"/>
        <n v="-400"/>
        <n v="-160"/>
        <n v="-170"/>
        <n v="-270"/>
        <n v="-280"/>
        <n v="80"/>
        <n v="30"/>
        <n v="140"/>
        <n v="-460"/>
        <n v="0"/>
        <n v="-10"/>
        <n v="40"/>
        <n v="-970"/>
        <n v="500"/>
        <n v="300"/>
        <n v="-760"/>
        <n v="-290"/>
        <n v="-210"/>
        <n v="-80"/>
        <n v="-390"/>
        <n v="100"/>
        <n v="50"/>
        <n v="-260"/>
        <n v="165"/>
        <n v="193"/>
        <n v="20"/>
        <n v="1842"/>
        <n v="19260"/>
        <n v="3570"/>
        <n v="400"/>
        <n v="9150"/>
        <n v="200"/>
        <n v="9300"/>
        <n v="2000"/>
        <n v="33552"/>
        <n v="-21900"/>
        <n v="35728.859999999993"/>
        <n v="89.886477272727276"/>
      </sharedItems>
    </cacheField>
    <cacheField name="Financial GoodStanding" numFmtId="0">
      <sharedItems containsBlank="1" count="3">
        <s v="Yes"/>
        <m/>
        <s v="No"/>
      </sharedItems>
    </cacheField>
    <cacheField name="%Attendance" numFmtId="9">
      <sharedItems containsString="0" containsBlank="1" containsNumber="1" count="6">
        <n v="0.2857142857142857"/>
        <n v="0.14285714285714285"/>
        <m/>
        <n v="0.42857142857142855"/>
        <n v="0"/>
        <n v="0.5714285714285714"/>
      </sharedItems>
    </cacheField>
    <cacheField name="Levies">
      <sharedItems containsBlank="1" containsMixedTypes="1" containsNumber="1" containsInteger="1" count="6">
        <n v="0"/>
        <m/>
        <n v="-50"/>
        <s v="-"/>
        <n v="-200"/>
        <n v="-150"/>
      </sharedItems>
    </cacheField>
    <cacheField name="Years active">
      <sharedItems containsBlank="1" containsMixedTypes="1" containsNumber="1" count="10">
        <s v="2+"/>
        <n v="0.42739726027397262"/>
        <m/>
        <n v="0.75342465753424659"/>
        <n v="1.7534246575342465"/>
        <n v="1.5863013698630137"/>
        <n v="1.6712328767123288"/>
        <n v="0.33972602739726027"/>
        <n v="0.52328767123287667"/>
        <n v="1.1726027397260275"/>
      </sharedItems>
    </cacheField>
    <cacheField name="GoodStanding" numFmtId="0">
      <sharedItems containsBlank="1" count="2">
        <s v="No"/>
        <m/>
      </sharedItems>
    </cacheField>
    <cacheField name="Voter" numFmtId="0">
      <sharedItems containsBlank="1" count="3">
        <s v="No"/>
        <m/>
        <s v="-"/>
      </sharedItems>
    </cacheField>
    <cacheField name="Insurance?" numFmtId="0">
      <sharedItems containsBlank="1" count="4">
        <s v="Yes"/>
        <s v="No"/>
        <m/>
        <s v="-"/>
      </sharedItems>
    </cacheField>
    <cacheField name="Ins. premium paid" numFmtId="0">
      <sharedItems containsString="0" containsBlank="1" containsNumber="1" containsInteger="1" count="4">
        <m/>
        <n v="153"/>
        <n v="154"/>
        <n v="614"/>
      </sharedItems>
    </cacheField>
    <cacheField name="Wrapper type" numFmtId="164">
      <sharedItems containsBlank="1" count="4">
        <s v="f"/>
        <s v="m"/>
        <m/>
        <s v="-"/>
      </sharedItems>
    </cacheField>
    <cacheField name="Wrapper ordered" numFmtId="0">
      <sharedItems containsString="0" containsBlank="1" containsNumber="1" containsInteger="1" count="3">
        <n v="1"/>
        <m/>
        <n v="2"/>
      </sharedItems>
    </cacheField>
    <cacheField name="Wrapper payment">
      <sharedItems containsBlank="1" containsMixedTypes="1" containsNumber="1" containsInteger="1" count="6">
        <n v="120"/>
        <m/>
        <n v="300"/>
        <n v="240"/>
        <s v="-"/>
        <n v="6420"/>
      </sharedItems>
    </cacheField>
    <cacheField name="Hosting">
      <sharedItems containsDate="1" containsBlank="1" containsMixedTypes="1" count="19">
        <d v="2027-03-01T00:00:00"/>
        <s v="-"/>
        <s v="New"/>
        <m/>
        <d v="2026-10-01T00:00:00"/>
        <d v="2026-11-01T00:00:00"/>
        <d v="2026-05-01T00:00:00"/>
        <d v="2026-03-01T00:00:00"/>
        <d v="2027-01-01T00:00:00"/>
        <d v="2027-04-01T00:00:00"/>
        <d v="2027-02-01T00:00:00"/>
        <s v="elder"/>
        <d v="2026-06-01T00:00:00"/>
        <d v="2026-02-01T00:00:00"/>
        <d v="2026-04-01T00:00:00"/>
        <d v="2026-01-01T00:00:00"/>
        <d v="2026-09-01T00:00:00"/>
        <d v="2026-07-01T00:00:00"/>
        <s v="moved/el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PivotTables 5" cacheId="4" applyNumberFormats="0" applyBorderFormats="0" applyFontFormats="0" applyPatternFormats="0" applyAlignmentFormats="0" applyWidthHeightFormats="0" dataCaption="" rowGrandTotals="0" compact="0" compactData="0">
  <location ref="AV3:BC77" firstHeaderRow="0" firstDataRow="0" firstDataCol="0" rowPageCount="1" colPageCount="1"/>
  <pivotFields count="54">
    <pivotField name="Status" axis="axisPage" compact="0" outline="0" multipleItemSelectionAllowed="1" showAll="0">
      <items count="5">
        <item x="0"/>
        <item h="1" x="1"/>
        <item h="1" x="2"/>
        <item h="1" x="3"/>
        <item t="default"/>
      </items>
    </pivotField>
    <pivotField name="Title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" axis="axisRow" compact="0" outline="0" multipleItemSelectionAllowed="1" showAll="0" sortType="ascending" defaultSubtotal="0">
      <items count="61">
        <item x="57"/>
        <item x="0"/>
        <item x="60"/>
        <item x="1"/>
        <item x="2"/>
        <item x="3"/>
        <item x="4"/>
        <item x="5"/>
        <item x="6"/>
        <item x="7"/>
        <item x="8"/>
        <item x="55"/>
        <item x="54"/>
        <item x="9"/>
        <item x="10"/>
        <item x="11"/>
        <item x="12"/>
        <item x="13"/>
        <item x="14"/>
        <item x="15"/>
        <item x="16"/>
        <item x="17"/>
        <item x="18"/>
        <item x="19"/>
        <item x="56"/>
        <item x="20"/>
        <item x="21"/>
        <item x="51"/>
        <item x="49"/>
        <item x="22"/>
        <item x="48"/>
        <item x="23"/>
        <item x="24"/>
        <item x="25"/>
        <item x="26"/>
        <item x="27"/>
        <item x="29"/>
        <item x="30"/>
        <item x="28"/>
        <item x="31"/>
        <item x="32"/>
        <item x="33"/>
        <item x="34"/>
        <item x="35"/>
        <item x="36"/>
        <item x="37"/>
        <item x="38"/>
        <item x="39"/>
        <item x="40"/>
        <item x="58"/>
        <item x="41"/>
        <item x="59"/>
        <item x="42"/>
        <item x="43"/>
        <item x="44"/>
        <item x="45"/>
        <item x="53"/>
        <item x="46"/>
        <item x="47"/>
        <item x="52"/>
        <item x="50"/>
      </items>
    </pivotField>
    <pivotField name="First" axis="axisRow" compact="0" outline="0" multipleItemSelectionAllowed="1" showAll="0" sortType="ascending" defaultSubtotal="0">
      <items count="110">
        <item x="77"/>
        <item x="33"/>
        <item x="13"/>
        <item x="47"/>
        <item x="29"/>
        <item x="39"/>
        <item x="17"/>
        <item x="40"/>
        <item x="90"/>
        <item x="46"/>
        <item x="108"/>
        <item x="37"/>
        <item x="105"/>
        <item x="104"/>
        <item x="72"/>
        <item x="55"/>
        <item x="71"/>
        <item x="30"/>
        <item x="50"/>
        <item x="7"/>
        <item x="34"/>
        <item x="41"/>
        <item x="18"/>
        <item x="0"/>
        <item x="80"/>
        <item x="107"/>
        <item x="10"/>
        <item x="62"/>
        <item x="56"/>
        <item x="93"/>
        <item x="58"/>
        <item x="109"/>
        <item x="83"/>
        <item x="82"/>
        <item x="66"/>
        <item x="67"/>
        <item x="78"/>
        <item x="81"/>
        <item x="106"/>
        <item x="91"/>
        <item x="32"/>
        <item x="36"/>
        <item x="21"/>
        <item x="48"/>
        <item x="64"/>
        <item x="20"/>
        <item x="35"/>
        <item x="87"/>
        <item x="28"/>
        <item x="51"/>
        <item x="98"/>
        <item x="16"/>
        <item x="19"/>
        <item x="23"/>
        <item x="25"/>
        <item x="70"/>
        <item x="65"/>
        <item x="5"/>
        <item x="12"/>
        <item x="100"/>
        <item x="6"/>
        <item x="14"/>
        <item x="26"/>
        <item x="57"/>
        <item x="53"/>
        <item x="3"/>
        <item x="61"/>
        <item x="42"/>
        <item x="2"/>
        <item x="75"/>
        <item x="1"/>
        <item x="52"/>
        <item x="74"/>
        <item x="73"/>
        <item x="68"/>
        <item x="59"/>
        <item x="8"/>
        <item x="43"/>
        <item x="22"/>
        <item x="45"/>
        <item x="15"/>
        <item x="63"/>
        <item x="9"/>
        <item x="4"/>
        <item x="102"/>
        <item x="101"/>
        <item x="49"/>
        <item x="92"/>
        <item x="54"/>
        <item x="31"/>
        <item x="27"/>
        <item x="76"/>
        <item x="24"/>
        <item x="60"/>
        <item x="85"/>
        <item x="96"/>
        <item x="89"/>
        <item x="95"/>
        <item x="97"/>
        <item x="86"/>
        <item x="88"/>
        <item x="84"/>
        <item x="38"/>
        <item x="11"/>
        <item x="44"/>
        <item x="99"/>
        <item x="94"/>
        <item x="69"/>
        <item x="79"/>
        <item x="103"/>
      </items>
    </pivotField>
    <pivotField name="Joined" compact="0" numFmtId="17" outline="0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hone2" compact="0" outline="0" multipleItemSelectionAllowe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Email" compact="0" outline="0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" compact="0" outline="0" multipleItemSelectionAllowed="1" showAll="0">
      <items count="4">
        <item x="0"/>
        <item x="1"/>
        <item x="2"/>
        <item t="default"/>
      </items>
    </pivotField>
    <pivotField name="Dues-Jan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name="Feb" compact="0" outline="0" multipleItemSelectionAllowed="1" showAll="0">
      <items count="4">
        <item x="0"/>
        <item x="1"/>
        <item x="2"/>
        <item t="default"/>
      </items>
    </pivotField>
    <pivotField name="Dues-Feb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r" compact="0" outline="0" multipleItemSelectionAllowed="1" showAll="0">
      <items count="4">
        <item x="0"/>
        <item x="1"/>
        <item x="2"/>
        <item t="default"/>
      </items>
    </pivotField>
    <pivotField name="Dues-Mar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pr" compact="0" outline="0" multipleItemSelectionAllowed="1" showAll="0">
      <items count="2">
        <item x="0"/>
        <item t="default"/>
      </items>
    </pivotField>
    <pivotField name="Dues-Apr" compact="0" numFmtId="164" outline="0" multipleItemSelectionAllowe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y" compact="0" outline="0" multipleItemSelectionAllowed="1" showAll="0">
      <items count="4">
        <item x="0"/>
        <item x="1"/>
        <item x="2"/>
        <item t="default"/>
      </items>
    </pivotField>
    <pivotField name=" Dues-May " compact="0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Jun" compact="0" outline="0" multipleItemSelectionAllowed="1" showAll="0">
      <items count="2">
        <item x="0"/>
        <item t="default"/>
      </items>
    </pivotField>
    <pivotField name="Dues-Jun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Jul" compact="0" outline="0" multipleItemSelectionAllowed="1" showAll="0">
      <items count="2">
        <item x="0"/>
        <item t="default"/>
      </items>
    </pivotField>
    <pivotField name="Dues-Jul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Aug" compact="0" outline="0" multipleItemSelectionAllowed="1" showAll="0">
      <items count="2">
        <item x="0"/>
        <item t="default"/>
      </items>
    </pivotField>
    <pivotField name="Dues-Aug" compact="0" outline="0" multipleItemSelectionAllowed="1" showAll="0">
      <items count="5">
        <item x="0"/>
        <item x="1"/>
        <item x="2"/>
        <item x="3"/>
        <item t="default"/>
      </items>
    </pivotField>
    <pivotField name="Sep" compact="0" outline="0" multipleItemSelectionAllowed="1" showAll="0">
      <items count="2">
        <item x="0"/>
        <item t="default"/>
      </items>
    </pivotField>
    <pivotField name="Dues-Sep" compact="0" outline="0" multipleItemSelectionAllowed="1" showAll="0">
      <items count="5">
        <item x="0"/>
        <item x="1"/>
        <item x="2"/>
        <item x="3"/>
        <item t="default"/>
      </items>
    </pivotField>
    <pivotField name="Oct" compact="0" outline="0" multipleItemSelectionAllowed="1" showAll="0">
      <items count="2">
        <item x="0"/>
        <item t="default"/>
      </items>
    </pivotField>
    <pivotField name="Dues-Oct" compact="0" outline="0" multipleItemSelectionAllowed="1" showAll="0">
      <items count="5">
        <item x="0"/>
        <item x="1"/>
        <item x="2"/>
        <item x="3"/>
        <item t="default"/>
      </items>
    </pivotField>
    <pivotField name="Nov" compact="0" outline="0" multipleItemSelectionAllowed="1" showAll="0">
      <items count="2">
        <item x="0"/>
        <item t="default"/>
      </items>
    </pivotField>
    <pivotField name="Dues-Nov" compact="0" outline="0" multipleItemSelectionAllowed="1" showAll="0">
      <items count="5">
        <item x="0"/>
        <item x="1"/>
        <item x="2"/>
        <item x="3"/>
        <item t="default"/>
      </items>
    </pivotField>
    <pivotField name="Dec" compact="0" outline="0" multipleItemSelectionAllowed="1" showAll="0">
      <items count="2">
        <item x="0"/>
        <item t="default"/>
      </items>
    </pivotField>
    <pivotField name="Dues-Dec" compact="0" outline="0" multipleItemSelectionAllowed="1" showAll="0">
      <items count="5">
        <item x="0"/>
        <item x="1"/>
        <item x="2"/>
        <item x="3"/>
        <item t="default"/>
      </items>
    </pivotField>
    <pivotField name="2026 dues paid" compact="0" numFmtId="164" outline="0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2026 balance" compact="0" numFmtId="164" outline="0" multipleItemSelectionAllowe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2025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24 balance" compact="0" outline="0" multipleItemSelectionAllowed="1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3 balance" compact="0" outline="0" multipleItemSelectionAllowe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022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21 balance2" compact="0" outline="0" multipleItemSelectionAllowe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0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19 balance" compact="0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2018 balance" compact="0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" axis="axisRow" compact="0" numFmtId="164" outline="0" multipleItemSelectionAllowed="1" showAll="0" sortType="ascending" defaultSubtotal="0">
      <items count="54">
        <item x="3"/>
        <item x="51"/>
        <item x="28"/>
        <item x="31"/>
        <item x="12"/>
        <item x="24"/>
        <item x="8"/>
        <item x="7"/>
        <item x="16"/>
        <item x="35"/>
        <item x="13"/>
        <item x="32"/>
        <item x="20"/>
        <item x="19"/>
        <item x="38"/>
        <item x="15"/>
        <item x="33"/>
        <item x="1"/>
        <item x="18"/>
        <item x="17"/>
        <item x="10"/>
        <item x="5"/>
        <item x="2"/>
        <item x="4"/>
        <item x="14"/>
        <item x="34"/>
        <item x="0"/>
        <item x="26"/>
        <item x="25"/>
        <item x="41"/>
        <item x="22"/>
        <item x="27"/>
        <item x="37"/>
        <item x="9"/>
        <item x="21"/>
        <item x="53"/>
        <item x="6"/>
        <item x="36"/>
        <item x="23"/>
        <item x="39"/>
        <item x="11"/>
        <item x="40"/>
        <item x="47"/>
        <item x="30"/>
        <item x="45"/>
        <item x="29"/>
        <item x="42"/>
        <item x="49"/>
        <item x="44"/>
        <item x="46"/>
        <item x="48"/>
        <item x="43"/>
        <item x="50"/>
        <item x="52"/>
      </items>
    </pivotField>
    <pivotField name="Financial GoodStanding" axis="axisRow" compact="0" outline="0" multipleItemSelectionAllowed="1" showAll="0" sortType="ascending" defaultSubtotal="0">
      <items count="3">
        <item x="1"/>
        <item x="2"/>
        <item x="0"/>
      </items>
    </pivotField>
    <pivotField name="%Attendance" compact="0" numFmtId="9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Levies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Years active" axis="axisRow" compact="0" outline="0" multipleItemSelectionAllowed="1" showAll="0" sortType="ascending" defaultSubtotal="0">
      <items count="10">
        <item x="2"/>
        <item x="7"/>
        <item x="1"/>
        <item x="8"/>
        <item x="3"/>
        <item x="9"/>
        <item x="5"/>
        <item x="6"/>
        <item x="4"/>
        <item x="0"/>
      </items>
    </pivotField>
    <pivotField name="GoodStanding" compact="0" outline="0" multipleItemSelectionAllowed="1" showAll="0">
      <items count="3">
        <item x="0"/>
        <item x="1"/>
        <item t="default"/>
      </items>
    </pivotField>
    <pivotField name="Voter" compact="0" outline="0" multipleItemSelectionAllowed="1" showAll="0">
      <items count="4">
        <item x="0"/>
        <item x="1"/>
        <item x="2"/>
        <item t="default"/>
      </items>
    </pivotField>
    <pivotField name="Insurance?" axis="axisRow" compact="0" outline="0" multipleItemSelectionAllowed="1" showAll="0" sortType="ascending" defaultSubtotal="0">
      <items count="4">
        <item x="2"/>
        <item x="3"/>
        <item x="1"/>
        <item x="0"/>
      </items>
    </pivotField>
    <pivotField name="Ins. premium paid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Wrapper type" compact="0" numFmtId="164" outline="0" multipleItemSelectionAllowed="1" showAll="0">
      <items count="5">
        <item x="0"/>
        <item x="1"/>
        <item x="2"/>
        <item x="3"/>
        <item t="default"/>
      </items>
    </pivotField>
    <pivotField name="Wrapper ordered" compact="0" outline="0" multipleItemSelectionAllowed="1" showAll="0">
      <items count="4">
        <item x="0"/>
        <item x="1"/>
        <item x="2"/>
        <item t="default"/>
      </items>
    </pivotField>
    <pivotField name="Wrapper payment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Hosting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7">
    <field x="48"/>
    <field x="2"/>
    <field x="3"/>
    <field x="42"/>
    <field x="41"/>
    <field x="45"/>
    <field x="49"/>
  </rowFields>
  <pageFields count="1">
    <pageField fld="0" hier="0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ivotTables 6" cacheId="0" applyNumberFormats="0" applyBorderFormats="0" applyFontFormats="0" applyPatternFormats="0" applyAlignmentFormats="0" applyWidthHeightFormats="0" dataCaption="" rowGrandTotals="0" compact="0" compactData="0">
  <location ref="BF1:BQ3" firstHeaderRow="0" firstDataRow="0" firstDataCol="0"/>
  <pivotFields count="56">
    <pivotField name="Status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Title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" axis="axisRow" compact="0" outline="0" multipleItemSelectionAllowed="1" showAll="0" sortType="ascending" defaultSubtotal="0">
      <items count="61">
        <item h="1" x="57"/>
        <item h="1" x="0"/>
        <item h="1" x="60"/>
        <item x="1"/>
        <item h="1" x="2"/>
        <item h="1" x="3"/>
        <item h="1" x="4"/>
        <item h="1" x="5"/>
        <item h="1" x="6"/>
        <item h="1" x="7"/>
        <item h="1" x="8"/>
        <item h="1" x="55"/>
        <item h="1" x="54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56"/>
        <item h="1" x="20"/>
        <item h="1" x="21"/>
        <item h="1" x="51"/>
        <item h="1" x="49"/>
        <item h="1" x="22"/>
        <item h="1" x="48"/>
        <item h="1" x="23"/>
        <item h="1" x="24"/>
        <item h="1" x="25"/>
        <item h="1" x="26"/>
        <item h="1" x="27"/>
        <item h="1" x="29"/>
        <item h="1" x="30"/>
        <item h="1" x="28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58"/>
        <item h="1" x="41"/>
        <item h="1" x="59"/>
        <item h="1" x="42"/>
        <item h="1" x="43"/>
        <item h="1" x="44"/>
        <item h="1" x="45"/>
        <item h="1" x="53"/>
        <item h="1" x="46"/>
        <item h="1" x="47"/>
        <item h="1" x="52"/>
        <item h="1" x="50"/>
      </items>
    </pivotField>
    <pivotField name="First" axis="axisRow" compact="0" outline="0" multipleItemSelectionAllowed="1" showAll="0" sortType="ascending" defaultSubtotal="0">
      <items count="110">
        <item x="77"/>
        <item x="33"/>
        <item x="13"/>
        <item x="47"/>
        <item x="29"/>
        <item x="39"/>
        <item x="17"/>
        <item x="40"/>
        <item x="90"/>
        <item x="46"/>
        <item x="108"/>
        <item x="37"/>
        <item x="105"/>
        <item x="104"/>
        <item x="72"/>
        <item x="55"/>
        <item x="71"/>
        <item x="30"/>
        <item x="50"/>
        <item x="7"/>
        <item x="34"/>
        <item x="41"/>
        <item x="18"/>
        <item x="0"/>
        <item x="80"/>
        <item x="107"/>
        <item x="10"/>
        <item x="62"/>
        <item x="56"/>
        <item x="93"/>
        <item x="58"/>
        <item x="109"/>
        <item x="83"/>
        <item x="82"/>
        <item x="66"/>
        <item x="67"/>
        <item x="78"/>
        <item x="81"/>
        <item x="106"/>
        <item x="91"/>
        <item x="32"/>
        <item x="36"/>
        <item x="21"/>
        <item x="48"/>
        <item x="64"/>
        <item x="20"/>
        <item x="35"/>
        <item x="87"/>
        <item x="28"/>
        <item x="51"/>
        <item x="98"/>
        <item x="16"/>
        <item x="19"/>
        <item x="23"/>
        <item x="25"/>
        <item x="70"/>
        <item x="65"/>
        <item x="5"/>
        <item x="12"/>
        <item x="100"/>
        <item x="6"/>
        <item x="14"/>
        <item x="26"/>
        <item x="57"/>
        <item x="53"/>
        <item x="3"/>
        <item x="61"/>
        <item x="42"/>
        <item x="2"/>
        <item x="75"/>
        <item x="1"/>
        <item x="52"/>
        <item x="74"/>
        <item x="73"/>
        <item x="68"/>
        <item x="59"/>
        <item x="8"/>
        <item x="43"/>
        <item x="22"/>
        <item x="45"/>
        <item x="15"/>
        <item x="63"/>
        <item x="9"/>
        <item x="4"/>
        <item x="102"/>
        <item x="101"/>
        <item x="49"/>
        <item x="92"/>
        <item x="54"/>
        <item x="31"/>
        <item x="27"/>
        <item x="76"/>
        <item x="24"/>
        <item x="60"/>
        <item x="85"/>
        <item x="96"/>
        <item x="89"/>
        <item x="95"/>
        <item x="97"/>
        <item x="86"/>
        <item x="88"/>
        <item x="84"/>
        <item x="38"/>
        <item x="11"/>
        <item x="44"/>
        <item x="99"/>
        <item x="94"/>
        <item x="69"/>
        <item x="79"/>
        <item x="103"/>
      </items>
    </pivotField>
    <pivotField name="Joined" compact="0" numFmtId="17" outline="0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hone2" compact="0" outline="0" multipleItemSelectionAllowe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Email" compact="0" outline="0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" compact="0" outline="0" multipleItemSelectionAllowed="1" showAll="0">
      <items count="4">
        <item x="0"/>
        <item x="1"/>
        <item x="2"/>
        <item t="default"/>
      </items>
    </pivotField>
    <pivotField name="Dues-Jan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name="Feb" compact="0" outline="0" multipleItemSelectionAllowed="1" showAll="0">
      <items count="4">
        <item x="0"/>
        <item x="1"/>
        <item x="2"/>
        <item t="default"/>
      </items>
    </pivotField>
    <pivotField name="Dues-Feb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r" compact="0" outline="0" multipleItemSelectionAllowed="1" showAll="0">
      <items count="4">
        <item x="0"/>
        <item x="1"/>
        <item x="2"/>
        <item t="default"/>
      </items>
    </pivotField>
    <pivotField name="Dues-Mar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pr" compact="0" outline="0" multipleItemSelectionAllowed="1" showAll="0">
      <items count="2">
        <item x="0"/>
        <item t="default"/>
      </items>
    </pivotField>
    <pivotField name="Dues-Apr" compact="0" numFmtId="164" outline="0" multipleItemSelectionAllowe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y" compact="0" outline="0" multipleItemSelectionAllowed="1" showAll="0">
      <items count="4">
        <item x="0"/>
        <item x="1"/>
        <item x="2"/>
        <item t="default"/>
      </items>
    </pivotField>
    <pivotField name=" Dues-May " compact="0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Jun" compact="0" outline="0" multipleItemSelectionAllowed="1" showAll="0">
      <items count="2">
        <item x="0"/>
        <item t="default"/>
      </items>
    </pivotField>
    <pivotField name="Dues-Jun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Jul" compact="0" outline="0" multipleItemSelectionAllowed="1" showAll="0">
      <items count="2">
        <item x="0"/>
        <item t="default"/>
      </items>
    </pivotField>
    <pivotField name="Dues-Jul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Aug" compact="0" outline="0" multipleItemSelectionAllowed="1" showAll="0">
      <items count="2">
        <item x="0"/>
        <item t="default"/>
      </items>
    </pivotField>
    <pivotField name="Dues-Aug" compact="0" outline="0" multipleItemSelectionAllowed="1" showAll="0">
      <items count="5">
        <item x="0"/>
        <item x="1"/>
        <item x="2"/>
        <item x="3"/>
        <item t="default"/>
      </items>
    </pivotField>
    <pivotField name="Sep" compact="0" outline="0" multipleItemSelectionAllowed="1" showAll="0">
      <items count="2">
        <item x="0"/>
        <item t="default"/>
      </items>
    </pivotField>
    <pivotField name="Dues-Sep" compact="0" outline="0" multipleItemSelectionAllowed="1" showAll="0">
      <items count="5">
        <item x="0"/>
        <item x="1"/>
        <item x="2"/>
        <item x="3"/>
        <item t="default"/>
      </items>
    </pivotField>
    <pivotField name="Oct" compact="0" outline="0" multipleItemSelectionAllowed="1" showAll="0">
      <items count="2">
        <item x="0"/>
        <item t="default"/>
      </items>
    </pivotField>
    <pivotField name="Dues-Oct" compact="0" outline="0" multipleItemSelectionAllowed="1" showAll="0">
      <items count="5">
        <item x="0"/>
        <item x="1"/>
        <item x="2"/>
        <item x="3"/>
        <item t="default"/>
      </items>
    </pivotField>
    <pivotField name="Nov" compact="0" outline="0" multipleItemSelectionAllowed="1" showAll="0">
      <items count="2">
        <item x="0"/>
        <item t="default"/>
      </items>
    </pivotField>
    <pivotField name="Dues-Nov" compact="0" outline="0" multipleItemSelectionAllowed="1" showAll="0">
      <items count="5">
        <item x="0"/>
        <item x="1"/>
        <item x="2"/>
        <item x="3"/>
        <item t="default"/>
      </items>
    </pivotField>
    <pivotField name="Dec" compact="0" outline="0" multipleItemSelectionAllowed="1" showAll="0">
      <items count="2">
        <item x="0"/>
        <item t="default"/>
      </items>
    </pivotField>
    <pivotField name="Dues-Dec" compact="0" outline="0" multipleItemSelectionAllowed="1" showAll="0">
      <items count="5">
        <item x="0"/>
        <item x="1"/>
        <item x="2"/>
        <item x="3"/>
        <item t="default"/>
      </items>
    </pivotField>
    <pivotField name="2026 dues paid" axis="axisRow" compact="0" numFmtId="164" outline="0" multipleItemSelectionAllowed="1" showAll="0" sortType="ascending" defaultSubtotal="0">
      <items count="35">
        <item x="3"/>
        <item x="32"/>
        <item x="2"/>
        <item x="20"/>
        <item x="24"/>
        <item x="11"/>
        <item x="18"/>
        <item x="25"/>
        <item x="13"/>
        <item x="34"/>
        <item x="8"/>
        <item x="0"/>
        <item x="9"/>
        <item x="14"/>
        <item x="16"/>
        <item x="5"/>
        <item x="10"/>
        <item x="15"/>
        <item x="12"/>
        <item x="19"/>
        <item x="6"/>
        <item x="4"/>
        <item x="7"/>
        <item x="1"/>
        <item x="26"/>
        <item x="17"/>
        <item x="28"/>
        <item x="21"/>
        <item x="30"/>
        <item x="23"/>
        <item x="29"/>
        <item x="27"/>
        <item x="22"/>
        <item x="31"/>
        <item x="33"/>
      </items>
    </pivotField>
    <pivotField name="2026 balance" axis="axisRow" compact="0" numFmtId="164" outline="0" multipleItemSelectionAllowed="1" showAll="0" sortType="ascending" defaultSubtotal="0">
      <items count="25">
        <item x="3"/>
        <item x="24"/>
        <item x="23"/>
        <item x="5"/>
        <item x="2"/>
        <item x="13"/>
        <item x="22"/>
        <item x="18"/>
        <item x="10"/>
        <item x="0"/>
        <item x="16"/>
        <item x="15"/>
        <item x="6"/>
        <item x="12"/>
        <item x="19"/>
        <item x="14"/>
        <item x="7"/>
        <item x="11"/>
        <item x="8"/>
        <item x="20"/>
        <item x="9"/>
        <item x="1"/>
        <item x="17"/>
        <item x="4"/>
        <item x="21"/>
      </items>
    </pivotField>
    <pivotField name="2025 balance" axis="axisRow" compact="0" outline="0" multipleItemSelectionAllowed="1" showAll="0" sortType="ascending" defaultSubtotal="0">
      <items count="22">
        <item x="2"/>
        <item x="21"/>
        <item x="20"/>
        <item x="0"/>
        <item x="8"/>
        <item x="13"/>
        <item x="18"/>
        <item x="9"/>
        <item x="6"/>
        <item x="12"/>
        <item x="17"/>
        <item x="15"/>
        <item x="5"/>
        <item x="19"/>
        <item x="10"/>
        <item x="4"/>
        <item x="3"/>
        <item x="7"/>
        <item x="16"/>
        <item x="1"/>
        <item x="14"/>
        <item x="11"/>
      </items>
    </pivotField>
    <pivotField name="2024 balance" axis="axisRow" compact="0" outline="0" multipleItemSelectionAllowed="1" showAll="0" sortType="ascending" defaultSubtotal="0">
      <items count="27">
        <item x="2"/>
        <item x="1"/>
        <item x="9"/>
        <item x="13"/>
        <item x="19"/>
        <item x="23"/>
        <item x="8"/>
        <item x="12"/>
        <item x="15"/>
        <item x="14"/>
        <item x="10"/>
        <item x="17"/>
        <item x="7"/>
        <item x="21"/>
        <item x="4"/>
        <item x="24"/>
        <item x="3"/>
        <item x="16"/>
        <item x="22"/>
        <item x="20"/>
        <item x="6"/>
        <item x="18"/>
        <item x="11"/>
        <item x="0"/>
        <item x="25"/>
        <item x="26"/>
        <item x="5"/>
      </items>
    </pivotField>
    <pivotField name="2023 balance" axis="axisRow" compact="0" outline="0" multipleItemSelectionAllowed="1" showAll="0" sortType="ascending" defaultSubtotal="0">
      <items count="18">
        <item x="2"/>
        <item x="7"/>
        <item x="15"/>
        <item x="14"/>
        <item x="3"/>
        <item x="10"/>
        <item x="11"/>
        <item x="0"/>
        <item x="5"/>
        <item x="13"/>
        <item x="8"/>
        <item x="9"/>
        <item x="6"/>
        <item x="12"/>
        <item x="1"/>
        <item x="16"/>
        <item x="17"/>
        <item x="4"/>
      </items>
    </pivotField>
    <pivotField name="2022 balance" axis="axisRow" compact="0" outline="0" multipleItemSelectionAllowed="1" showAll="0" sortType="ascending" defaultSubtotal="0">
      <items count="22">
        <item x="2"/>
        <item x="21"/>
        <item x="20"/>
        <item x="6"/>
        <item x="11"/>
        <item x="15"/>
        <item x="1"/>
        <item x="8"/>
        <item x="3"/>
        <item x="12"/>
        <item x="7"/>
        <item x="5"/>
        <item x="4"/>
        <item x="13"/>
        <item x="10"/>
        <item x="19"/>
        <item x="18"/>
        <item x="16"/>
        <item x="17"/>
        <item x="14"/>
        <item x="9"/>
        <item x="0"/>
      </items>
    </pivotField>
    <pivotField name="2021 balance2" axis="axisRow" compact="0" outline="0" multipleItemSelectionAllowed="1" showAll="0" sortType="ascending" defaultSubtotal="0">
      <items count="16">
        <item x="2"/>
        <item x="15"/>
        <item x="14"/>
        <item x="13"/>
        <item x="12"/>
        <item x="8"/>
        <item x="1"/>
        <item x="7"/>
        <item x="11"/>
        <item x="6"/>
        <item x="4"/>
        <item x="3"/>
        <item x="9"/>
        <item x="10"/>
        <item x="5"/>
        <item x="0"/>
      </items>
    </pivotField>
    <pivotField name="2020 balance" axis="axisRow" compact="0" outline="0" multipleItemSelectionAllowed="1" showAll="0" sortType="ascending" defaultSubtotal="0">
      <items count="22">
        <item x="2"/>
        <item x="1"/>
        <item x="7"/>
        <item x="6"/>
        <item x="8"/>
        <item x="12"/>
        <item x="3"/>
        <item x="13"/>
        <item x="16"/>
        <item x="5"/>
        <item x="15"/>
        <item x="10"/>
        <item x="9"/>
        <item x="14"/>
        <item x="4"/>
        <item x="18"/>
        <item x="19"/>
        <item x="17"/>
        <item x="11"/>
        <item x="20"/>
        <item x="21"/>
        <item x="0"/>
      </items>
    </pivotField>
    <pivotField name="2019 balance" axis="axisRow" compact="0" outline="0" multipleItemSelectionAllowed="1" showAll="0" sortType="ascending">
      <items count="9">
        <item x="1"/>
        <item x="3"/>
        <item x="4"/>
        <item x="5"/>
        <item x="2"/>
        <item x="6"/>
        <item x="7"/>
        <item x="0"/>
        <item t="default"/>
      </items>
    </pivotField>
    <pivotField name="2018 balance" compact="0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" dataField="1" compact="0" numFmtId="164" outline="0" multipleItemSelectionAllowed="1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Financial GoodStanding" compact="0" outline="0" multipleItemSelectionAllowed="1" showAll="0">
      <items count="4">
        <item x="0"/>
        <item x="1"/>
        <item x="2"/>
        <item t="default"/>
      </items>
    </pivotField>
    <pivotField name="%Attendance" compact="0" numFmtId="9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Levies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Years active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oodStanding" compact="0" outline="0" multipleItemSelectionAllowed="1" showAll="0">
      <items count="3">
        <item x="0"/>
        <item x="1"/>
        <item t="default"/>
      </items>
    </pivotField>
    <pivotField name="Voter" compact="0" outline="0" multipleItemSelectionAllowed="1" showAll="0">
      <items count="4">
        <item x="0"/>
        <item x="1"/>
        <item x="2"/>
        <item t="default"/>
      </items>
    </pivotField>
    <pivotField name="Insurance?" compact="0" outline="0" multipleItemSelectionAllowed="1" showAll="0">
      <items count="5">
        <item x="0"/>
        <item x="1"/>
        <item x="2"/>
        <item x="3"/>
        <item t="default"/>
      </items>
    </pivotField>
    <pivotField name="Ins. premium paid" compact="0" outline="0" multipleItemSelectionAllowed="1" showAll="0">
      <items count="5">
        <item x="0"/>
        <item x="1"/>
        <item x="2"/>
        <item x="3"/>
        <item t="default"/>
      </items>
    </pivotField>
    <pivotField name="Wrapper type" compact="0" numFmtId="164" outline="0" multipleItemSelectionAllowed="1" showAll="0">
      <items count="5">
        <item x="0"/>
        <item x="1"/>
        <item x="2"/>
        <item x="3"/>
        <item t="default"/>
      </items>
    </pivotField>
    <pivotField name="Wrapper ordered" compact="0" outline="0" multipleItemSelectionAllowed="1" showAll="0">
      <items count="4">
        <item x="0"/>
        <item x="1"/>
        <item x="2"/>
        <item t="default"/>
      </items>
    </pivotField>
    <pivotField name="Wrapper payment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Hosting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affle tix UPUMI fundraiser" compact="0" outline="0" multipleItemSelectionAllowed="1" showAll="0">
      <items count="4">
        <item x="0"/>
        <item x="1"/>
        <item x="2"/>
        <item t="default"/>
      </items>
    </pivotField>
    <pivotField name="Raffle tix UPUA convention" compact="0" outline="0" multipleItemSelectionAllowed="1" showAll="0">
      <items count="6">
        <item x="0"/>
        <item x="1"/>
        <item x="2"/>
        <item x="3"/>
        <item x="4"/>
        <item t="default"/>
      </items>
    </pivotField>
  </pivotFields>
  <rowFields count="11">
    <field x="2"/>
    <field x="3"/>
    <field x="31"/>
    <field x="32"/>
    <field x="33"/>
    <field x="34"/>
    <field x="35"/>
    <field x="36"/>
    <field x="37"/>
    <field x="38"/>
    <field x="39"/>
  </rowFields>
  <dataFields count="1">
    <dataField name="SUM of Total" fld="4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Tables" cacheId="0" applyNumberFormats="0" applyBorderFormats="0" applyFontFormats="0" applyPatternFormats="0" applyAlignmentFormats="0" applyWidthHeightFormats="0" dataCaption="" rowGrandTotals="0" compact="0" compactData="0">
  <location ref="A3:E14" firstHeaderRow="0" firstDataRow="1" firstDataCol="0" rowPageCount="1" colPageCount="1"/>
  <pivotFields count="56">
    <pivotField name="Grouping" axis="axisRow" compact="0" outline="0" multipleItemSelectionAllowed="1" showAll="0" sortType="descending" defaultSubtotal="0">
      <items count="5">
        <item x="1"/>
        <item x="0"/>
        <item x="2"/>
        <item x="3"/>
        <item x="4"/>
      </items>
    </pivotField>
    <pivotField name="Title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" axis="axisRow" compact="0" outline="0" multipleItemSelectionAllowed="1" showAll="0" sortType="ascending" defaultSubtotal="0">
      <items count="61">
        <item x="57"/>
        <item x="0"/>
        <item x="60"/>
        <item x="1"/>
        <item x="2"/>
        <item x="3"/>
        <item x="4"/>
        <item x="5"/>
        <item x="6"/>
        <item x="7"/>
        <item x="8"/>
        <item x="55"/>
        <item x="54"/>
        <item x="9"/>
        <item x="10"/>
        <item x="11"/>
        <item x="12"/>
        <item x="13"/>
        <item x="14"/>
        <item x="15"/>
        <item x="16"/>
        <item x="17"/>
        <item x="18"/>
        <item x="19"/>
        <item x="56"/>
        <item x="20"/>
        <item x="21"/>
        <item x="51"/>
        <item x="49"/>
        <item x="22"/>
        <item x="48"/>
        <item x="23"/>
        <item x="24"/>
        <item x="25"/>
        <item x="26"/>
        <item x="27"/>
        <item x="29"/>
        <item x="30"/>
        <item x="28"/>
        <item x="31"/>
        <item x="32"/>
        <item x="33"/>
        <item x="34"/>
        <item x="35"/>
        <item x="36"/>
        <item x="37"/>
        <item x="38"/>
        <item x="39"/>
        <item x="40"/>
        <item x="58"/>
        <item x="41"/>
        <item x="59"/>
        <item x="42"/>
        <item x="43"/>
        <item x="44"/>
        <item x="45"/>
        <item x="53"/>
        <item x="46"/>
        <item x="47"/>
        <item x="52"/>
        <item x="50"/>
      </items>
    </pivotField>
    <pivotField name="First" axis="axisRow" compact="0" outline="0" multipleItemSelectionAllowed="1" showAll="0" sortType="ascending">
      <items count="111">
        <item x="77"/>
        <item x="33"/>
        <item x="13"/>
        <item x="47"/>
        <item x="29"/>
        <item x="39"/>
        <item x="17"/>
        <item x="40"/>
        <item x="90"/>
        <item x="46"/>
        <item x="108"/>
        <item x="37"/>
        <item x="105"/>
        <item x="104"/>
        <item x="72"/>
        <item x="55"/>
        <item x="71"/>
        <item x="30"/>
        <item x="50"/>
        <item x="7"/>
        <item x="34"/>
        <item x="41"/>
        <item x="18"/>
        <item x="0"/>
        <item x="80"/>
        <item x="107"/>
        <item x="10"/>
        <item x="62"/>
        <item x="56"/>
        <item x="93"/>
        <item x="58"/>
        <item x="109"/>
        <item x="83"/>
        <item x="82"/>
        <item x="66"/>
        <item x="67"/>
        <item x="78"/>
        <item x="81"/>
        <item x="106"/>
        <item x="91"/>
        <item x="32"/>
        <item x="36"/>
        <item x="21"/>
        <item x="48"/>
        <item x="64"/>
        <item x="20"/>
        <item x="35"/>
        <item x="87"/>
        <item x="28"/>
        <item x="51"/>
        <item x="98"/>
        <item x="16"/>
        <item x="19"/>
        <item x="23"/>
        <item x="25"/>
        <item x="70"/>
        <item x="65"/>
        <item x="5"/>
        <item x="12"/>
        <item x="100"/>
        <item x="6"/>
        <item x="14"/>
        <item x="26"/>
        <item x="57"/>
        <item x="53"/>
        <item x="3"/>
        <item x="61"/>
        <item x="42"/>
        <item x="2"/>
        <item x="75"/>
        <item x="1"/>
        <item x="52"/>
        <item x="74"/>
        <item x="73"/>
        <item x="68"/>
        <item x="59"/>
        <item x="8"/>
        <item x="43"/>
        <item x="22"/>
        <item x="45"/>
        <item x="15"/>
        <item x="63"/>
        <item x="9"/>
        <item x="4"/>
        <item x="102"/>
        <item x="101"/>
        <item x="49"/>
        <item x="92"/>
        <item x="54"/>
        <item x="31"/>
        <item x="27"/>
        <item x="76"/>
        <item x="24"/>
        <item x="60"/>
        <item x="85"/>
        <item x="96"/>
        <item x="89"/>
        <item x="95"/>
        <item x="97"/>
        <item x="86"/>
        <item x="88"/>
        <item x="84"/>
        <item x="38"/>
        <item x="11"/>
        <item x="44"/>
        <item x="99"/>
        <item x="94"/>
        <item x="69"/>
        <item x="79"/>
        <item x="103"/>
        <item t="default"/>
      </items>
    </pivotField>
    <pivotField name="Joined" compact="0" numFmtId="17" outline="0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hone2" compact="0" outline="0" multipleItemSelectionAllowe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Email" compact="0" outline="0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" compact="0" outline="0" multipleItemSelectionAllowed="1" showAll="0">
      <items count="4">
        <item x="0"/>
        <item x="1"/>
        <item x="2"/>
        <item t="default"/>
      </items>
    </pivotField>
    <pivotField name="Dues-Jan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name="Feb" compact="0" outline="0" multipleItemSelectionAllowed="1" showAll="0">
      <items count="4">
        <item x="0"/>
        <item x="1"/>
        <item x="2"/>
        <item t="default"/>
      </items>
    </pivotField>
    <pivotField name="Dues-Feb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r" compact="0" outline="0" multipleItemSelectionAllowed="1" showAll="0">
      <items count="4">
        <item x="0"/>
        <item x="1"/>
        <item x="2"/>
        <item t="default"/>
      </items>
    </pivotField>
    <pivotField name="Dues-Mar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pr" compact="0" outline="0" multipleItemSelectionAllowed="1" showAll="0">
      <items count="2">
        <item x="0"/>
        <item t="default"/>
      </items>
    </pivotField>
    <pivotField name="Dues-Apr" compact="0" numFmtId="164" outline="0" multipleItemSelectionAllowe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y" compact="0" outline="0" multipleItemSelectionAllowed="1" showAll="0">
      <items count="4">
        <item x="0"/>
        <item x="1"/>
        <item x="2"/>
        <item t="default"/>
      </items>
    </pivotField>
    <pivotField name=" Dues-May " compact="0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Jun" compact="0" outline="0" multipleItemSelectionAllowed="1" showAll="0">
      <items count="2">
        <item x="0"/>
        <item t="default"/>
      </items>
    </pivotField>
    <pivotField name="Dues-Jun" dataField="1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Jul" compact="0" outline="0" multipleItemSelectionAllowed="1" showAll="0">
      <items count="2">
        <item x="0"/>
        <item t="default"/>
      </items>
    </pivotField>
    <pivotField name="Dues-Jul" axis="axisPage" dataField="1" compact="0" outline="0" multipleItemSelectionAllowed="1" showAll="0">
      <items count="7">
        <item h="1" x="0"/>
        <item x="1"/>
        <item h="1" x="2"/>
        <item h="1" x="3"/>
        <item x="4"/>
        <item x="5"/>
        <item t="default"/>
      </items>
    </pivotField>
    <pivotField name="Aug" compact="0" outline="0" multipleItemSelectionAllowed="1" showAll="0">
      <items count="2">
        <item x="0"/>
        <item t="default"/>
      </items>
    </pivotField>
    <pivotField name="Dues-Aug" compact="0" outline="0" multipleItemSelectionAllowed="1" showAll="0">
      <items count="5">
        <item x="0"/>
        <item x="1"/>
        <item x="2"/>
        <item x="3"/>
        <item t="default"/>
      </items>
    </pivotField>
    <pivotField name="Sep" compact="0" outline="0" multipleItemSelectionAllowed="1" showAll="0">
      <items count="2">
        <item x="0"/>
        <item t="default"/>
      </items>
    </pivotField>
    <pivotField name="Dues-Sep" compact="0" outline="0" multipleItemSelectionAllowed="1" showAll="0">
      <items count="5">
        <item x="0"/>
        <item x="1"/>
        <item x="2"/>
        <item x="3"/>
        <item t="default"/>
      </items>
    </pivotField>
    <pivotField name="Oct" compact="0" outline="0" multipleItemSelectionAllowed="1" showAll="0">
      <items count="2">
        <item x="0"/>
        <item t="default"/>
      </items>
    </pivotField>
    <pivotField name="Dues-Oct" compact="0" outline="0" multipleItemSelectionAllowed="1" showAll="0">
      <items count="5">
        <item x="0"/>
        <item x="1"/>
        <item x="2"/>
        <item x="3"/>
        <item t="default"/>
      </items>
    </pivotField>
    <pivotField name="Nov" compact="0" outline="0" multipleItemSelectionAllowed="1" showAll="0">
      <items count="2">
        <item x="0"/>
        <item t="default"/>
      </items>
    </pivotField>
    <pivotField name="Dues-Nov" compact="0" outline="0" multipleItemSelectionAllowed="1" showAll="0">
      <items count="5">
        <item x="0"/>
        <item x="1"/>
        <item x="2"/>
        <item x="3"/>
        <item t="default"/>
      </items>
    </pivotField>
    <pivotField name="Dec" compact="0" outline="0" multipleItemSelectionAllowed="1" showAll="0">
      <items count="2">
        <item x="0"/>
        <item t="default"/>
      </items>
    </pivotField>
    <pivotField name="Dues-Dec" compact="0" outline="0" multipleItemSelectionAllowed="1" showAll="0">
      <items count="5">
        <item x="0"/>
        <item x="1"/>
        <item x="2"/>
        <item x="3"/>
        <item t="default"/>
      </items>
    </pivotField>
    <pivotField name="2026 dues paid" compact="0" numFmtId="164" outline="0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2026 balance" compact="0" numFmtId="164" outline="0" multipleItemSelectionAllowe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2025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24 balance" compact="0" outline="0" multipleItemSelectionAllowed="1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3 balance" compact="0" outline="0" multipleItemSelectionAllowe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022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21 balance2" compact="0" outline="0" multipleItemSelectionAllowe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0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19 balance" compact="0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2018 balance" compact="0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" compact="0" numFmtId="164" outline="0" multipleItemSelectionAllowed="1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Financial GoodStanding" compact="0" outline="0" multipleItemSelectionAllowed="1" showAll="0">
      <items count="4">
        <item x="0"/>
        <item x="1"/>
        <item x="2"/>
        <item t="default"/>
      </items>
    </pivotField>
    <pivotField name="%Attendance" compact="0" numFmtId="9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Levies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Years active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oodStanding" compact="0" outline="0" multipleItemSelectionAllowed="1" showAll="0">
      <items count="3">
        <item x="0"/>
        <item x="1"/>
        <item t="default"/>
      </items>
    </pivotField>
    <pivotField name="Voter" compact="0" outline="0" multipleItemSelectionAllowed="1" showAll="0">
      <items count="4">
        <item x="0"/>
        <item x="1"/>
        <item x="2"/>
        <item t="default"/>
      </items>
    </pivotField>
    <pivotField name="Insurance?" compact="0" outline="0" multipleItemSelectionAllowed="1" showAll="0">
      <items count="5">
        <item x="0"/>
        <item x="1"/>
        <item x="2"/>
        <item x="3"/>
        <item t="default"/>
      </items>
    </pivotField>
    <pivotField name="Ins. premium paid" compact="0" outline="0" multipleItemSelectionAllowed="1" showAll="0">
      <items count="5">
        <item x="0"/>
        <item x="1"/>
        <item x="2"/>
        <item x="3"/>
        <item t="default"/>
      </items>
    </pivotField>
    <pivotField name="Wrapper type" compact="0" numFmtId="164" outline="0" multipleItemSelectionAllowed="1" showAll="0">
      <items count="5">
        <item x="0"/>
        <item x="1"/>
        <item x="2"/>
        <item x="3"/>
        <item t="default"/>
      </items>
    </pivotField>
    <pivotField name="Wrapper ordered" compact="0" outline="0" multipleItemSelectionAllowed="1" showAll="0">
      <items count="4">
        <item x="0"/>
        <item x="1"/>
        <item x="2"/>
        <item t="default"/>
      </items>
    </pivotField>
    <pivotField name="Wrapper payment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Hosting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affle tix UPUMI fundraiser" compact="0" outline="0" multipleItemSelectionAllowed="1" showAll="0">
      <items count="4">
        <item x="0"/>
        <item x="1"/>
        <item x="2"/>
        <item t="default"/>
      </items>
    </pivotField>
    <pivotField name="Raffle tix UPUA convention" compact="0" outline="0" multipleItemSelectionAllowed="1" showAll="0">
      <items count="6">
        <item x="0"/>
        <item x="1"/>
        <item x="2"/>
        <item x="3"/>
        <item x="4"/>
        <item t="default"/>
      </items>
    </pivotField>
  </pivotFields>
  <rowFields count="3">
    <field x="0"/>
    <field x="2"/>
    <field x="3"/>
  </rowFields>
  <colFields count="1">
    <field x="-2"/>
  </colFields>
  <pageFields count="1">
    <pageField fld="20" hier="0"/>
  </pageFields>
  <dataFields count="2">
    <dataField name="Jun$" fld="18" baseField="0"/>
    <dataField name="Jul$" fld="20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s 2" cacheId="1" applyNumberFormats="0" applyBorderFormats="0" applyFontFormats="0" applyPatternFormats="0" applyAlignmentFormats="0" applyWidthHeightFormats="0" dataCaption="" compact="0" compactData="0">
  <location ref="K3:M43" firstHeaderRow="0" firstDataRow="0" firstDataCol="0" rowPageCount="1" colPageCount="1"/>
  <pivotFields count="59">
    <pivotField name="Status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Title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" axis="axisRow" compact="0" outline="0" multipleItemSelectionAllowed="1" showAll="0" sortType="ascending" defaultSubtotal="0">
      <items count="61">
        <item x="57"/>
        <item x="0"/>
        <item x="60"/>
        <item x="1"/>
        <item x="2"/>
        <item x="3"/>
        <item x="4"/>
        <item x="5"/>
        <item x="6"/>
        <item x="7"/>
        <item x="8"/>
        <item x="55"/>
        <item x="54"/>
        <item x="9"/>
        <item x="10"/>
        <item x="11"/>
        <item x="12"/>
        <item x="13"/>
        <item x="14"/>
        <item x="15"/>
        <item x="16"/>
        <item x="17"/>
        <item x="18"/>
        <item x="19"/>
        <item x="56"/>
        <item x="20"/>
        <item x="21"/>
        <item x="51"/>
        <item x="49"/>
        <item x="22"/>
        <item x="48"/>
        <item x="23"/>
        <item x="24"/>
        <item x="25"/>
        <item x="26"/>
        <item x="27"/>
        <item x="29"/>
        <item x="30"/>
        <item x="28"/>
        <item x="31"/>
        <item x="32"/>
        <item x="33"/>
        <item x="34"/>
        <item x="35"/>
        <item x="36"/>
        <item x="37"/>
        <item x="38"/>
        <item x="39"/>
        <item x="40"/>
        <item x="58"/>
        <item x="41"/>
        <item x="59"/>
        <item x="42"/>
        <item x="43"/>
        <item x="44"/>
        <item x="45"/>
        <item x="53"/>
        <item x="46"/>
        <item x="47"/>
        <item x="52"/>
        <item x="50"/>
      </items>
    </pivotField>
    <pivotField name="First" axis="axisRow" compact="0" outline="0" multipleItemSelectionAllowed="1" showAll="0" sortType="ascending">
      <items count="111">
        <item x="77"/>
        <item x="33"/>
        <item x="13"/>
        <item x="47"/>
        <item x="29"/>
        <item x="39"/>
        <item x="17"/>
        <item x="40"/>
        <item x="90"/>
        <item x="46"/>
        <item x="108"/>
        <item x="37"/>
        <item x="105"/>
        <item x="104"/>
        <item x="72"/>
        <item x="55"/>
        <item x="71"/>
        <item x="30"/>
        <item x="50"/>
        <item x="7"/>
        <item x="34"/>
        <item x="41"/>
        <item x="18"/>
        <item x="0"/>
        <item x="80"/>
        <item x="107"/>
        <item x="10"/>
        <item x="62"/>
        <item x="56"/>
        <item x="93"/>
        <item x="58"/>
        <item x="109"/>
        <item x="83"/>
        <item x="82"/>
        <item x="66"/>
        <item x="67"/>
        <item x="78"/>
        <item x="81"/>
        <item x="106"/>
        <item x="91"/>
        <item x="32"/>
        <item x="36"/>
        <item x="21"/>
        <item x="48"/>
        <item x="64"/>
        <item x="20"/>
        <item x="35"/>
        <item x="87"/>
        <item x="28"/>
        <item x="51"/>
        <item x="98"/>
        <item x="16"/>
        <item x="19"/>
        <item x="23"/>
        <item x="25"/>
        <item x="70"/>
        <item x="65"/>
        <item x="5"/>
        <item x="12"/>
        <item x="100"/>
        <item x="6"/>
        <item x="14"/>
        <item x="26"/>
        <item x="57"/>
        <item x="53"/>
        <item x="3"/>
        <item x="61"/>
        <item x="42"/>
        <item x="2"/>
        <item x="75"/>
        <item x="1"/>
        <item x="52"/>
        <item x="74"/>
        <item x="73"/>
        <item x="68"/>
        <item x="59"/>
        <item x="8"/>
        <item x="43"/>
        <item x="22"/>
        <item x="45"/>
        <item x="15"/>
        <item x="63"/>
        <item x="9"/>
        <item x="4"/>
        <item x="102"/>
        <item x="101"/>
        <item x="49"/>
        <item x="92"/>
        <item x="54"/>
        <item x="31"/>
        <item x="27"/>
        <item x="76"/>
        <item x="24"/>
        <item x="60"/>
        <item x="85"/>
        <item x="96"/>
        <item x="89"/>
        <item x="95"/>
        <item x="97"/>
        <item x="86"/>
        <item x="88"/>
        <item x="84"/>
        <item x="38"/>
        <item x="11"/>
        <item x="44"/>
        <item x="99"/>
        <item x="94"/>
        <item x="69"/>
        <item x="79"/>
        <item x="103"/>
        <item t="default"/>
      </items>
    </pivotField>
    <pivotField name="Joined" compact="0" numFmtId="17" outline="0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hone2" compact="0" outline="0" multipleItemSelectionAllowe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Email" compact="0" outline="0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" compact="0" outline="0" multipleItemSelectionAllowed="1" showAll="0">
      <items count="4">
        <item x="0"/>
        <item x="1"/>
        <item x="2"/>
        <item t="default"/>
      </items>
    </pivotField>
    <pivotField name="Dues-Jan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name="Feb" compact="0" outline="0" multipleItemSelectionAllowed="1" showAll="0">
      <items count="4">
        <item x="0"/>
        <item x="1"/>
        <item x="2"/>
        <item t="default"/>
      </items>
    </pivotField>
    <pivotField name="Dues-Feb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r" compact="0" outline="0" multipleItemSelectionAllowed="1" showAll="0">
      <items count="4">
        <item x="0"/>
        <item x="1"/>
        <item x="2"/>
        <item t="default"/>
      </items>
    </pivotField>
    <pivotField name="Dues-Mar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pr" compact="0" outline="0" multipleItemSelectionAllowed="1" showAll="0">
      <items count="2">
        <item x="0"/>
        <item t="default"/>
      </items>
    </pivotField>
    <pivotField name="Dues-Apr" compact="0" numFmtId="164" outline="0" multipleItemSelectionAllowe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y" axis="axisPage" dataField="1" compact="0" outline="0" multipleItemSelectionAllowed="1" showAll="0">
      <items count="4">
        <item h="1" x="0"/>
        <item x="1"/>
        <item x="2"/>
        <item t="default"/>
      </items>
    </pivotField>
    <pivotField name=" Dues-May " compact="0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Jun" compact="0" outline="0" multipleItemSelectionAllowed="1" showAll="0">
      <items count="2">
        <item x="0"/>
        <item t="default"/>
      </items>
    </pivotField>
    <pivotField name="Dues-Jun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Jul" compact="0" outline="0" multipleItemSelectionAllowed="1" showAll="0">
      <items count="2">
        <item x="0"/>
        <item t="default"/>
      </items>
    </pivotField>
    <pivotField name="Dues-Jul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Aug" compact="0" outline="0" multipleItemSelectionAllowed="1" showAll="0">
      <items count="2">
        <item x="0"/>
        <item t="default"/>
      </items>
    </pivotField>
    <pivotField name="Dues-Aug" compact="0" outline="0" multipleItemSelectionAllowed="1" showAll="0">
      <items count="5">
        <item x="0"/>
        <item x="1"/>
        <item x="2"/>
        <item x="3"/>
        <item t="default"/>
      </items>
    </pivotField>
    <pivotField name="Sep" compact="0" outline="0" multipleItemSelectionAllowed="1" showAll="0">
      <items count="2">
        <item x="0"/>
        <item t="default"/>
      </items>
    </pivotField>
    <pivotField name="Dues-Sep" compact="0" outline="0" multipleItemSelectionAllowed="1" showAll="0">
      <items count="5">
        <item x="0"/>
        <item x="1"/>
        <item x="2"/>
        <item x="3"/>
        <item t="default"/>
      </items>
    </pivotField>
    <pivotField name="Oct" compact="0" outline="0" multipleItemSelectionAllowed="1" showAll="0">
      <items count="2">
        <item x="0"/>
        <item t="default"/>
      </items>
    </pivotField>
    <pivotField name="Dues-Oct" compact="0" outline="0" multipleItemSelectionAllowed="1" showAll="0">
      <items count="5">
        <item x="0"/>
        <item x="1"/>
        <item x="2"/>
        <item x="3"/>
        <item t="default"/>
      </items>
    </pivotField>
    <pivotField name="Nov" compact="0" outline="0" multipleItemSelectionAllowed="1" showAll="0">
      <items count="2">
        <item x="0"/>
        <item t="default"/>
      </items>
    </pivotField>
    <pivotField name="Dues-Nov" compact="0" outline="0" multipleItemSelectionAllowed="1" showAll="0">
      <items count="5">
        <item x="0"/>
        <item x="1"/>
        <item x="2"/>
        <item x="3"/>
        <item t="default"/>
      </items>
    </pivotField>
    <pivotField name="Dec" compact="0" outline="0" multipleItemSelectionAllowed="1" showAll="0">
      <items count="2">
        <item x="0"/>
        <item t="default"/>
      </items>
    </pivotField>
    <pivotField name="Dues-Dec" compact="0" outline="0" multipleItemSelectionAllowed="1" showAll="0">
      <items count="5">
        <item x="0"/>
        <item x="1"/>
        <item x="2"/>
        <item x="3"/>
        <item t="default"/>
      </items>
    </pivotField>
    <pivotField name="2026 dues paid" compact="0" numFmtId="164" outline="0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2026 balance" compact="0" numFmtId="164" outline="0" multipleItemSelectionAllowe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2025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24 balance" compact="0" outline="0" multipleItemSelectionAllowed="1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3 balance" compact="0" outline="0" multipleItemSelectionAllowe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022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21 balance2" compact="0" outline="0" multipleItemSelectionAllowe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0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19 balance" compact="0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2018 balance" compact="0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" compact="0" numFmtId="164" outline="0" multipleItemSelectionAllowed="1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Financial GoodStanding" compact="0" outline="0" multipleItemSelectionAllowed="1" showAll="0">
      <items count="4">
        <item x="0"/>
        <item x="1"/>
        <item x="2"/>
        <item t="default"/>
      </items>
    </pivotField>
    <pivotField name="%Attendance" compact="0" numFmtId="9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Levies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Years active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oodStanding" compact="0" outline="0" multipleItemSelectionAllowed="1" showAll="0">
      <items count="3">
        <item x="0"/>
        <item x="1"/>
        <item t="default"/>
      </items>
    </pivotField>
    <pivotField name="Voter" compact="0" outline="0" multipleItemSelectionAllowed="1" showAll="0">
      <items count="4">
        <item x="0"/>
        <item x="1"/>
        <item x="2"/>
        <item t="default"/>
      </items>
    </pivotField>
    <pivotField name="Insurance?" compact="0" outline="0" multipleItemSelectionAllowed="1" showAll="0">
      <items count="5">
        <item x="0"/>
        <item x="1"/>
        <item x="2"/>
        <item x="3"/>
        <item t="default"/>
      </items>
    </pivotField>
    <pivotField name="Ins. premium paid" compact="0" outline="0" multipleItemSelectionAllowed="1" showAll="0">
      <items count="5">
        <item x="0"/>
        <item x="1"/>
        <item x="2"/>
        <item x="3"/>
        <item t="default"/>
      </items>
    </pivotField>
    <pivotField name="Wrapper type" compact="0" numFmtId="164" outline="0" multipleItemSelectionAllowed="1" showAll="0">
      <items count="5">
        <item x="0"/>
        <item x="1"/>
        <item x="2"/>
        <item x="3"/>
        <item t="default"/>
      </items>
    </pivotField>
    <pivotField name="Wrapper ordered" compact="0" outline="0" multipleItemSelectionAllowed="1" showAll="0">
      <items count="4">
        <item x="0"/>
        <item x="1"/>
        <item x="2"/>
        <item t="default"/>
      </items>
    </pivotField>
    <pivotField name="Wrapper payment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Hosting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affle tix UPUMI fundraiser" compact="0" outline="0" multipleItemSelectionAllowed="1" showAll="0">
      <items count="4">
        <item x="0"/>
        <item x="1"/>
        <item x="2"/>
        <item t="default"/>
      </items>
    </pivotField>
    <pivotField name="Raffle tix UPUA convention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SSW contribution" compact="0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Anambra contribution" compact="0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upua 25 raffle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"/>
    <field x="3"/>
  </rowFields>
  <pageFields count="1">
    <pageField fld="15" hier="0"/>
  </pageFields>
  <dataFields count="1">
    <dataField name="COUNTA of May" fld="1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s 3" cacheId="2" applyNumberFormats="0" applyBorderFormats="0" applyFontFormats="0" applyPatternFormats="0" applyAlignmentFormats="0" applyWidthHeightFormats="0" dataCaption="" compact="0" compactData="0">
  <location ref="U5:Y50" firstHeaderRow="0" firstDataRow="1" firstDataCol="0" rowPageCount="3" colPageCount="1"/>
  <pivotFields count="53">
    <pivotField name="Status" axis="axisPage" compact="0" outline="0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name="Title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ast" axis="axisRow" compact="0" outline="0" multipleItemSelectionAllowed="1" showAll="0" sortType="ascending" defaultSubtotal="0">
      <items count="61">
        <item x="57"/>
        <item x="0"/>
        <item x="60"/>
        <item x="1"/>
        <item x="2"/>
        <item x="3"/>
        <item x="4"/>
        <item x="5"/>
        <item x="6"/>
        <item x="7"/>
        <item x="8"/>
        <item x="55"/>
        <item x="54"/>
        <item x="9"/>
        <item x="10"/>
        <item x="11"/>
        <item x="12"/>
        <item x="13"/>
        <item x="14"/>
        <item x="15"/>
        <item x="16"/>
        <item x="17"/>
        <item x="18"/>
        <item x="19"/>
        <item x="56"/>
        <item x="20"/>
        <item x="21"/>
        <item x="51"/>
        <item x="49"/>
        <item x="22"/>
        <item x="48"/>
        <item x="23"/>
        <item x="24"/>
        <item x="25"/>
        <item x="26"/>
        <item x="27"/>
        <item x="29"/>
        <item x="30"/>
        <item x="28"/>
        <item x="31"/>
        <item x="32"/>
        <item x="33"/>
        <item x="34"/>
        <item x="35"/>
        <item x="36"/>
        <item x="37"/>
        <item x="38"/>
        <item x="39"/>
        <item x="40"/>
        <item x="58"/>
        <item x="41"/>
        <item x="59"/>
        <item x="42"/>
        <item x="43"/>
        <item x="44"/>
        <item x="45"/>
        <item x="53"/>
        <item x="46"/>
        <item x="47"/>
        <item x="52"/>
        <item x="50"/>
      </items>
    </pivotField>
    <pivotField name="First" axis="axisRow" compact="0" outline="0" multipleItemSelectionAllowed="1" showAll="0" sortType="ascending">
      <items count="111">
        <item x="77"/>
        <item x="33"/>
        <item x="13"/>
        <item x="47"/>
        <item x="29"/>
        <item x="39"/>
        <item x="17"/>
        <item x="40"/>
        <item x="90"/>
        <item x="46"/>
        <item x="108"/>
        <item x="37"/>
        <item x="105"/>
        <item x="104"/>
        <item x="72"/>
        <item x="55"/>
        <item x="71"/>
        <item x="30"/>
        <item x="50"/>
        <item x="7"/>
        <item x="34"/>
        <item x="41"/>
        <item x="18"/>
        <item x="0"/>
        <item x="80"/>
        <item x="107"/>
        <item x="10"/>
        <item x="62"/>
        <item x="56"/>
        <item x="93"/>
        <item x="58"/>
        <item x="109"/>
        <item x="83"/>
        <item x="82"/>
        <item x="66"/>
        <item x="67"/>
        <item x="78"/>
        <item x="81"/>
        <item x="106"/>
        <item x="91"/>
        <item x="32"/>
        <item x="36"/>
        <item x="21"/>
        <item x="48"/>
        <item x="64"/>
        <item x="20"/>
        <item x="35"/>
        <item x="87"/>
        <item x="28"/>
        <item x="51"/>
        <item x="98"/>
        <item x="16"/>
        <item x="19"/>
        <item x="23"/>
        <item x="25"/>
        <item x="70"/>
        <item x="65"/>
        <item x="5"/>
        <item x="12"/>
        <item x="100"/>
        <item x="6"/>
        <item x="14"/>
        <item x="26"/>
        <item x="57"/>
        <item x="53"/>
        <item x="3"/>
        <item x="61"/>
        <item x="42"/>
        <item x="2"/>
        <item x="75"/>
        <item x="1"/>
        <item x="52"/>
        <item x="74"/>
        <item x="73"/>
        <item x="68"/>
        <item x="59"/>
        <item x="8"/>
        <item x="43"/>
        <item x="22"/>
        <item x="45"/>
        <item x="15"/>
        <item x="63"/>
        <item x="9"/>
        <item x="4"/>
        <item x="102"/>
        <item x="101"/>
        <item x="49"/>
        <item x="92"/>
        <item x="54"/>
        <item x="31"/>
        <item x="27"/>
        <item x="76"/>
        <item x="24"/>
        <item x="60"/>
        <item x="85"/>
        <item x="96"/>
        <item x="89"/>
        <item x="95"/>
        <item x="97"/>
        <item x="86"/>
        <item x="88"/>
        <item x="84"/>
        <item x="38"/>
        <item x="11"/>
        <item x="44"/>
        <item x="99"/>
        <item x="94"/>
        <item x="69"/>
        <item x="79"/>
        <item x="103"/>
        <item t="default"/>
      </items>
    </pivotField>
    <pivotField name="Joined" compact="0" numFmtId="17" outline="0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hone2" dataField="1" compact="0" outline="0" multipleItemSelectionAllowe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Email" compact="0" outline="0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Jan" compact="0" outline="0" multipleItemSelectionAllowed="1" showAll="0">
      <items count="4">
        <item x="0"/>
        <item x="1"/>
        <item x="2"/>
        <item t="default"/>
      </items>
    </pivotField>
    <pivotField name="Dues-Jan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name="Feb" compact="0" outline="0" multipleItemSelectionAllowed="1" showAll="0">
      <items count="4">
        <item x="0"/>
        <item x="1"/>
        <item x="2"/>
        <item t="default"/>
      </items>
    </pivotField>
    <pivotField name="Dues-Feb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r" compact="0" outline="0" multipleItemSelectionAllowed="1" showAll="0">
      <items count="4">
        <item x="0"/>
        <item x="1"/>
        <item x="2"/>
        <item t="default"/>
      </items>
    </pivotField>
    <pivotField name="Dues-Mar" compact="0" outline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pr" compact="0" outline="0" multipleItemSelectionAllowed="1" showAll="0">
      <items count="2">
        <item x="0"/>
        <item t="default"/>
      </items>
    </pivotField>
    <pivotField name="Dues-Apr" compact="0" numFmtId="164" outline="0" multipleItemSelectionAllowe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y" compact="0" outline="0" multipleItemSelectionAllowed="1" showAll="0">
      <items count="4">
        <item x="0"/>
        <item x="1"/>
        <item x="2"/>
        <item t="default"/>
      </items>
    </pivotField>
    <pivotField name=" Dues-May " compact="0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Jun" compact="0" outline="0" multipleItemSelectionAllowed="1" showAll="0">
      <items count="2">
        <item x="0"/>
        <item t="default"/>
      </items>
    </pivotField>
    <pivotField name="Dues-Jun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Jul" compact="0" outline="0" multipleItemSelectionAllowed="1" showAll="0">
      <items count="2">
        <item x="0"/>
        <item t="default"/>
      </items>
    </pivotField>
    <pivotField name="Dues-Jul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Aug" compact="0" outline="0" multipleItemSelectionAllowed="1" showAll="0">
      <items count="2">
        <item x="0"/>
        <item t="default"/>
      </items>
    </pivotField>
    <pivotField name="Dues-Aug" compact="0" outline="0" multipleItemSelectionAllowed="1" showAll="0">
      <items count="5">
        <item x="0"/>
        <item x="1"/>
        <item x="2"/>
        <item x="3"/>
        <item t="default"/>
      </items>
    </pivotField>
    <pivotField name="Sep" compact="0" outline="0" multipleItemSelectionAllowed="1" showAll="0">
      <items count="2">
        <item x="0"/>
        <item t="default"/>
      </items>
    </pivotField>
    <pivotField name="Dues-Sep" compact="0" outline="0" multipleItemSelectionAllowed="1" showAll="0">
      <items count="5">
        <item x="0"/>
        <item x="1"/>
        <item x="2"/>
        <item x="3"/>
        <item t="default"/>
      </items>
    </pivotField>
    <pivotField name="Oct" compact="0" outline="0" multipleItemSelectionAllowed="1" showAll="0">
      <items count="2">
        <item x="0"/>
        <item t="default"/>
      </items>
    </pivotField>
    <pivotField name="Dues-Oct" compact="0" outline="0" multipleItemSelectionAllowed="1" showAll="0">
      <items count="5">
        <item x="0"/>
        <item x="1"/>
        <item x="2"/>
        <item x="3"/>
        <item t="default"/>
      </items>
    </pivotField>
    <pivotField name="Nov" compact="0" outline="0" multipleItemSelectionAllowed="1" showAll="0">
      <items count="2">
        <item x="0"/>
        <item t="default"/>
      </items>
    </pivotField>
    <pivotField name="Dues-Nov" compact="0" outline="0" multipleItemSelectionAllowed="1" showAll="0">
      <items count="5">
        <item x="0"/>
        <item x="1"/>
        <item x="2"/>
        <item x="3"/>
        <item t="default"/>
      </items>
    </pivotField>
    <pivotField name="Dec" compact="0" outline="0" multipleItemSelectionAllowed="1" showAll="0">
      <items count="2">
        <item x="0"/>
        <item t="default"/>
      </items>
    </pivotField>
    <pivotField name="Dues-Dec" compact="0" outline="0" multipleItemSelectionAllowed="1" showAll="0">
      <items count="5">
        <item x="0"/>
        <item x="1"/>
        <item x="2"/>
        <item x="3"/>
        <item t="default"/>
      </items>
    </pivotField>
    <pivotField name="2026 dues paid" compact="0" numFmtId="164" outline="0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2026 balance" compact="0" numFmtId="164" outline="0" multipleItemSelectionAllowe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2025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24 balance" compact="0" outline="0" multipleItemSelectionAllowed="1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3 balance" compact="0" outline="0" multipleItemSelectionAllowed="1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022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21 balance2" compact="0" outline="0" multipleItemSelectionAllowe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0 balance" compact="0" outline="0" multipleItemSelectionAllowe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2019 balance" compact="0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2018 balance" compact="0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" compact="0" numFmtId="164" outline="0" multipleItemSelectionAllowed="1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Financial GoodStanding" compact="0" outline="0" multipleItemSelectionAllowed="1" showAll="0">
      <items count="4">
        <item x="0"/>
        <item x="1"/>
        <item x="2"/>
        <item t="default"/>
      </items>
    </pivotField>
    <pivotField name="%Attendance" compact="0" numFmtId="9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Levies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Years active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oodStanding" compact="0" outline="0" multipleItemSelectionAllowed="1" showAll="0">
      <items count="3">
        <item x="0"/>
        <item x="1"/>
        <item t="default"/>
      </items>
    </pivotField>
    <pivotField name="Voter" compact="0" outline="0" multipleItemSelectionAllowed="1" showAll="0">
      <items count="4">
        <item x="0"/>
        <item x="1"/>
        <item x="2"/>
        <item t="default"/>
      </items>
    </pivotField>
    <pivotField name="Insurance?" compact="0" outline="0" multipleItemSelectionAllowed="1" showAll="0">
      <items count="5">
        <item x="0"/>
        <item x="1"/>
        <item x="2"/>
        <item x="3"/>
        <item t="default"/>
      </items>
    </pivotField>
    <pivotField name="Ins. premium paid" compact="0" outline="0" multipleItemSelectionAllowed="1" showAll="0">
      <items count="5">
        <item x="0"/>
        <item x="1"/>
        <item x="2"/>
        <item x="3"/>
        <item t="default"/>
      </items>
    </pivotField>
    <pivotField name="Wrapper type" compact="0" numFmtId="164" outline="0" multipleItemSelectionAllowed="1" showAll="0">
      <items count="5">
        <item x="0"/>
        <item x="1"/>
        <item x="2"/>
        <item x="3"/>
        <item t="default"/>
      </items>
    </pivotField>
    <pivotField name="Wrapper ordered" axis="axisPage" dataField="1" compact="0" outline="0" multipleItemSelectionAllowed="1" showAll="0">
      <items count="4">
        <item x="0"/>
        <item h="1" x="1"/>
        <item x="2"/>
        <item t="default"/>
      </items>
    </pivotField>
    <pivotField name="Wrapper payment" axis="axisPage" dataField="1" compact="0" outline="0" multipleItemSelectionAllowed="1" showAll="0">
      <items count="7">
        <item x="0"/>
        <item x="1"/>
        <item x="2"/>
        <item x="3"/>
        <item x="4"/>
        <item h="1" x="5"/>
        <item t="default"/>
      </items>
    </pivotField>
  </pivotFields>
  <rowFields count="2">
    <field x="2"/>
    <field x="3"/>
  </rowFields>
  <colFields count="1">
    <field x="-2"/>
  </colFields>
  <pageFields count="3">
    <pageField fld="0" hier="0"/>
    <pageField fld="51" hier="0"/>
    <pageField fld="52" hier="0"/>
  </pageFields>
  <dataFields count="3">
    <dataField name="Wrapper ordered " fld="51" baseField="0"/>
    <dataField name="wrapper payment" fld="52" baseField="0"/>
    <dataField name="Phone#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F1:BG1021">
  <tableColumns count="2">
    <tableColumn id="1" xr3:uid="{00000000-0010-0000-0000-000001000000}" name="Anambra contribution"/>
    <tableColumn id="2" xr3:uid="{00000000-0010-0000-0000-000002000000}" name="upua 25 raffle"/>
  </tableColumns>
  <tableStyleInfo name="Member_Statu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M69:O69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Bereavment Collectio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G746">
  <tableColumns count="7">
    <tableColumn id="1" xr3:uid="{00000000-0010-0000-0200-000001000000}" name="First Name"/>
    <tableColumn id="2" xr3:uid="{00000000-0010-0000-0200-000002000000}" name="Last Name"/>
    <tableColumn id="3" xr3:uid="{00000000-0010-0000-0200-000003000000}" name="Email 1"/>
    <tableColumn id="4" xr3:uid="{00000000-0010-0000-0200-000004000000}" name="Email 1 lists"/>
    <tableColumn id="5" xr3:uid="{00000000-0010-0000-0200-000005000000}" name="Email 2"/>
    <tableColumn id="6" xr3:uid="{00000000-0010-0000-0200-000006000000}" name="Phone 1"/>
    <tableColumn id="7" xr3:uid="{00000000-0010-0000-0200-000007000000}" name="Address 1"/>
  </tableColumns>
  <tableStyleInfo name="contac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5" Type="http://schemas.openxmlformats.org/officeDocument/2006/relationships/pivotTable" Target="../pivotTables/pivotTable5.xml" /><Relationship Id="rId4" Type="http://schemas.openxmlformats.org/officeDocument/2006/relationships/pivotTable" Target="../pivotTables/pivotTable4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muoboq@gmail.com" TargetMode="External" /><Relationship Id="rId2" Type="http://schemas.openxmlformats.org/officeDocument/2006/relationships/hyperlink" Target="mailto:tubitaki@aol.com" TargetMode="External" /><Relationship Id="rId1" Type="http://schemas.openxmlformats.org/officeDocument/2006/relationships/hyperlink" Target="mailto:vico08omolara@yahoo.com" TargetMode="External" /><Relationship Id="rId6" Type="http://schemas.openxmlformats.org/officeDocument/2006/relationships/table" Target="../tables/table1.xml" /><Relationship Id="rId5" Type="http://schemas.openxmlformats.org/officeDocument/2006/relationships/hyperlink" Target="http://upumi.com/wp-admin/" TargetMode="External" /><Relationship Id="rId4" Type="http://schemas.openxmlformats.org/officeDocument/2006/relationships/hyperlink" Target="mailto:onoerhime@gmail.com" TargetMode="Externa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hyperlink" Target="mailto:danorhorhoro@yahoo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8"/>
  <sheetViews>
    <sheetView topLeftCell="H1" workbookViewId="0"/>
  </sheetViews>
  <sheetFormatPr defaultColWidth="12.67578125" defaultRowHeight="15" customHeight="1" x14ac:dyDescent="0.15"/>
  <cols>
    <col min="1" max="1" width="21.171875" customWidth="1"/>
    <col min="2" max="2" width="14.83203125" customWidth="1"/>
    <col min="5" max="7" width="6.60546875" customWidth="1"/>
    <col min="8" max="8" width="20.90234375" customWidth="1"/>
    <col min="10" max="10" width="9.57421875" customWidth="1"/>
    <col min="11" max="11" width="10.24609375" customWidth="1"/>
  </cols>
  <sheetData>
    <row r="1" spans="1:11" ht="15" customHeight="1" x14ac:dyDescent="0.15">
      <c r="A1" s="1" t="s">
        <v>0</v>
      </c>
      <c r="B1" s="2" t="s">
        <v>1</v>
      </c>
      <c r="C1" s="2" t="s">
        <v>1</v>
      </c>
      <c r="D1" s="2" t="s">
        <v>1</v>
      </c>
      <c r="J1" s="3"/>
      <c r="K1" s="3"/>
    </row>
    <row r="2" spans="1:11" ht="13.5" x14ac:dyDescent="0.15">
      <c r="A2" s="1" t="s">
        <v>2</v>
      </c>
      <c r="B2" s="2" t="s">
        <v>3</v>
      </c>
      <c r="C2" s="2" t="s">
        <v>3</v>
      </c>
      <c r="D2" s="2" t="s">
        <v>4</v>
      </c>
    </row>
    <row r="3" spans="1:11" ht="13.5" x14ac:dyDescent="0.15">
      <c r="A3" s="1" t="s">
        <v>5</v>
      </c>
      <c r="B3" s="2" t="s">
        <v>6</v>
      </c>
      <c r="C3" s="2" t="s">
        <v>6</v>
      </c>
      <c r="D3" s="2" t="s">
        <v>6</v>
      </c>
    </row>
    <row r="4" spans="1:11" ht="13.5" x14ac:dyDescent="0.15">
      <c r="A4" s="4" t="s">
        <v>7</v>
      </c>
      <c r="B4" s="5" t="s">
        <v>8</v>
      </c>
      <c r="C4" s="5" t="s">
        <v>9</v>
      </c>
      <c r="D4" s="5" t="s">
        <v>10</v>
      </c>
    </row>
    <row r="5" spans="1:11" ht="13.5" x14ac:dyDescent="0.15">
      <c r="A5" s="1" t="s">
        <v>11</v>
      </c>
      <c r="B5" s="6"/>
      <c r="C5" s="6"/>
      <c r="D5" s="6"/>
    </row>
    <row r="6" spans="1:11" ht="13.5" x14ac:dyDescent="0.15">
      <c r="A6" s="1" t="s">
        <v>12</v>
      </c>
      <c r="B6" s="7">
        <v>20</v>
      </c>
      <c r="C6" s="7"/>
      <c r="D6" s="7">
        <v>20</v>
      </c>
    </row>
    <row r="7" spans="1:11" ht="13.5" x14ac:dyDescent="0.15">
      <c r="A7" s="1" t="s">
        <v>13</v>
      </c>
      <c r="B7" s="6"/>
      <c r="C7" s="6"/>
      <c r="D7" s="6"/>
    </row>
    <row r="8" spans="1:11" ht="13.5" x14ac:dyDescent="0.15">
      <c r="A8" s="1" t="s">
        <v>14</v>
      </c>
      <c r="B8" s="7"/>
      <c r="C8" s="7"/>
      <c r="D8" s="7"/>
    </row>
    <row r="9" spans="1:11" ht="13.5" x14ac:dyDescent="0.15">
      <c r="A9" s="1" t="s">
        <v>15</v>
      </c>
      <c r="B9" s="6"/>
      <c r="C9" s="6"/>
      <c r="D9" s="6"/>
    </row>
    <row r="10" spans="1:11" ht="13.5" x14ac:dyDescent="0.15">
      <c r="A10" s="1" t="s">
        <v>16</v>
      </c>
      <c r="B10" s="7"/>
      <c r="C10" s="7"/>
      <c r="D10" s="7"/>
    </row>
    <row r="11" spans="1:11" ht="13.5" x14ac:dyDescent="0.15">
      <c r="A11" s="1" t="s">
        <v>17</v>
      </c>
      <c r="B11" s="6"/>
      <c r="C11" s="6"/>
      <c r="D11" s="6"/>
    </row>
    <row r="12" spans="1:11" ht="13.5" x14ac:dyDescent="0.15">
      <c r="A12" s="1" t="s">
        <v>18</v>
      </c>
      <c r="B12" s="7"/>
      <c r="C12" s="7"/>
      <c r="D12" s="7"/>
    </row>
    <row r="13" spans="1:11" ht="13.5" x14ac:dyDescent="0.15">
      <c r="A13" s="1" t="s">
        <v>19</v>
      </c>
      <c r="B13" s="6"/>
      <c r="C13" s="6"/>
      <c r="D13" s="6"/>
    </row>
    <row r="14" spans="1:11" ht="13.5" x14ac:dyDescent="0.15">
      <c r="A14" s="8" t="s">
        <v>20</v>
      </c>
      <c r="B14" s="7"/>
      <c r="C14" s="7"/>
      <c r="D14" s="7"/>
    </row>
    <row r="15" spans="1:11" ht="13.5" x14ac:dyDescent="0.15">
      <c r="A15" s="1" t="s">
        <v>21</v>
      </c>
      <c r="B15" s="9"/>
      <c r="C15" s="9"/>
      <c r="D15" s="9"/>
    </row>
    <row r="16" spans="1:11" ht="13.5" x14ac:dyDescent="0.15">
      <c r="A16" s="1" t="s">
        <v>22</v>
      </c>
      <c r="B16" s="7"/>
      <c r="C16" s="7"/>
      <c r="D16" s="7"/>
    </row>
    <row r="17" spans="1:4" ht="13.5" x14ac:dyDescent="0.15">
      <c r="A17" s="1" t="s">
        <v>23</v>
      </c>
      <c r="B17" s="6"/>
      <c r="C17" s="6"/>
      <c r="D17" s="6"/>
    </row>
    <row r="18" spans="1:4" ht="13.5" x14ac:dyDescent="0.15">
      <c r="A18" s="1" t="s">
        <v>24</v>
      </c>
      <c r="B18" s="7"/>
      <c r="C18" s="7"/>
      <c r="D18" s="7"/>
    </row>
    <row r="19" spans="1:4" ht="13.5" x14ac:dyDescent="0.15">
      <c r="A19" s="1" t="s">
        <v>25</v>
      </c>
      <c r="B19" s="12"/>
      <c r="C19" s="12"/>
      <c r="D19" s="12"/>
    </row>
    <row r="20" spans="1:4" ht="13.5" x14ac:dyDescent="0.15">
      <c r="A20" s="1" t="s">
        <v>27</v>
      </c>
      <c r="B20" s="7"/>
      <c r="C20" s="7"/>
      <c r="D20" s="7"/>
    </row>
    <row r="21" spans="1:4" ht="13.5" x14ac:dyDescent="0.15">
      <c r="A21" s="1" t="s">
        <v>29</v>
      </c>
      <c r="B21" s="6"/>
      <c r="C21" s="6"/>
      <c r="D21" s="6"/>
    </row>
    <row r="22" spans="1:4" ht="13.5" x14ac:dyDescent="0.15">
      <c r="A22" s="1" t="s">
        <v>31</v>
      </c>
      <c r="B22" s="7"/>
      <c r="C22" s="7"/>
      <c r="D22" s="7"/>
    </row>
    <row r="23" spans="1:4" ht="13.5" x14ac:dyDescent="0.15">
      <c r="A23" s="1" t="s">
        <v>32</v>
      </c>
      <c r="B23" s="6"/>
      <c r="C23" s="6"/>
      <c r="D23" s="6"/>
    </row>
    <row r="24" spans="1:4" ht="13.5" x14ac:dyDescent="0.15">
      <c r="A24" s="1" t="s">
        <v>37</v>
      </c>
      <c r="B24" s="7"/>
      <c r="C24" s="7"/>
      <c r="D24" s="7"/>
    </row>
    <row r="25" spans="1:4" ht="13.5" x14ac:dyDescent="0.15">
      <c r="A25" s="1" t="s">
        <v>39</v>
      </c>
      <c r="B25" s="2"/>
      <c r="C25" s="2"/>
      <c r="D25" s="2"/>
    </row>
    <row r="26" spans="1:4" ht="13.5" x14ac:dyDescent="0.15">
      <c r="A26" s="20" t="s">
        <v>41</v>
      </c>
      <c r="B26" s="7"/>
      <c r="C26" s="7"/>
      <c r="D26" s="7"/>
    </row>
    <row r="27" spans="1:4" ht="13.5" x14ac:dyDescent="0.15">
      <c r="A27" s="1" t="s">
        <v>44</v>
      </c>
      <c r="B27" s="12"/>
      <c r="C27" s="12"/>
      <c r="D27" s="12"/>
    </row>
    <row r="28" spans="1:4" ht="13.5" x14ac:dyDescent="0.15">
      <c r="A28" s="1" t="s">
        <v>46</v>
      </c>
      <c r="B28" s="7"/>
      <c r="C28" s="7"/>
      <c r="D28" s="7"/>
    </row>
    <row r="29" spans="1:4" ht="13.5" x14ac:dyDescent="0.15">
      <c r="A29" s="24" t="s">
        <v>48</v>
      </c>
      <c r="B29" s="25">
        <f t="shared" ref="B29:D29" si="0">SUM(B5:B28)</f>
        <v>20</v>
      </c>
      <c r="C29" s="25">
        <f t="shared" si="0"/>
        <v>0</v>
      </c>
      <c r="D29" s="25">
        <f t="shared" si="0"/>
        <v>20</v>
      </c>
    </row>
    <row r="30" spans="1:4" ht="13.5" x14ac:dyDescent="0.15">
      <c r="A30" s="24" t="s">
        <v>50</v>
      </c>
      <c r="B30" s="25">
        <f t="shared" ref="B30:D30" ca="1" si="1">(B29 - (20* (MONTH(TODAY()) )))</f>
        <v>-140</v>
      </c>
      <c r="C30" s="25">
        <f t="shared" ca="1" si="1"/>
        <v>-160</v>
      </c>
      <c r="D30" s="25">
        <f t="shared" ca="1" si="1"/>
        <v>-140</v>
      </c>
    </row>
    <row r="31" spans="1:4" ht="13.5" x14ac:dyDescent="0.15">
      <c r="A31" s="24" t="s">
        <v>52</v>
      </c>
      <c r="B31" s="7">
        <v>50</v>
      </c>
      <c r="C31" s="7">
        <v>-20</v>
      </c>
      <c r="D31" s="7">
        <v>40</v>
      </c>
    </row>
    <row r="32" spans="1:4" ht="13.5" x14ac:dyDescent="0.15">
      <c r="A32" s="24" t="s">
        <v>53</v>
      </c>
      <c r="B32" s="7">
        <v>0</v>
      </c>
      <c r="C32" s="7">
        <v>0</v>
      </c>
      <c r="D32" s="7">
        <v>0</v>
      </c>
    </row>
    <row r="33" spans="1:4" ht="13.5" x14ac:dyDescent="0.15">
      <c r="A33" s="31" t="s">
        <v>55</v>
      </c>
      <c r="B33" s="7">
        <v>20</v>
      </c>
      <c r="C33" s="7">
        <v>-120</v>
      </c>
      <c r="D33" s="7">
        <v>20</v>
      </c>
    </row>
    <row r="34" spans="1:4" ht="13.5" x14ac:dyDescent="0.15">
      <c r="A34" s="33" t="s">
        <v>56</v>
      </c>
      <c r="B34" s="25">
        <v>-20</v>
      </c>
      <c r="C34" s="25">
        <v>-20</v>
      </c>
      <c r="D34" s="25">
        <v>-20</v>
      </c>
    </row>
    <row r="35" spans="1:4" ht="13.5" x14ac:dyDescent="0.15">
      <c r="A35" s="33" t="s">
        <v>57</v>
      </c>
      <c r="B35" s="25">
        <v>-5</v>
      </c>
      <c r="C35" s="25">
        <v>220</v>
      </c>
      <c r="D35" s="25">
        <v>5</v>
      </c>
    </row>
    <row r="36" spans="1:4" ht="13.5" x14ac:dyDescent="0.15">
      <c r="A36" s="37" t="s">
        <v>59</v>
      </c>
      <c r="B36" s="25">
        <v>-60</v>
      </c>
      <c r="C36" s="25">
        <v>-200</v>
      </c>
      <c r="D36" s="25">
        <v>-60</v>
      </c>
    </row>
    <row r="37" spans="1:4" ht="13.5" x14ac:dyDescent="0.15">
      <c r="A37" s="24" t="s">
        <v>60</v>
      </c>
      <c r="B37" s="7">
        <v>-5</v>
      </c>
      <c r="C37" s="7">
        <v>-120</v>
      </c>
      <c r="D37" s="7">
        <v>-5</v>
      </c>
    </row>
    <row r="38" spans="1:4" ht="13.5" x14ac:dyDescent="0.15">
      <c r="A38" s="24" t="s">
        <v>61</v>
      </c>
      <c r="B38" s="25">
        <f t="shared" ref="B38:D38" ca="1" si="2">SUM(B30:B37)</f>
        <v>-160</v>
      </c>
      <c r="C38" s="25">
        <f t="shared" ca="1" si="2"/>
        <v>-420</v>
      </c>
      <c r="D38" s="25">
        <f t="shared" ca="1" si="2"/>
        <v>-160</v>
      </c>
    </row>
    <row r="56" spans="1:4" ht="12.75" x14ac:dyDescent="0.15">
      <c r="A56" s="47" t="s">
        <v>63</v>
      </c>
      <c r="B56" s="47" t="s">
        <v>68</v>
      </c>
      <c r="C56" s="47" t="s">
        <v>70</v>
      </c>
      <c r="D56" s="50"/>
    </row>
    <row r="57" spans="1:4" ht="12.75" x14ac:dyDescent="0.15">
      <c r="A57" s="52" t="s">
        <v>73</v>
      </c>
      <c r="B57" s="52">
        <v>20</v>
      </c>
      <c r="C57" s="53">
        <v>50</v>
      </c>
      <c r="D57" s="53">
        <v>70</v>
      </c>
    </row>
    <row r="58" spans="1:4" ht="12.75" x14ac:dyDescent="0.15">
      <c r="A58" s="52" t="s">
        <v>79</v>
      </c>
      <c r="B58" s="52">
        <v>20</v>
      </c>
      <c r="C58" s="53">
        <v>20</v>
      </c>
      <c r="D58" s="53">
        <v>40</v>
      </c>
    </row>
    <row r="59" spans="1:4" ht="12.75" x14ac:dyDescent="0.15">
      <c r="A59" s="52" t="s">
        <v>84</v>
      </c>
      <c r="B59" s="52">
        <v>20</v>
      </c>
      <c r="C59" s="53">
        <v>20</v>
      </c>
      <c r="D59" s="53">
        <v>40</v>
      </c>
    </row>
    <row r="60" spans="1:4" ht="12.75" x14ac:dyDescent="0.15">
      <c r="A60" s="52" t="s">
        <v>89</v>
      </c>
      <c r="B60" s="52">
        <v>20</v>
      </c>
      <c r="C60" s="53">
        <v>20</v>
      </c>
      <c r="D60" s="53">
        <v>40</v>
      </c>
    </row>
    <row r="61" spans="1:4" ht="12.75" x14ac:dyDescent="0.15">
      <c r="A61" s="52" t="s">
        <v>90</v>
      </c>
      <c r="B61" s="47">
        <v>50</v>
      </c>
      <c r="C61" s="53">
        <v>50</v>
      </c>
      <c r="D61" s="53">
        <v>50</v>
      </c>
    </row>
    <row r="62" spans="1:4" ht="12.75" x14ac:dyDescent="0.15">
      <c r="A62" s="52" t="s">
        <v>91</v>
      </c>
      <c r="B62" s="52">
        <v>35</v>
      </c>
      <c r="C62" s="53">
        <v>35</v>
      </c>
      <c r="D62" s="62">
        <v>100</v>
      </c>
    </row>
    <row r="63" spans="1:4" ht="12.75" x14ac:dyDescent="0.15">
      <c r="A63" s="52" t="s">
        <v>94</v>
      </c>
      <c r="B63" s="52">
        <v>20</v>
      </c>
      <c r="C63" s="53">
        <v>20</v>
      </c>
      <c r="D63" s="53">
        <v>40</v>
      </c>
    </row>
    <row r="64" spans="1:4" ht="12.75" x14ac:dyDescent="0.15">
      <c r="A64" s="52" t="s">
        <v>95</v>
      </c>
      <c r="B64" s="52">
        <v>40</v>
      </c>
      <c r="C64" s="53">
        <v>40</v>
      </c>
      <c r="D64" s="53">
        <v>80</v>
      </c>
    </row>
    <row r="65" spans="1:4" ht="12.75" x14ac:dyDescent="0.15">
      <c r="A65" s="52" t="s">
        <v>97</v>
      </c>
      <c r="B65" s="52">
        <v>30</v>
      </c>
      <c r="C65" s="53">
        <v>30</v>
      </c>
      <c r="D65" s="53">
        <v>60</v>
      </c>
    </row>
    <row r="66" spans="1:4" ht="12.75" x14ac:dyDescent="0.15">
      <c r="A66" s="47" t="s">
        <v>98</v>
      </c>
      <c r="B66" s="47">
        <v>50</v>
      </c>
      <c r="C66" s="47">
        <v>20</v>
      </c>
      <c r="D66" s="47">
        <v>70</v>
      </c>
    </row>
    <row r="67" spans="1:4" ht="14.25" x14ac:dyDescent="0.15">
      <c r="A67" s="65" t="s">
        <v>99</v>
      </c>
      <c r="B67" s="65">
        <v>10</v>
      </c>
      <c r="C67" s="65">
        <v>10</v>
      </c>
      <c r="D67" s="65">
        <v>20</v>
      </c>
    </row>
    <row r="68" spans="1:4" ht="14.25" x14ac:dyDescent="0.15">
      <c r="A68" s="66" t="s">
        <v>102</v>
      </c>
      <c r="B68" s="67">
        <f t="shared" ref="B68:D68" si="3">SUM(B57:B67)</f>
        <v>315</v>
      </c>
      <c r="C68" s="68">
        <f t="shared" si="3"/>
        <v>315</v>
      </c>
      <c r="D68" s="68">
        <f t="shared" si="3"/>
        <v>610</v>
      </c>
    </row>
  </sheetData>
  <conditionalFormatting sqref="A24:C25 B29:E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:C28 A30:C33 D33:E33 B35:E38">
    <cfRule type="colorScale" priority="1">
      <colorScale>
        <cfvo type="formula" val="-240"/>
        <cfvo type="formula" val="-20"/>
        <cfvo type="formula" val="0"/>
        <color rgb="FFF8696B"/>
        <color rgb="FFFFEB84"/>
        <color rgb="FF63BE7B"/>
      </colorScale>
    </cfRule>
  </conditionalFormatting>
  <dataValidations count="1">
    <dataValidation type="list" allowBlank="1" showErrorMessage="1" sqref="B5:D5 B7:D7 B9:D9 B11:D11 B13:D13 B15:D15 B17:D17 B19:D19 B21:D21 B23:D23 B25:D25 B27:D27" xr:uid="{00000000-0002-0000-0000-000000000000}">
      <formula1>"Present,Excused"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G1002"/>
  <sheetViews>
    <sheetView topLeftCell="FL1" workbookViewId="0"/>
  </sheetViews>
  <sheetFormatPr defaultColWidth="12.67578125" defaultRowHeight="15" customHeight="1" x14ac:dyDescent="0.15"/>
  <cols>
    <col min="1" max="1" width="13.078125" customWidth="1"/>
    <col min="2" max="2" width="23.734375" customWidth="1"/>
    <col min="3" max="3" width="25.08203125" customWidth="1"/>
    <col min="4" max="4" width="9.4375" customWidth="1"/>
    <col min="5" max="5" width="8.8984375" customWidth="1"/>
    <col min="6" max="6" width="7.01171875" customWidth="1"/>
    <col min="7" max="7" width="14.42578125" customWidth="1"/>
    <col min="8" max="10" width="1.6171875" customWidth="1"/>
    <col min="11" max="12" width="13.34765625" customWidth="1"/>
    <col min="13" max="13" width="8.76171875" customWidth="1"/>
    <col min="14" max="14" width="7.4140625" customWidth="1"/>
    <col min="15" max="15" width="6.7421875" customWidth="1"/>
    <col min="16" max="16" width="9.57421875" customWidth="1"/>
    <col min="17" max="20" width="1.48046875" customWidth="1"/>
    <col min="21" max="21" width="14.6953125" customWidth="1"/>
    <col min="22" max="22" width="16.046875" customWidth="1"/>
    <col min="23" max="23" width="7.4140625" customWidth="1"/>
    <col min="24" max="24" width="8.62890625" customWidth="1"/>
    <col min="25" max="25" width="10.921875" customWidth="1"/>
    <col min="26" max="30" width="1.48046875" customWidth="1"/>
    <col min="31" max="31" width="0.40234375" customWidth="1"/>
    <col min="32" max="32" width="15.91015625" customWidth="1"/>
    <col min="33" max="33" width="13.078125" customWidth="1"/>
    <col min="34" max="34" width="8.62890625" customWidth="1"/>
    <col min="35" max="35" width="8.4921875" customWidth="1"/>
    <col min="36" max="36" width="10.3828125" customWidth="1"/>
    <col min="37" max="37" width="11.59375" customWidth="1"/>
    <col min="38" max="38" width="12" customWidth="1"/>
    <col min="39" max="39" width="13.6171875" customWidth="1"/>
    <col min="40" max="40" width="15.91015625" customWidth="1"/>
    <col min="41" max="41" width="18.7421875" customWidth="1"/>
    <col min="42" max="42" width="14.29296875" customWidth="1"/>
    <col min="43" max="47" width="1.48046875" customWidth="1"/>
    <col min="48" max="48" width="10.24609375" customWidth="1"/>
    <col min="49" max="49" width="15.5078125" customWidth="1"/>
    <col min="50" max="50" width="14.0234375" customWidth="1"/>
    <col min="51" max="51" width="12.40625" customWidth="1"/>
    <col min="52" max="54" width="7.55078125" customWidth="1"/>
    <col min="55" max="55" width="1.88671875" customWidth="1"/>
    <col min="56" max="56" width="1.6171875" customWidth="1"/>
    <col min="57" max="57" width="8.62890625" customWidth="1"/>
    <col min="58" max="58" width="11.73046875" customWidth="1"/>
    <col min="59" max="59" width="8.359375" customWidth="1"/>
    <col min="60" max="98" width="8.62890625" customWidth="1"/>
  </cols>
  <sheetData>
    <row r="1" spans="1:42" ht="12.75" customHeight="1" x14ac:dyDescent="0.15">
      <c r="N1" s="69" t="s">
        <v>103</v>
      </c>
      <c r="AF1" s="85" t="s">
        <v>80</v>
      </c>
      <c r="AG1" s="85" t="s">
        <v>5</v>
      </c>
      <c r="AH1" s="85" t="s">
        <v>7</v>
      </c>
      <c r="AI1" s="85" t="s">
        <v>51</v>
      </c>
      <c r="AJ1" s="85" t="s">
        <v>123</v>
      </c>
      <c r="AK1" s="85" t="s">
        <v>62</v>
      </c>
      <c r="AL1" s="86" t="s">
        <v>81</v>
      </c>
      <c r="AM1" s="86" t="s">
        <v>83</v>
      </c>
      <c r="AN1" s="85"/>
      <c r="AO1" s="88"/>
      <c r="AP1" s="85"/>
    </row>
    <row r="2" spans="1:42" ht="12.75" customHeight="1" x14ac:dyDescent="0.15">
      <c r="F2" s="3"/>
      <c r="AF2" s="99"/>
      <c r="AG2" s="88" t="s">
        <v>146</v>
      </c>
      <c r="AH2" s="88" t="s">
        <v>147</v>
      </c>
      <c r="AI2" s="100"/>
      <c r="AJ2" s="100"/>
      <c r="AK2" s="12"/>
      <c r="AL2" s="101"/>
      <c r="AM2" s="101"/>
      <c r="AN2" s="88"/>
      <c r="AO2" s="88"/>
      <c r="AP2" s="88"/>
    </row>
    <row r="3" spans="1:42" ht="12.75" customHeight="1" x14ac:dyDescent="0.15">
      <c r="F3" s="3"/>
      <c r="AF3" s="99"/>
      <c r="AG3" s="88" t="s">
        <v>152</v>
      </c>
      <c r="AH3" s="88" t="s">
        <v>153</v>
      </c>
      <c r="AI3" s="100">
        <v>190</v>
      </c>
      <c r="AJ3" s="100">
        <v>30</v>
      </c>
      <c r="AK3" s="12" t="s">
        <v>154</v>
      </c>
      <c r="AL3" s="101"/>
      <c r="AM3" s="101"/>
      <c r="AN3" s="88"/>
      <c r="AO3" s="88"/>
      <c r="AP3" s="88"/>
    </row>
    <row r="4" spans="1:42" ht="12.75" customHeight="1" x14ac:dyDescent="0.15">
      <c r="F4" s="3"/>
      <c r="AF4" s="99"/>
      <c r="AG4" s="88" t="s">
        <v>152</v>
      </c>
      <c r="AH4" s="88" t="s">
        <v>169</v>
      </c>
      <c r="AI4" s="100">
        <v>190</v>
      </c>
      <c r="AJ4" s="100">
        <v>30</v>
      </c>
      <c r="AK4" s="12" t="s">
        <v>154</v>
      </c>
      <c r="AL4" s="101"/>
      <c r="AM4" s="101"/>
      <c r="AN4" s="88"/>
      <c r="AO4" s="88"/>
      <c r="AP4" s="88"/>
    </row>
    <row r="5" spans="1:42" ht="12.75" customHeight="1" x14ac:dyDescent="0.15">
      <c r="F5" s="3"/>
      <c r="AF5" s="99"/>
      <c r="AG5" s="88" t="s">
        <v>176</v>
      </c>
      <c r="AH5" s="88" t="s">
        <v>177</v>
      </c>
      <c r="AI5" s="100">
        <v>160</v>
      </c>
      <c r="AJ5" s="100">
        <v>80</v>
      </c>
      <c r="AK5" s="12" t="s">
        <v>154</v>
      </c>
      <c r="AL5" s="101"/>
      <c r="AM5" s="101"/>
      <c r="AN5" s="88"/>
      <c r="AO5" s="88"/>
      <c r="AP5" s="88"/>
    </row>
    <row r="6" spans="1:42" ht="12.75" customHeight="1" x14ac:dyDescent="0.15">
      <c r="F6" s="3"/>
      <c r="AF6" s="99"/>
      <c r="AG6" s="88" t="s">
        <v>187</v>
      </c>
      <c r="AH6" s="88" t="s">
        <v>188</v>
      </c>
      <c r="AI6" s="100">
        <v>180</v>
      </c>
      <c r="AJ6" s="100">
        <v>100</v>
      </c>
      <c r="AK6" s="12" t="s">
        <v>154</v>
      </c>
      <c r="AL6" s="101"/>
      <c r="AM6" s="101"/>
      <c r="AN6" s="88"/>
      <c r="AO6" s="88"/>
      <c r="AP6" s="88"/>
    </row>
    <row r="7" spans="1:42" ht="12.75" customHeight="1" x14ac:dyDescent="0.15">
      <c r="F7" s="3"/>
      <c r="AF7" s="99">
        <v>46023</v>
      </c>
      <c r="AG7" s="88" t="s">
        <v>197</v>
      </c>
      <c r="AH7" s="88" t="s">
        <v>198</v>
      </c>
      <c r="AI7" s="100">
        <v>80</v>
      </c>
      <c r="AJ7" s="100">
        <v>0</v>
      </c>
      <c r="AK7" s="12" t="s">
        <v>154</v>
      </c>
      <c r="AL7" s="101"/>
      <c r="AM7" s="101"/>
      <c r="AN7" s="88"/>
      <c r="AO7" s="88"/>
      <c r="AP7" s="88"/>
    </row>
    <row r="8" spans="1:42" ht="12.75" customHeight="1" x14ac:dyDescent="0.15">
      <c r="F8" s="3"/>
      <c r="AF8" s="99">
        <v>46023</v>
      </c>
      <c r="AG8" s="88" t="s">
        <v>202</v>
      </c>
      <c r="AH8" s="88" t="s">
        <v>150</v>
      </c>
      <c r="AI8" s="100">
        <v>100</v>
      </c>
      <c r="AJ8" s="100">
        <v>-80</v>
      </c>
      <c r="AK8" s="12" t="s">
        <v>154</v>
      </c>
      <c r="AL8" s="101">
        <v>50</v>
      </c>
      <c r="AM8" s="101">
        <v>-20</v>
      </c>
      <c r="AN8" s="88"/>
      <c r="AO8" s="88"/>
      <c r="AP8" s="88"/>
    </row>
    <row r="9" spans="1:42" ht="12.75" customHeight="1" x14ac:dyDescent="0.15">
      <c r="F9" s="3"/>
      <c r="AF9" s="99">
        <v>46023</v>
      </c>
      <c r="AG9" s="88" t="s">
        <v>202</v>
      </c>
      <c r="AH9" s="88" t="s">
        <v>215</v>
      </c>
      <c r="AI9" s="100">
        <v>180</v>
      </c>
      <c r="AJ9" s="100">
        <v>-80</v>
      </c>
      <c r="AK9" s="12" t="s">
        <v>154</v>
      </c>
      <c r="AL9" s="101">
        <v>50</v>
      </c>
      <c r="AM9" s="101">
        <v>-20</v>
      </c>
      <c r="AN9" s="88"/>
      <c r="AO9" s="88"/>
      <c r="AP9" s="88"/>
    </row>
    <row r="10" spans="1:42" ht="12.75" customHeight="1" x14ac:dyDescent="0.15">
      <c r="F10" s="3"/>
      <c r="AF10" s="99">
        <v>46054</v>
      </c>
      <c r="AG10" s="88" t="s">
        <v>149</v>
      </c>
      <c r="AH10" s="88" t="s">
        <v>150</v>
      </c>
      <c r="AI10" s="100">
        <v>50</v>
      </c>
      <c r="AJ10" s="100">
        <v>-270</v>
      </c>
      <c r="AK10" s="12" t="s">
        <v>155</v>
      </c>
      <c r="AL10" s="101"/>
      <c r="AM10" s="101"/>
      <c r="AN10" s="88"/>
      <c r="AO10" s="88"/>
      <c r="AP10" s="88"/>
    </row>
    <row r="11" spans="1:42" ht="12.75" customHeight="1" x14ac:dyDescent="0.15">
      <c r="F11" s="3"/>
      <c r="AF11" s="99">
        <v>46054</v>
      </c>
      <c r="AG11" s="88" t="s">
        <v>149</v>
      </c>
      <c r="AH11" s="88" t="s">
        <v>147</v>
      </c>
      <c r="AI11" s="100">
        <v>50</v>
      </c>
      <c r="AJ11" s="100">
        <v>-270</v>
      </c>
      <c r="AK11" s="12" t="s">
        <v>155</v>
      </c>
      <c r="AL11" s="101"/>
      <c r="AM11" s="101"/>
      <c r="AN11" s="88"/>
      <c r="AO11" s="88"/>
      <c r="AP11" s="88"/>
    </row>
    <row r="12" spans="1:42" ht="12.75" customHeight="1" x14ac:dyDescent="0.15">
      <c r="F12" s="3"/>
      <c r="AF12" s="99">
        <v>46054</v>
      </c>
      <c r="AG12" s="88" t="s">
        <v>194</v>
      </c>
      <c r="AH12" s="88" t="s">
        <v>195</v>
      </c>
      <c r="AI12" s="100">
        <v>240</v>
      </c>
      <c r="AJ12" s="100">
        <v>140</v>
      </c>
      <c r="AK12" s="12" t="s">
        <v>154</v>
      </c>
      <c r="AL12" s="101">
        <v>50</v>
      </c>
      <c r="AM12" s="101">
        <v>20</v>
      </c>
      <c r="AN12" s="88"/>
      <c r="AO12" s="88"/>
      <c r="AP12" s="88"/>
    </row>
    <row r="13" spans="1:42" ht="12.75" x14ac:dyDescent="0.15">
      <c r="B13" s="85"/>
      <c r="C13" s="85"/>
      <c r="D13" s="86"/>
      <c r="E13" s="85"/>
      <c r="F13" s="3"/>
      <c r="AF13" s="99">
        <v>46054</v>
      </c>
      <c r="AG13" s="88" t="s">
        <v>194</v>
      </c>
      <c r="AH13" s="88" t="s">
        <v>199</v>
      </c>
      <c r="AI13" s="100">
        <v>240</v>
      </c>
      <c r="AJ13" s="100">
        <v>140</v>
      </c>
      <c r="AK13" s="12" t="s">
        <v>154</v>
      </c>
      <c r="AL13" s="101">
        <v>50</v>
      </c>
      <c r="AM13" s="101">
        <v>20</v>
      </c>
      <c r="AN13" s="88"/>
      <c r="AO13" s="88"/>
      <c r="AP13" s="88"/>
    </row>
    <row r="14" spans="1:42" ht="12.75" customHeight="1" x14ac:dyDescent="0.15">
      <c r="B14" s="102"/>
      <c r="C14" s="102"/>
      <c r="D14" s="86"/>
      <c r="E14" s="85"/>
      <c r="F14" s="3"/>
      <c r="AF14" s="99">
        <v>46082</v>
      </c>
      <c r="AG14" s="88" t="s">
        <v>113</v>
      </c>
      <c r="AH14" s="88" t="s">
        <v>114</v>
      </c>
      <c r="AI14" s="100">
        <v>167</v>
      </c>
      <c r="AJ14" s="100">
        <v>67</v>
      </c>
      <c r="AK14" s="12" t="s">
        <v>154</v>
      </c>
      <c r="AL14" s="101"/>
      <c r="AM14" s="101">
        <v>20</v>
      </c>
      <c r="AN14" s="88"/>
      <c r="AO14" s="88"/>
      <c r="AP14" s="88"/>
    </row>
    <row r="15" spans="1:42" ht="12.75" customHeight="1" x14ac:dyDescent="0.15">
      <c r="A15" s="102"/>
      <c r="B15" s="102"/>
      <c r="C15" s="85"/>
      <c r="D15" s="86"/>
      <c r="E15" s="3"/>
      <c r="AF15" s="99">
        <v>46082</v>
      </c>
      <c r="AG15" s="88" t="s">
        <v>171</v>
      </c>
      <c r="AH15" s="88" t="s">
        <v>174</v>
      </c>
      <c r="AI15" s="100">
        <v>240</v>
      </c>
      <c r="AJ15" s="100">
        <v>80</v>
      </c>
      <c r="AK15" s="12" t="s">
        <v>154</v>
      </c>
      <c r="AL15" s="101">
        <v>50</v>
      </c>
      <c r="AM15" s="101"/>
      <c r="AN15" s="88"/>
      <c r="AO15" s="88"/>
      <c r="AP15" s="88"/>
    </row>
    <row r="16" spans="1:42" ht="12.75" customHeight="1" x14ac:dyDescent="0.15">
      <c r="A16" s="85"/>
      <c r="B16" s="85"/>
      <c r="C16" s="85"/>
      <c r="D16" s="86"/>
      <c r="E16" s="3"/>
      <c r="AF16" s="99">
        <v>46082</v>
      </c>
      <c r="AG16" s="88" t="s">
        <v>196</v>
      </c>
      <c r="AH16" s="88" t="s">
        <v>133</v>
      </c>
      <c r="AI16" s="100">
        <v>240</v>
      </c>
      <c r="AJ16" s="100">
        <v>140</v>
      </c>
      <c r="AK16" s="12" t="s">
        <v>154</v>
      </c>
      <c r="AL16" s="101"/>
      <c r="AM16" s="101">
        <v>20</v>
      </c>
      <c r="AN16" s="88"/>
      <c r="AO16" s="88"/>
      <c r="AP16" s="88"/>
    </row>
    <row r="17" spans="1:42" ht="12.75" customHeight="1" x14ac:dyDescent="0.15">
      <c r="A17" s="98"/>
      <c r="B17" s="88"/>
      <c r="C17" s="88"/>
      <c r="D17" s="101"/>
      <c r="AF17" s="99">
        <v>46113</v>
      </c>
      <c r="AG17" s="88" t="s">
        <v>200</v>
      </c>
      <c r="AH17" s="88" t="s">
        <v>201</v>
      </c>
      <c r="AI17" s="100">
        <v>0</v>
      </c>
      <c r="AJ17" s="100">
        <v>-40</v>
      </c>
      <c r="AK17" s="12" t="s">
        <v>154</v>
      </c>
      <c r="AL17" s="101"/>
      <c r="AM17" s="101"/>
      <c r="AN17" s="88"/>
      <c r="AO17" s="88"/>
      <c r="AP17" s="88"/>
    </row>
    <row r="18" spans="1:42" ht="12.75" customHeight="1" x14ac:dyDescent="0.15">
      <c r="A18" s="75"/>
      <c r="D18" s="101"/>
      <c r="AF18" s="99">
        <v>46113</v>
      </c>
      <c r="AG18" s="88" t="s">
        <v>200</v>
      </c>
      <c r="AH18" s="88" t="s">
        <v>195</v>
      </c>
      <c r="AI18" s="100">
        <v>0</v>
      </c>
      <c r="AJ18" s="100">
        <v>-520</v>
      </c>
      <c r="AK18" s="12" t="s">
        <v>155</v>
      </c>
      <c r="AL18" s="101"/>
      <c r="AM18" s="101"/>
      <c r="AN18" s="88"/>
      <c r="AO18" s="88"/>
      <c r="AP18" s="88"/>
    </row>
    <row r="19" spans="1:42" ht="12.75" customHeight="1" x14ac:dyDescent="0.15">
      <c r="A19" s="75"/>
      <c r="D19" s="101"/>
      <c r="AF19" s="99">
        <v>46113</v>
      </c>
      <c r="AG19" s="88" t="s">
        <v>176</v>
      </c>
      <c r="AH19" s="88" t="s">
        <v>246</v>
      </c>
      <c r="AI19" s="100">
        <v>100</v>
      </c>
      <c r="AJ19" s="100">
        <v>-140</v>
      </c>
      <c r="AK19" s="12" t="s">
        <v>154</v>
      </c>
      <c r="AL19" s="101"/>
      <c r="AM19" s="101">
        <v>20</v>
      </c>
      <c r="AN19" s="88"/>
      <c r="AO19" s="88"/>
      <c r="AP19" s="88"/>
    </row>
    <row r="20" spans="1:42" ht="12.75" customHeight="1" x14ac:dyDescent="0.15">
      <c r="D20" s="101"/>
      <c r="AF20" s="99">
        <v>46113</v>
      </c>
      <c r="AG20" s="88" t="s">
        <v>176</v>
      </c>
      <c r="AH20" s="88" t="s">
        <v>121</v>
      </c>
      <c r="AI20" s="100">
        <v>100</v>
      </c>
      <c r="AJ20" s="100">
        <v>-140</v>
      </c>
      <c r="AK20" s="12" t="s">
        <v>154</v>
      </c>
      <c r="AL20" s="101"/>
      <c r="AM20" s="101">
        <v>20</v>
      </c>
      <c r="AN20" s="88"/>
      <c r="AO20" s="88"/>
      <c r="AP20" s="88"/>
    </row>
    <row r="21" spans="1:42" ht="12.75" customHeight="1" x14ac:dyDescent="0.15">
      <c r="D21" s="88"/>
      <c r="AF21" s="99">
        <v>46143</v>
      </c>
      <c r="AG21" s="88" t="s">
        <v>111</v>
      </c>
      <c r="AH21" s="88" t="s">
        <v>112</v>
      </c>
      <c r="AI21" s="100">
        <v>0</v>
      </c>
      <c r="AJ21" s="100">
        <v>-450</v>
      </c>
      <c r="AK21" s="12" t="s">
        <v>155</v>
      </c>
      <c r="AL21" s="101"/>
      <c r="AM21" s="101"/>
      <c r="AN21" s="88"/>
      <c r="AO21" s="88"/>
      <c r="AP21" s="88"/>
    </row>
    <row r="22" spans="1:42" ht="12.75" customHeight="1" x14ac:dyDescent="0.15">
      <c r="A22" s="75"/>
      <c r="B22" s="75"/>
      <c r="D22" s="88"/>
      <c r="AF22" s="99">
        <v>46143</v>
      </c>
      <c r="AG22" s="88" t="s">
        <v>124</v>
      </c>
      <c r="AH22" s="88" t="s">
        <v>125</v>
      </c>
      <c r="AI22" s="100">
        <v>0</v>
      </c>
      <c r="AJ22" s="100">
        <v>-340</v>
      </c>
      <c r="AK22" s="12" t="s">
        <v>155</v>
      </c>
      <c r="AL22" s="101"/>
      <c r="AM22" s="101"/>
      <c r="AN22" s="88"/>
      <c r="AO22" s="88"/>
      <c r="AP22" s="88"/>
    </row>
    <row r="23" spans="1:42" ht="12.75" customHeight="1" x14ac:dyDescent="0.15">
      <c r="D23" s="88"/>
      <c r="AF23" s="99">
        <v>46143</v>
      </c>
      <c r="AG23" s="88" t="s">
        <v>124</v>
      </c>
      <c r="AH23" s="88" t="s">
        <v>127</v>
      </c>
      <c r="AI23" s="100">
        <v>0</v>
      </c>
      <c r="AJ23" s="100">
        <v>-340</v>
      </c>
      <c r="AK23" s="12" t="s">
        <v>155</v>
      </c>
      <c r="AL23" s="101">
        <v>50</v>
      </c>
      <c r="AM23" s="101"/>
      <c r="AN23" s="88"/>
      <c r="AO23" s="88"/>
      <c r="AP23" s="88"/>
    </row>
    <row r="24" spans="1:42" ht="12.75" customHeight="1" x14ac:dyDescent="0.15">
      <c r="B24" s="120"/>
      <c r="D24" s="88"/>
      <c r="AF24" s="99">
        <v>46143</v>
      </c>
      <c r="AG24" s="88" t="s">
        <v>162</v>
      </c>
      <c r="AH24" s="88" t="s">
        <v>163</v>
      </c>
      <c r="AI24" s="100">
        <v>0</v>
      </c>
      <c r="AJ24" s="100">
        <v>-280</v>
      </c>
      <c r="AK24" s="12" t="s">
        <v>155</v>
      </c>
      <c r="AL24" s="101"/>
      <c r="AM24" s="101"/>
      <c r="AN24" s="88"/>
      <c r="AO24" s="88"/>
      <c r="AP24" s="88"/>
    </row>
    <row r="25" spans="1:42" ht="12.75" customHeight="1" x14ac:dyDescent="0.15">
      <c r="D25" s="88"/>
      <c r="AF25" s="99">
        <v>46174</v>
      </c>
      <c r="AG25" s="88" t="s">
        <v>134</v>
      </c>
      <c r="AH25" s="88" t="s">
        <v>229</v>
      </c>
      <c r="AI25" s="100">
        <v>0</v>
      </c>
      <c r="AJ25" s="100">
        <v>-160</v>
      </c>
      <c r="AK25" s="12" t="s">
        <v>154</v>
      </c>
      <c r="AL25" s="101"/>
      <c r="AM25" s="101"/>
      <c r="AN25" s="88"/>
      <c r="AO25" s="88"/>
      <c r="AP25" s="88"/>
    </row>
    <row r="26" spans="1:42" ht="12.75" customHeight="1" x14ac:dyDescent="0.15">
      <c r="D26" s="88"/>
      <c r="AF26" s="99">
        <v>46174</v>
      </c>
      <c r="AG26" s="88" t="s">
        <v>134</v>
      </c>
      <c r="AH26" s="88" t="s">
        <v>235</v>
      </c>
      <c r="AI26" s="100">
        <v>0</v>
      </c>
      <c r="AJ26" s="100">
        <v>-160</v>
      </c>
      <c r="AK26" s="12" t="s">
        <v>154</v>
      </c>
      <c r="AL26" s="101"/>
      <c r="AM26" s="101"/>
      <c r="AN26" s="88"/>
      <c r="AO26" s="88"/>
      <c r="AP26" s="88"/>
    </row>
    <row r="27" spans="1:42" ht="12.75" customHeight="1" x14ac:dyDescent="0.15">
      <c r="D27" s="88"/>
      <c r="AF27" s="99">
        <v>46174</v>
      </c>
      <c r="AG27" s="88" t="s">
        <v>144</v>
      </c>
      <c r="AH27" s="88" t="s">
        <v>145</v>
      </c>
      <c r="AI27" s="100">
        <v>170</v>
      </c>
      <c r="AJ27" s="100">
        <v>-170</v>
      </c>
      <c r="AK27" s="12" t="s">
        <v>154</v>
      </c>
      <c r="AL27" s="101">
        <v>50</v>
      </c>
      <c r="AM27" s="101">
        <v>40</v>
      </c>
      <c r="AN27" s="88"/>
      <c r="AO27" s="88"/>
      <c r="AP27" s="88"/>
    </row>
    <row r="28" spans="1:42" ht="12.75" customHeight="1" x14ac:dyDescent="0.15">
      <c r="D28" s="88"/>
      <c r="AF28" s="99">
        <v>46204</v>
      </c>
      <c r="AG28" s="88" t="s">
        <v>241</v>
      </c>
      <c r="AH28" s="88" t="s">
        <v>242</v>
      </c>
      <c r="AI28" s="100">
        <v>240</v>
      </c>
      <c r="AJ28" s="100">
        <v>-290</v>
      </c>
      <c r="AK28" s="12" t="s">
        <v>155</v>
      </c>
      <c r="AL28" s="101"/>
      <c r="AM28" s="101"/>
      <c r="AN28" s="88"/>
      <c r="AO28" s="88"/>
      <c r="AP28" s="88"/>
    </row>
    <row r="29" spans="1:42" ht="12.75" customHeight="1" x14ac:dyDescent="0.15">
      <c r="D29" s="88"/>
      <c r="AF29" s="99">
        <v>46204</v>
      </c>
      <c r="AG29" s="88" t="s">
        <v>241</v>
      </c>
      <c r="AH29" s="88" t="s">
        <v>243</v>
      </c>
      <c r="AI29" s="100">
        <v>240</v>
      </c>
      <c r="AJ29" s="100">
        <v>-290</v>
      </c>
      <c r="AK29" s="12" t="s">
        <v>155</v>
      </c>
      <c r="AL29" s="101"/>
      <c r="AM29" s="101"/>
      <c r="AN29" s="88"/>
      <c r="AO29" s="88"/>
      <c r="AP29" s="88"/>
    </row>
    <row r="30" spans="1:42" ht="12.75" customHeight="1" x14ac:dyDescent="0.15">
      <c r="D30" s="88"/>
      <c r="AF30" s="99">
        <v>46204</v>
      </c>
      <c r="AG30" s="88" t="s">
        <v>247</v>
      </c>
      <c r="AH30" s="88" t="s">
        <v>248</v>
      </c>
      <c r="AI30" s="100">
        <v>0</v>
      </c>
      <c r="AJ30" s="100">
        <v>0</v>
      </c>
      <c r="AK30" s="12" t="s">
        <v>154</v>
      </c>
      <c r="AL30" s="101"/>
      <c r="AM30" s="101"/>
      <c r="AN30" s="88"/>
      <c r="AO30" s="88"/>
      <c r="AP30" s="88"/>
    </row>
    <row r="31" spans="1:42" ht="12.75" customHeight="1" x14ac:dyDescent="0.15">
      <c r="D31" s="88"/>
      <c r="AF31" s="99">
        <v>46204</v>
      </c>
      <c r="AG31" s="88" t="s">
        <v>247</v>
      </c>
      <c r="AH31" s="88" t="s">
        <v>281</v>
      </c>
      <c r="AI31" s="100">
        <v>0</v>
      </c>
      <c r="AJ31" s="100">
        <v>0</v>
      </c>
      <c r="AK31" s="12" t="s">
        <v>154</v>
      </c>
      <c r="AL31" s="101"/>
      <c r="AM31" s="101"/>
      <c r="AN31" s="88"/>
      <c r="AO31" s="88"/>
      <c r="AP31" s="88"/>
    </row>
    <row r="32" spans="1:42" ht="12.75" customHeight="1" x14ac:dyDescent="0.15">
      <c r="D32" s="88"/>
      <c r="AF32" s="99">
        <v>46266</v>
      </c>
      <c r="AG32" s="88" t="s">
        <v>6</v>
      </c>
      <c r="AH32" s="88" t="s">
        <v>236</v>
      </c>
      <c r="AI32" s="100">
        <v>240</v>
      </c>
      <c r="AJ32" s="100">
        <v>500</v>
      </c>
      <c r="AK32" s="12" t="s">
        <v>154</v>
      </c>
      <c r="AL32" s="101">
        <v>50</v>
      </c>
      <c r="AM32" s="101">
        <v>20</v>
      </c>
      <c r="AN32" s="88"/>
      <c r="AO32" s="88"/>
      <c r="AP32" s="88"/>
    </row>
    <row r="33" spans="4:42" ht="12.75" customHeight="1" x14ac:dyDescent="0.15">
      <c r="D33" s="88"/>
      <c r="AF33" s="99">
        <v>46266</v>
      </c>
      <c r="AG33" s="88" t="s">
        <v>6</v>
      </c>
      <c r="AH33" s="88" t="s">
        <v>8</v>
      </c>
      <c r="AI33" s="100">
        <v>240</v>
      </c>
      <c r="AJ33" s="100">
        <v>140</v>
      </c>
      <c r="AK33" s="12" t="s">
        <v>154</v>
      </c>
      <c r="AL33" s="101"/>
      <c r="AM33" s="101">
        <v>20</v>
      </c>
      <c r="AN33" s="88"/>
      <c r="AO33" s="88"/>
      <c r="AP33" s="88"/>
    </row>
    <row r="34" spans="4:42" ht="12.75" customHeight="1" x14ac:dyDescent="0.15">
      <c r="D34" s="88"/>
      <c r="AF34" s="99">
        <v>46266</v>
      </c>
      <c r="AG34" s="88" t="s">
        <v>6</v>
      </c>
      <c r="AH34" s="88" t="s">
        <v>10</v>
      </c>
      <c r="AI34" s="100">
        <v>240</v>
      </c>
      <c r="AJ34" s="100">
        <v>140</v>
      </c>
      <c r="AK34" s="12" t="s">
        <v>154</v>
      </c>
      <c r="AL34" s="101"/>
      <c r="AM34" s="101">
        <v>20</v>
      </c>
      <c r="AN34" s="88"/>
      <c r="AO34" s="88"/>
      <c r="AP34" s="88"/>
    </row>
    <row r="35" spans="4:42" ht="12.75" customHeight="1" x14ac:dyDescent="0.15">
      <c r="D35" s="88"/>
      <c r="AF35" s="99">
        <v>46296</v>
      </c>
      <c r="AG35" s="88" t="s">
        <v>82</v>
      </c>
      <c r="AH35" s="88" t="s">
        <v>85</v>
      </c>
      <c r="AI35" s="100">
        <v>120</v>
      </c>
      <c r="AJ35" s="100">
        <v>-110</v>
      </c>
      <c r="AK35" s="12" t="s">
        <v>154</v>
      </c>
      <c r="AL35" s="101">
        <v>50</v>
      </c>
      <c r="AM35" s="101"/>
      <c r="AN35" s="88"/>
      <c r="AO35" s="88"/>
      <c r="AP35" s="88"/>
    </row>
    <row r="36" spans="4:42" ht="12.75" customHeight="1" x14ac:dyDescent="0.15">
      <c r="D36" s="88"/>
      <c r="AF36" s="99">
        <v>46296</v>
      </c>
      <c r="AG36" s="88" t="s">
        <v>82</v>
      </c>
      <c r="AH36" s="88" t="s">
        <v>93</v>
      </c>
      <c r="AI36" s="100">
        <v>120</v>
      </c>
      <c r="AJ36" s="100">
        <v>-130</v>
      </c>
      <c r="AK36" s="12" t="s">
        <v>154</v>
      </c>
      <c r="AL36" s="101">
        <v>50</v>
      </c>
      <c r="AM36" s="101"/>
      <c r="AN36" s="88"/>
      <c r="AO36" s="88"/>
      <c r="AP36" s="88"/>
    </row>
    <row r="37" spans="4:42" ht="12.75" customHeight="1" x14ac:dyDescent="0.15">
      <c r="D37" s="88"/>
      <c r="AF37" s="99">
        <v>46296</v>
      </c>
      <c r="AG37" s="88" t="s">
        <v>272</v>
      </c>
      <c r="AH37" s="88" t="s">
        <v>273</v>
      </c>
      <c r="AI37" s="100">
        <v>0</v>
      </c>
      <c r="AJ37" s="100">
        <v>-260</v>
      </c>
      <c r="AK37" s="12" t="s">
        <v>155</v>
      </c>
      <c r="AL37" s="101" t="s">
        <v>108</v>
      </c>
      <c r="AM37" s="101" t="s">
        <v>108</v>
      </c>
      <c r="AN37" s="88"/>
      <c r="AO37" s="88"/>
      <c r="AP37" s="88"/>
    </row>
    <row r="38" spans="4:42" ht="12.75" customHeight="1" x14ac:dyDescent="0.15">
      <c r="D38" s="88"/>
      <c r="AF38" s="99">
        <v>46296</v>
      </c>
      <c r="AG38" s="88" t="s">
        <v>272</v>
      </c>
      <c r="AH38" s="88" t="s">
        <v>274</v>
      </c>
      <c r="AI38" s="100">
        <v>0</v>
      </c>
      <c r="AJ38" s="100">
        <v>-260</v>
      </c>
      <c r="AK38" s="12" t="s">
        <v>155</v>
      </c>
      <c r="AL38" s="101" t="s">
        <v>108</v>
      </c>
      <c r="AM38" s="101" t="s">
        <v>108</v>
      </c>
      <c r="AN38" s="88"/>
      <c r="AO38" s="88"/>
      <c r="AP38" s="88"/>
    </row>
    <row r="39" spans="4:42" ht="12.75" customHeight="1" x14ac:dyDescent="0.15">
      <c r="D39" s="88"/>
      <c r="AF39" s="99">
        <v>46327</v>
      </c>
      <c r="AG39" s="88" t="s">
        <v>104</v>
      </c>
      <c r="AH39" s="88" t="s">
        <v>105</v>
      </c>
      <c r="AI39" s="100">
        <v>0</v>
      </c>
      <c r="AJ39" s="100">
        <v>90</v>
      </c>
      <c r="AK39" s="12" t="s">
        <v>154</v>
      </c>
      <c r="AL39" s="101"/>
      <c r="AM39" s="101"/>
      <c r="AN39" s="88"/>
      <c r="AO39" s="88"/>
      <c r="AP39" s="88"/>
    </row>
    <row r="40" spans="4:42" ht="12.75" customHeight="1" x14ac:dyDescent="0.15">
      <c r="D40" s="88"/>
      <c r="AF40" s="99">
        <v>46327</v>
      </c>
      <c r="AG40" s="88" t="s">
        <v>106</v>
      </c>
      <c r="AH40" s="88" t="s">
        <v>107</v>
      </c>
      <c r="AI40" s="100">
        <v>120</v>
      </c>
      <c r="AJ40" s="100">
        <v>-40</v>
      </c>
      <c r="AK40" s="12" t="s">
        <v>154</v>
      </c>
      <c r="AL40" s="101">
        <v>50</v>
      </c>
      <c r="AM40" s="101">
        <v>-20</v>
      </c>
      <c r="AN40" s="88"/>
      <c r="AO40" s="88"/>
      <c r="AP40" s="88"/>
    </row>
    <row r="41" spans="4:42" ht="12.75" customHeight="1" x14ac:dyDescent="0.15">
      <c r="D41" s="88"/>
      <c r="AF41" s="99">
        <v>46327</v>
      </c>
      <c r="AG41" s="88" t="s">
        <v>115</v>
      </c>
      <c r="AH41" s="88" t="s">
        <v>116</v>
      </c>
      <c r="AI41" s="100">
        <v>200</v>
      </c>
      <c r="AJ41" s="100">
        <v>-140</v>
      </c>
      <c r="AK41" s="12" t="s">
        <v>154</v>
      </c>
      <c r="AL41" s="101">
        <v>50</v>
      </c>
      <c r="AM41" s="101">
        <v>-20</v>
      </c>
      <c r="AN41" s="88"/>
      <c r="AO41" s="88"/>
      <c r="AP41" s="88"/>
    </row>
    <row r="42" spans="4:42" ht="12.75" customHeight="1" x14ac:dyDescent="0.15">
      <c r="D42" s="88"/>
      <c r="AF42" s="99">
        <v>46327</v>
      </c>
      <c r="AG42" s="88" t="s">
        <v>117</v>
      </c>
      <c r="AH42" s="88" t="s">
        <v>118</v>
      </c>
      <c r="AI42" s="100">
        <v>240</v>
      </c>
      <c r="AJ42" s="100">
        <v>180</v>
      </c>
      <c r="AK42" s="12" t="s">
        <v>154</v>
      </c>
      <c r="AL42" s="101">
        <v>50</v>
      </c>
      <c r="AM42" s="101">
        <v>20</v>
      </c>
      <c r="AN42" s="88"/>
      <c r="AO42" s="88"/>
      <c r="AP42" s="88"/>
    </row>
    <row r="43" spans="4:42" ht="12.75" customHeight="1" x14ac:dyDescent="0.15">
      <c r="D43" s="88"/>
      <c r="AF43" s="99">
        <v>46388</v>
      </c>
      <c r="AG43" s="88" t="s">
        <v>120</v>
      </c>
      <c r="AH43" s="88" t="s">
        <v>122</v>
      </c>
      <c r="AI43" s="100">
        <v>0</v>
      </c>
      <c r="AJ43" s="100">
        <v>-520</v>
      </c>
      <c r="AK43" s="12" t="s">
        <v>155</v>
      </c>
      <c r="AL43" s="101"/>
      <c r="AM43" s="101"/>
      <c r="AN43" s="88"/>
      <c r="AO43" s="88"/>
      <c r="AP43" s="88"/>
    </row>
    <row r="44" spans="4:42" ht="12.75" customHeight="1" x14ac:dyDescent="0.15">
      <c r="D44" s="88"/>
      <c r="AF44" s="99">
        <v>46388</v>
      </c>
      <c r="AG44" s="88" t="s">
        <v>269</v>
      </c>
      <c r="AH44" s="88" t="s">
        <v>270</v>
      </c>
      <c r="AI44" s="100">
        <v>480</v>
      </c>
      <c r="AJ44" s="100">
        <v>80</v>
      </c>
      <c r="AK44" s="12" t="s">
        <v>154</v>
      </c>
      <c r="AL44" s="101"/>
      <c r="AM44" s="101"/>
      <c r="AN44" s="88"/>
      <c r="AO44" s="88"/>
      <c r="AP44" s="88"/>
    </row>
    <row r="45" spans="4:42" ht="12.75" customHeight="1" x14ac:dyDescent="0.15">
      <c r="D45" s="88"/>
      <c r="AF45" s="99">
        <v>46388</v>
      </c>
      <c r="AG45" s="88" t="s">
        <v>275</v>
      </c>
      <c r="AH45" s="88" t="s">
        <v>276</v>
      </c>
      <c r="AI45" s="100">
        <v>0</v>
      </c>
      <c r="AJ45" s="100">
        <v>180</v>
      </c>
      <c r="AK45" s="12" t="s">
        <v>154</v>
      </c>
      <c r="AL45" s="101">
        <v>50</v>
      </c>
      <c r="AM45" s="101"/>
      <c r="AN45" s="88"/>
      <c r="AO45" s="88"/>
      <c r="AP45" s="88"/>
    </row>
    <row r="46" spans="4:42" ht="12.75" customHeight="1" x14ac:dyDescent="0.15">
      <c r="D46" s="88"/>
      <c r="AF46" s="99">
        <v>46388</v>
      </c>
      <c r="AG46" s="88" t="s">
        <v>275</v>
      </c>
      <c r="AH46" s="88" t="s">
        <v>278</v>
      </c>
      <c r="AI46" s="100">
        <v>0</v>
      </c>
      <c r="AJ46" s="100">
        <v>165</v>
      </c>
      <c r="AK46" s="12" t="s">
        <v>154</v>
      </c>
      <c r="AL46" s="101">
        <v>50</v>
      </c>
      <c r="AM46" s="101"/>
      <c r="AN46" s="88"/>
      <c r="AO46" s="88"/>
      <c r="AP46" s="88"/>
    </row>
    <row r="47" spans="4:42" ht="12.75" customHeight="1" x14ac:dyDescent="0.15">
      <c r="D47" s="88"/>
      <c r="AF47" s="99">
        <v>46419</v>
      </c>
      <c r="AG47" s="88" t="s">
        <v>137</v>
      </c>
      <c r="AH47" s="88" t="s">
        <v>138</v>
      </c>
      <c r="AI47" s="100">
        <v>100</v>
      </c>
      <c r="AJ47" s="100">
        <v>-220</v>
      </c>
      <c r="AK47" s="12" t="s">
        <v>154</v>
      </c>
      <c r="AL47" s="101"/>
      <c r="AM47" s="101">
        <v>-20</v>
      </c>
      <c r="AN47" s="88"/>
      <c r="AO47" s="88"/>
      <c r="AP47" s="88"/>
    </row>
    <row r="48" spans="4:42" ht="12.75" customHeight="1" x14ac:dyDescent="0.15">
      <c r="D48" s="88"/>
      <c r="AF48" s="99">
        <v>46419</v>
      </c>
      <c r="AG48" s="88" t="s">
        <v>184</v>
      </c>
      <c r="AH48" s="88" t="s">
        <v>186</v>
      </c>
      <c r="AI48" s="100">
        <v>240</v>
      </c>
      <c r="AJ48" s="100">
        <v>80</v>
      </c>
      <c r="AK48" s="12" t="s">
        <v>154</v>
      </c>
      <c r="AL48" s="101">
        <v>50</v>
      </c>
      <c r="AM48" s="101">
        <v>20</v>
      </c>
      <c r="AN48" s="88"/>
      <c r="AO48" s="88"/>
      <c r="AP48" s="88"/>
    </row>
    <row r="49" spans="4:42" ht="12.75" customHeight="1" x14ac:dyDescent="0.15">
      <c r="D49" s="88"/>
      <c r="AF49" s="99">
        <v>46419</v>
      </c>
      <c r="AG49" s="88" t="s">
        <v>184</v>
      </c>
      <c r="AH49" s="88" t="s">
        <v>190</v>
      </c>
      <c r="AI49" s="100">
        <v>240</v>
      </c>
      <c r="AJ49" s="100">
        <v>80</v>
      </c>
      <c r="AK49" s="12" t="s">
        <v>154</v>
      </c>
      <c r="AL49" s="101">
        <v>50</v>
      </c>
      <c r="AM49" s="101">
        <v>20</v>
      </c>
      <c r="AN49" s="88"/>
      <c r="AO49" s="88"/>
      <c r="AP49" s="88"/>
    </row>
    <row r="50" spans="4:42" ht="12.75" customHeight="1" x14ac:dyDescent="0.15">
      <c r="D50" s="88"/>
      <c r="AF50" s="99">
        <v>46447</v>
      </c>
      <c r="AG50" s="88" t="s">
        <v>47</v>
      </c>
      <c r="AH50" s="88" t="s">
        <v>49</v>
      </c>
      <c r="AI50" s="100">
        <v>120</v>
      </c>
      <c r="AJ50" s="100">
        <v>-40</v>
      </c>
      <c r="AK50" s="12" t="s">
        <v>154</v>
      </c>
      <c r="AL50" s="101"/>
      <c r="AM50" s="101"/>
      <c r="AN50" s="88"/>
      <c r="AO50" s="88"/>
      <c r="AP50" s="88"/>
    </row>
    <row r="51" spans="4:42" ht="12.75" customHeight="1" x14ac:dyDescent="0.15">
      <c r="D51" s="88"/>
      <c r="AF51" s="99">
        <v>46447</v>
      </c>
      <c r="AG51" s="88" t="s">
        <v>47</v>
      </c>
      <c r="AH51" s="88" t="s">
        <v>58</v>
      </c>
      <c r="AI51" s="100">
        <v>120</v>
      </c>
      <c r="AJ51" s="100">
        <v>-40</v>
      </c>
      <c r="AK51" s="12" t="s">
        <v>154</v>
      </c>
      <c r="AL51" s="101"/>
      <c r="AM51" s="101"/>
      <c r="AN51" s="88"/>
      <c r="AO51" s="88"/>
      <c r="AP51" s="88"/>
    </row>
    <row r="52" spans="4:42" ht="12.75" customHeight="1" x14ac:dyDescent="0.15">
      <c r="D52" s="88"/>
      <c r="AF52" s="99">
        <v>46447</v>
      </c>
      <c r="AG52" s="88" t="s">
        <v>225</v>
      </c>
      <c r="AH52" s="88" t="s">
        <v>226</v>
      </c>
      <c r="AI52" s="100">
        <v>150</v>
      </c>
      <c r="AJ52" s="100">
        <v>-10</v>
      </c>
      <c r="AK52" s="12" t="s">
        <v>154</v>
      </c>
      <c r="AL52" s="101"/>
      <c r="AM52" s="101">
        <v>20</v>
      </c>
      <c r="AN52" s="88"/>
      <c r="AO52" s="88"/>
      <c r="AP52" s="88"/>
    </row>
    <row r="53" spans="4:42" ht="12.75" customHeight="1" x14ac:dyDescent="0.15">
      <c r="D53" s="88"/>
      <c r="AF53" s="99">
        <v>46447</v>
      </c>
      <c r="AG53" s="88" t="s">
        <v>225</v>
      </c>
      <c r="AH53" s="88" t="s">
        <v>228</v>
      </c>
      <c r="AI53" s="100">
        <v>200</v>
      </c>
      <c r="AJ53" s="100">
        <v>40</v>
      </c>
      <c r="AK53" s="12" t="s">
        <v>154</v>
      </c>
      <c r="AL53" s="101"/>
      <c r="AM53" s="101">
        <v>20</v>
      </c>
      <c r="AN53" s="88"/>
      <c r="AO53" s="88"/>
      <c r="AP53" s="88"/>
    </row>
    <row r="54" spans="4:42" ht="12.75" customHeight="1" x14ac:dyDescent="0.15">
      <c r="D54" s="88"/>
      <c r="AF54" s="99">
        <v>46478</v>
      </c>
      <c r="AG54" s="88" t="s">
        <v>128</v>
      </c>
      <c r="AH54" s="88" t="s">
        <v>129</v>
      </c>
      <c r="AI54" s="100">
        <v>270</v>
      </c>
      <c r="AJ54" s="100">
        <v>-100</v>
      </c>
      <c r="AK54" s="12" t="s">
        <v>154</v>
      </c>
      <c r="AL54" s="101">
        <v>50</v>
      </c>
      <c r="AM54" s="101">
        <v>20</v>
      </c>
      <c r="AN54" s="88"/>
      <c r="AO54" s="88"/>
      <c r="AP54" s="88"/>
    </row>
    <row r="55" spans="4:42" ht="12.75" customHeight="1" x14ac:dyDescent="0.15">
      <c r="D55" s="88"/>
      <c r="AF55" s="99">
        <v>46478</v>
      </c>
      <c r="AG55" s="88" t="s">
        <v>175</v>
      </c>
      <c r="AH55" s="88" t="s">
        <v>178</v>
      </c>
      <c r="AI55" s="100">
        <v>240</v>
      </c>
      <c r="AJ55" s="100">
        <v>80</v>
      </c>
      <c r="AK55" s="12" t="s">
        <v>154</v>
      </c>
      <c r="AL55" s="101">
        <v>50</v>
      </c>
      <c r="AM55" s="101">
        <v>20</v>
      </c>
      <c r="AN55" s="88"/>
      <c r="AO55" s="88"/>
      <c r="AP55" s="88"/>
    </row>
    <row r="56" spans="4:42" ht="12.75" customHeight="1" x14ac:dyDescent="0.15">
      <c r="D56" s="88"/>
      <c r="AF56" s="99">
        <v>46478</v>
      </c>
      <c r="AG56" s="88" t="s">
        <v>282</v>
      </c>
      <c r="AH56" s="88" t="s">
        <v>283</v>
      </c>
      <c r="AI56" s="100">
        <v>0</v>
      </c>
      <c r="AJ56" s="100">
        <v>-120</v>
      </c>
      <c r="AK56" s="12" t="s">
        <v>154</v>
      </c>
      <c r="AL56" s="101">
        <v>50</v>
      </c>
      <c r="AM56" s="101"/>
      <c r="AN56" s="88"/>
      <c r="AO56" s="88"/>
      <c r="AP56" s="88"/>
    </row>
    <row r="57" spans="4:42" ht="12.75" customHeight="1" x14ac:dyDescent="0.15">
      <c r="D57" s="88"/>
      <c r="AF57" s="88" t="s">
        <v>108</v>
      </c>
      <c r="AG57" s="88" t="s">
        <v>65</v>
      </c>
      <c r="AH57" s="88" t="s">
        <v>66</v>
      </c>
      <c r="AI57" s="100">
        <v>300</v>
      </c>
      <c r="AJ57" s="100">
        <v>-180</v>
      </c>
      <c r="AK57" s="12" t="s">
        <v>154</v>
      </c>
      <c r="AL57" s="101"/>
      <c r="AM57" s="101">
        <v>20</v>
      </c>
      <c r="AN57" s="88"/>
      <c r="AO57" s="88"/>
      <c r="AP57" s="88"/>
    </row>
    <row r="58" spans="4:42" ht="12.75" customHeight="1" x14ac:dyDescent="0.15">
      <c r="D58" s="88"/>
      <c r="AF58" s="88" t="s">
        <v>108</v>
      </c>
      <c r="AG58" s="88" t="s">
        <v>109</v>
      </c>
      <c r="AH58" s="88" t="s">
        <v>110</v>
      </c>
      <c r="AI58" s="100">
        <v>0</v>
      </c>
      <c r="AJ58" s="100">
        <v>-440</v>
      </c>
      <c r="AK58" s="12" t="s">
        <v>155</v>
      </c>
      <c r="AL58" s="101"/>
      <c r="AM58" s="101"/>
      <c r="AN58" s="88"/>
      <c r="AO58" s="88"/>
      <c r="AP58" s="88"/>
    </row>
    <row r="59" spans="4:42" ht="12.75" customHeight="1" x14ac:dyDescent="0.15">
      <c r="D59" s="88"/>
      <c r="AF59" s="88" t="s">
        <v>108</v>
      </c>
      <c r="AG59" s="88" t="s">
        <v>139</v>
      </c>
      <c r="AH59" s="88" t="s">
        <v>141</v>
      </c>
      <c r="AI59" s="100">
        <v>0</v>
      </c>
      <c r="AJ59" s="100">
        <v>-400</v>
      </c>
      <c r="AK59" s="12" t="s">
        <v>155</v>
      </c>
      <c r="AL59" s="101"/>
      <c r="AM59" s="101"/>
      <c r="AN59" s="88"/>
      <c r="AO59" s="88"/>
      <c r="AP59" s="88"/>
    </row>
    <row r="60" spans="4:42" ht="12.75" customHeight="1" x14ac:dyDescent="0.15">
      <c r="D60" s="88"/>
      <c r="AF60" s="88" t="s">
        <v>108</v>
      </c>
      <c r="AG60" s="88" t="s">
        <v>233</v>
      </c>
      <c r="AH60" s="88" t="s">
        <v>234</v>
      </c>
      <c r="AI60" s="100">
        <v>50</v>
      </c>
      <c r="AJ60" s="100">
        <v>-970</v>
      </c>
      <c r="AK60" s="12" t="s">
        <v>155</v>
      </c>
      <c r="AL60" s="101"/>
      <c r="AM60" s="101"/>
      <c r="AN60" s="88"/>
      <c r="AO60" s="88"/>
      <c r="AP60" s="88"/>
    </row>
    <row r="61" spans="4:42" ht="12.75" customHeight="1" x14ac:dyDescent="0.15">
      <c r="D61" s="88"/>
      <c r="AF61" s="88" t="s">
        <v>108</v>
      </c>
      <c r="AG61" s="88" t="s">
        <v>237</v>
      </c>
      <c r="AH61" s="88" t="s">
        <v>238</v>
      </c>
      <c r="AI61" s="100">
        <v>0</v>
      </c>
      <c r="AJ61" s="100">
        <v>-760</v>
      </c>
      <c r="AK61" s="12" t="s">
        <v>155</v>
      </c>
      <c r="AL61" s="101"/>
      <c r="AM61" s="101"/>
      <c r="AN61" s="88"/>
      <c r="AO61" s="88"/>
      <c r="AP61" s="88"/>
    </row>
    <row r="62" spans="4:42" ht="12.75" customHeight="1" x14ac:dyDescent="0.15">
      <c r="D62" s="88"/>
      <c r="AF62" s="88" t="s">
        <v>297</v>
      </c>
      <c r="AG62" s="88" t="s">
        <v>130</v>
      </c>
      <c r="AH62" s="88" t="s">
        <v>131</v>
      </c>
      <c r="AI62" s="100">
        <v>140</v>
      </c>
      <c r="AJ62" s="100">
        <v>-120</v>
      </c>
      <c r="AK62" s="12" t="s">
        <v>154</v>
      </c>
      <c r="AL62" s="101" t="s">
        <v>108</v>
      </c>
      <c r="AM62" s="101"/>
      <c r="AN62" s="88"/>
      <c r="AO62" s="88"/>
      <c r="AP62" s="88"/>
    </row>
    <row r="63" spans="4:42" ht="12.75" customHeight="1" x14ac:dyDescent="0.15">
      <c r="D63" s="88"/>
      <c r="AF63" s="88" t="s">
        <v>297</v>
      </c>
      <c r="AG63" s="88" t="s">
        <v>130</v>
      </c>
      <c r="AH63" s="88" t="s">
        <v>133</v>
      </c>
      <c r="AI63" s="100">
        <v>140</v>
      </c>
      <c r="AJ63" s="100">
        <v>-120</v>
      </c>
      <c r="AK63" s="12" t="s">
        <v>154</v>
      </c>
      <c r="AL63" s="101" t="s">
        <v>108</v>
      </c>
      <c r="AM63" s="101"/>
      <c r="AN63" s="88"/>
      <c r="AO63" s="88"/>
      <c r="AP63" s="88"/>
    </row>
    <row r="64" spans="4:42" ht="12.75" customHeight="1" x14ac:dyDescent="0.15">
      <c r="D64" s="88"/>
      <c r="AF64" s="88" t="s">
        <v>297</v>
      </c>
      <c r="AG64" s="88" t="s">
        <v>200</v>
      </c>
      <c r="AH64" s="88" t="s">
        <v>203</v>
      </c>
      <c r="AI64" s="100">
        <v>0</v>
      </c>
      <c r="AJ64" s="100">
        <v>-460</v>
      </c>
      <c r="AK64" s="12" t="s">
        <v>155</v>
      </c>
      <c r="AL64" s="101"/>
      <c r="AM64" s="101"/>
      <c r="AN64" s="88"/>
      <c r="AO64" s="88"/>
      <c r="AP64" s="88"/>
    </row>
    <row r="65" spans="4:59" ht="12.75" customHeight="1" x14ac:dyDescent="0.15">
      <c r="D65" s="88"/>
      <c r="AF65" s="88" t="s">
        <v>297</v>
      </c>
      <c r="AG65" s="88" t="s">
        <v>6</v>
      </c>
      <c r="AH65" s="88" t="s">
        <v>9</v>
      </c>
      <c r="AI65" s="100">
        <v>240</v>
      </c>
      <c r="AJ65" s="100">
        <v>300</v>
      </c>
      <c r="AK65" s="12" t="s">
        <v>154</v>
      </c>
      <c r="AL65" s="101" t="s">
        <v>108</v>
      </c>
      <c r="AM65" s="101">
        <v>20</v>
      </c>
      <c r="AN65" s="88"/>
      <c r="AO65" s="88"/>
      <c r="AP65" s="88"/>
    </row>
    <row r="66" spans="4:59" ht="12.75" customHeight="1" x14ac:dyDescent="0.15">
      <c r="D66" s="88"/>
      <c r="AF66" s="88" t="s">
        <v>297</v>
      </c>
      <c r="AG66" s="88" t="s">
        <v>239</v>
      </c>
      <c r="AH66" s="88" t="s">
        <v>240</v>
      </c>
      <c r="AI66" s="100">
        <v>0</v>
      </c>
      <c r="AJ66" s="100">
        <v>-140</v>
      </c>
      <c r="AK66" s="12" t="s">
        <v>155</v>
      </c>
      <c r="AL66" s="101"/>
      <c r="AM66" s="101"/>
      <c r="AN66" s="88"/>
      <c r="AO66" s="88"/>
      <c r="AP66" s="88"/>
    </row>
    <row r="67" spans="4:59" ht="12.75" customHeight="1" x14ac:dyDescent="0.15">
      <c r="D67" s="88"/>
      <c r="AF67" s="88" t="s">
        <v>297</v>
      </c>
      <c r="AG67" s="88" t="s">
        <v>180</v>
      </c>
      <c r="AH67" s="88" t="s">
        <v>179</v>
      </c>
      <c r="AI67" s="100">
        <v>0</v>
      </c>
      <c r="AJ67" s="100">
        <v>-210</v>
      </c>
      <c r="AK67" s="88" t="s">
        <v>155</v>
      </c>
      <c r="AL67" s="101" t="s">
        <v>108</v>
      </c>
      <c r="AM67" s="101"/>
      <c r="AN67" s="88"/>
      <c r="AO67" s="88"/>
      <c r="AP67" s="88"/>
    </row>
    <row r="68" spans="4:59" ht="12.75" customHeight="1" x14ac:dyDescent="0.15">
      <c r="D68" s="88"/>
      <c r="AF68" s="88" t="s">
        <v>297</v>
      </c>
      <c r="AG68" s="88" t="s">
        <v>263</v>
      </c>
      <c r="AH68" s="88" t="s">
        <v>264</v>
      </c>
      <c r="AI68" s="100">
        <v>0</v>
      </c>
      <c r="AJ68" s="100">
        <v>-390</v>
      </c>
      <c r="AK68" s="88" t="s">
        <v>155</v>
      </c>
      <c r="AL68" s="101"/>
      <c r="AM68" s="101"/>
      <c r="AN68" s="88"/>
      <c r="AO68" s="88"/>
      <c r="AP68" s="88"/>
    </row>
    <row r="69" spans="4:59" ht="12.75" customHeight="1" x14ac:dyDescent="0.15">
      <c r="D69" s="88"/>
      <c r="AF69" s="88" t="s">
        <v>297</v>
      </c>
      <c r="AG69" s="88" t="s">
        <v>282</v>
      </c>
      <c r="AH69" s="88" t="s">
        <v>284</v>
      </c>
      <c r="AI69" s="100">
        <v>0</v>
      </c>
      <c r="AJ69" s="100">
        <v>90</v>
      </c>
      <c r="AK69" s="88" t="s">
        <v>154</v>
      </c>
      <c r="AL69" s="101">
        <v>50</v>
      </c>
      <c r="AM69" s="101"/>
      <c r="AN69" s="88"/>
      <c r="AO69" s="88"/>
      <c r="AP69" s="88"/>
    </row>
    <row r="70" spans="4:59" ht="12.75" customHeight="1" x14ac:dyDescent="0.15">
      <c r="D70" s="88"/>
      <c r="AF70" s="88" t="s">
        <v>299</v>
      </c>
      <c r="AG70" s="88" t="s">
        <v>182</v>
      </c>
      <c r="AH70" s="88" t="s">
        <v>85</v>
      </c>
      <c r="AI70" s="100">
        <v>120</v>
      </c>
      <c r="AJ70" s="100">
        <v>50</v>
      </c>
      <c r="AK70" s="88" t="s">
        <v>154</v>
      </c>
      <c r="AL70" s="101" t="s">
        <v>108</v>
      </c>
      <c r="AM70" s="101"/>
      <c r="AN70" s="88"/>
      <c r="AO70" s="88"/>
      <c r="AP70" s="88"/>
    </row>
    <row r="71" spans="4:59" ht="12.75" customHeight="1" x14ac:dyDescent="0.15">
      <c r="D71" s="88"/>
      <c r="AF71" s="88" t="s">
        <v>265</v>
      </c>
      <c r="AG71" s="88" t="s">
        <v>65</v>
      </c>
      <c r="AH71" s="88" t="s">
        <v>151</v>
      </c>
      <c r="AI71" s="100">
        <v>0</v>
      </c>
      <c r="AJ71" s="100">
        <v>-120</v>
      </c>
      <c r="AK71" s="88" t="s">
        <v>154</v>
      </c>
      <c r="AL71" s="101"/>
      <c r="AM71" s="101"/>
      <c r="AN71" s="88"/>
      <c r="AO71" s="88"/>
      <c r="AP71" s="88"/>
    </row>
    <row r="72" spans="4:59" ht="12.75" customHeight="1" x14ac:dyDescent="0.15">
      <c r="D72" s="88"/>
      <c r="AF72" s="88" t="s">
        <v>265</v>
      </c>
      <c r="AG72" s="88" t="s">
        <v>100</v>
      </c>
      <c r="AH72" s="88" t="s">
        <v>101</v>
      </c>
      <c r="AI72" s="100">
        <v>240</v>
      </c>
      <c r="AJ72" s="100">
        <v>-40</v>
      </c>
      <c r="AK72" s="88" t="s">
        <v>154</v>
      </c>
      <c r="AL72" s="101" t="s">
        <v>108</v>
      </c>
      <c r="AM72" s="101" t="s">
        <v>108</v>
      </c>
      <c r="AN72" s="88"/>
      <c r="AO72" s="88"/>
      <c r="AP72" s="88"/>
    </row>
    <row r="73" spans="4:59" ht="12.75" customHeight="1" x14ac:dyDescent="0.15">
      <c r="D73" s="88"/>
      <c r="AF73" s="88" t="s">
        <v>265</v>
      </c>
      <c r="AG73" s="88" t="s">
        <v>200</v>
      </c>
      <c r="AH73" s="88" t="s">
        <v>224</v>
      </c>
      <c r="AI73" s="100">
        <v>120</v>
      </c>
      <c r="AJ73" s="100">
        <v>0</v>
      </c>
      <c r="AK73" s="88" t="s">
        <v>154</v>
      </c>
      <c r="AL73" s="101"/>
      <c r="AM73" s="101"/>
      <c r="AN73" s="88"/>
      <c r="AO73" s="88"/>
      <c r="AP73" s="88"/>
    </row>
    <row r="74" spans="4:59" ht="12.75" customHeight="1" x14ac:dyDescent="0.15">
      <c r="D74" s="88"/>
      <c r="AF74" s="88" t="s">
        <v>265</v>
      </c>
      <c r="AG74" s="88" t="s">
        <v>275</v>
      </c>
      <c r="AH74" s="88" t="s">
        <v>277</v>
      </c>
      <c r="AI74" s="100">
        <v>0</v>
      </c>
      <c r="AJ74" s="100">
        <v>-140</v>
      </c>
      <c r="AK74" s="88" t="s">
        <v>154</v>
      </c>
      <c r="AL74" s="101" t="s">
        <v>108</v>
      </c>
      <c r="AM74" s="101" t="s">
        <v>108</v>
      </c>
      <c r="AN74" s="88"/>
      <c r="AO74" s="88"/>
      <c r="AP74" s="88"/>
      <c r="BF74" s="12">
        <f>213000*0.07</f>
        <v>14910.000000000002</v>
      </c>
      <c r="BG74" s="12">
        <f>213000/12</f>
        <v>17750</v>
      </c>
    </row>
    <row r="75" spans="4:59" ht="12.75" customHeight="1" x14ac:dyDescent="0.15">
      <c r="D75" s="88"/>
      <c r="AF75" s="88" t="s">
        <v>265</v>
      </c>
      <c r="AG75" s="88" t="s">
        <v>279</v>
      </c>
      <c r="AH75" s="88" t="s">
        <v>280</v>
      </c>
      <c r="AI75" s="100">
        <v>60</v>
      </c>
      <c r="AJ75" s="100">
        <v>-80</v>
      </c>
      <c r="AK75" s="88" t="s">
        <v>154</v>
      </c>
      <c r="AL75" s="101"/>
      <c r="AM75" s="101"/>
      <c r="AN75" s="88"/>
      <c r="AO75" s="88"/>
      <c r="AP75" s="88"/>
    </row>
    <row r="76" spans="4:59" ht="12.75" customHeight="1" x14ac:dyDescent="0.15">
      <c r="D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V76" s="88"/>
      <c r="AW76" s="88"/>
      <c r="AX76" s="88"/>
      <c r="AY76" s="88"/>
      <c r="AZ76" s="88"/>
      <c r="BA76" s="88"/>
      <c r="BB76" s="88"/>
    </row>
    <row r="77" spans="4:59" ht="12.75" customHeight="1" x14ac:dyDescent="0.15">
      <c r="D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V77" s="88"/>
      <c r="AW77" s="88"/>
      <c r="AX77" s="88"/>
      <c r="AY77" s="88"/>
      <c r="AZ77" s="88"/>
      <c r="BA77" s="88"/>
      <c r="BB77" s="88"/>
    </row>
    <row r="78" spans="4:59" ht="12.75" customHeight="1" x14ac:dyDescent="0.15">
      <c r="D78" s="88"/>
      <c r="AF78" s="88"/>
      <c r="AG78" s="88"/>
      <c r="AH78" s="88"/>
      <c r="AI78" s="88"/>
      <c r="AJ78" s="88"/>
      <c r="AK78" s="88"/>
      <c r="AL78" s="88"/>
      <c r="AM78" s="88"/>
      <c r="AN78" s="88">
        <f>7/12</f>
        <v>0.58333333333333337</v>
      </c>
      <c r="AO78" s="88"/>
      <c r="AP78" s="88"/>
      <c r="AV78" s="88"/>
      <c r="AW78" s="88"/>
      <c r="AX78" s="88"/>
      <c r="AY78" s="88"/>
      <c r="AZ78" s="88"/>
      <c r="BA78" s="88"/>
      <c r="BB78" s="88"/>
    </row>
    <row r="79" spans="4:59" ht="12.75" customHeight="1" x14ac:dyDescent="0.15">
      <c r="D79" s="88"/>
      <c r="AF79" s="88"/>
      <c r="AG79" s="88"/>
      <c r="AH79" s="88"/>
      <c r="AI79" s="88"/>
      <c r="AJ79" s="88"/>
      <c r="AK79" s="88"/>
      <c r="AL79" s="88"/>
      <c r="AM79" s="88"/>
      <c r="AN79" s="145"/>
      <c r="AO79" s="88"/>
      <c r="AP79" s="88"/>
      <c r="AV79" s="88"/>
      <c r="AW79" s="88"/>
      <c r="AX79" s="88"/>
      <c r="AY79" s="88"/>
      <c r="AZ79" s="88"/>
      <c r="BA79" s="88"/>
      <c r="BB79" s="88"/>
    </row>
    <row r="80" spans="4:59" ht="12.75" customHeight="1" x14ac:dyDescent="0.15">
      <c r="D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V80" s="88"/>
      <c r="AW80" s="88"/>
      <c r="AX80" s="88"/>
      <c r="AY80" s="88"/>
      <c r="AZ80" s="88"/>
      <c r="BA80" s="88"/>
      <c r="BB80" s="88"/>
    </row>
    <row r="81" spans="4:54" ht="12.75" customHeight="1" x14ac:dyDescent="0.15">
      <c r="D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V81" s="88"/>
      <c r="AW81" s="88"/>
      <c r="AX81" s="88"/>
      <c r="AY81" s="88"/>
      <c r="AZ81" s="88"/>
      <c r="BA81" s="88"/>
      <c r="BB81" s="88"/>
    </row>
    <row r="82" spans="4:54" ht="12.75" customHeight="1" x14ac:dyDescent="0.15">
      <c r="D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V82" s="88"/>
      <c r="AW82" s="88"/>
      <c r="AX82" s="88"/>
      <c r="AY82" s="88"/>
      <c r="AZ82" s="88"/>
      <c r="BA82" s="88"/>
      <c r="BB82" s="88"/>
    </row>
    <row r="83" spans="4:54" ht="12.75" customHeight="1" x14ac:dyDescent="0.15">
      <c r="D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V83" s="88"/>
      <c r="AW83" s="88"/>
      <c r="AX83" s="88"/>
      <c r="AY83" s="88"/>
      <c r="AZ83" s="88"/>
      <c r="BA83" s="88"/>
      <c r="BB83" s="88"/>
    </row>
    <row r="84" spans="4:54" ht="12.75" customHeight="1" x14ac:dyDescent="0.15">
      <c r="D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V84" s="88"/>
      <c r="AW84" s="88"/>
      <c r="AX84" s="88"/>
      <c r="AY84" s="88"/>
      <c r="AZ84" s="88"/>
      <c r="BA84" s="88"/>
      <c r="BB84" s="88"/>
    </row>
    <row r="85" spans="4:54" ht="12.75" customHeight="1" x14ac:dyDescent="0.15">
      <c r="D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V85" s="88"/>
      <c r="AW85" s="88"/>
      <c r="AX85" s="88"/>
      <c r="AY85" s="88"/>
      <c r="AZ85" s="88"/>
      <c r="BA85" s="88"/>
      <c r="BB85" s="88"/>
    </row>
    <row r="86" spans="4:54" ht="12.75" customHeight="1" x14ac:dyDescent="0.15">
      <c r="D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V86" s="88"/>
      <c r="AW86" s="88"/>
      <c r="AX86" s="88"/>
      <c r="AY86" s="88"/>
      <c r="AZ86" s="88"/>
      <c r="BA86" s="88"/>
      <c r="BB86" s="88"/>
    </row>
    <row r="87" spans="4:54" ht="12.75" customHeight="1" x14ac:dyDescent="0.15">
      <c r="D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V87" s="88"/>
      <c r="AW87" s="88"/>
      <c r="AX87" s="88"/>
      <c r="AY87" s="88"/>
      <c r="AZ87" s="88"/>
      <c r="BA87" s="88"/>
      <c r="BB87" s="88"/>
    </row>
    <row r="88" spans="4:54" ht="12.75" customHeight="1" x14ac:dyDescent="0.15">
      <c r="D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V88" s="88"/>
      <c r="AW88" s="88"/>
      <c r="AX88" s="88"/>
      <c r="AY88" s="88"/>
      <c r="AZ88" s="88"/>
      <c r="BA88" s="88"/>
      <c r="BB88" s="88"/>
    </row>
    <row r="89" spans="4:54" ht="12.75" customHeight="1" x14ac:dyDescent="0.15">
      <c r="D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V89" s="88"/>
      <c r="AW89" s="88"/>
      <c r="AX89" s="88"/>
      <c r="AY89" s="88"/>
      <c r="AZ89" s="88"/>
      <c r="BA89" s="88"/>
      <c r="BB89" s="88"/>
    </row>
    <row r="90" spans="4:54" ht="12.75" customHeight="1" x14ac:dyDescent="0.15">
      <c r="D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V90" s="88"/>
      <c r="AW90" s="88"/>
      <c r="AX90" s="88"/>
      <c r="AY90" s="88"/>
      <c r="AZ90" s="88"/>
      <c r="BA90" s="88"/>
      <c r="BB90" s="88"/>
    </row>
    <row r="91" spans="4:54" ht="12.75" customHeight="1" x14ac:dyDescent="0.15">
      <c r="D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V91" s="88"/>
      <c r="AW91" s="88"/>
      <c r="AX91" s="88"/>
      <c r="AY91" s="88"/>
      <c r="AZ91" s="88"/>
      <c r="BA91" s="88"/>
      <c r="BB91" s="88"/>
    </row>
    <row r="92" spans="4:54" ht="12.75" customHeight="1" x14ac:dyDescent="0.15">
      <c r="D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V92" s="88"/>
      <c r="AW92" s="88"/>
      <c r="AX92" s="88"/>
      <c r="AY92" s="88"/>
      <c r="AZ92" s="88"/>
      <c r="BA92" s="88"/>
      <c r="BB92" s="88"/>
    </row>
    <row r="93" spans="4:54" ht="12.75" customHeight="1" x14ac:dyDescent="0.15">
      <c r="D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V93" s="88"/>
      <c r="AW93" s="88"/>
      <c r="AX93" s="88"/>
      <c r="AY93" s="88"/>
      <c r="AZ93" s="88"/>
      <c r="BA93" s="88"/>
      <c r="BB93" s="88"/>
    </row>
    <row r="94" spans="4:54" ht="12.75" customHeight="1" x14ac:dyDescent="0.15">
      <c r="D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V94" s="88"/>
      <c r="AW94" s="88"/>
      <c r="AX94" s="88"/>
      <c r="AY94" s="88"/>
      <c r="AZ94" s="88"/>
      <c r="BA94" s="88"/>
      <c r="BB94" s="88"/>
    </row>
    <row r="95" spans="4:54" ht="12.75" customHeight="1" x14ac:dyDescent="0.15">
      <c r="D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V95" s="88"/>
      <c r="AW95" s="88"/>
      <c r="AX95" s="88"/>
      <c r="AY95" s="88"/>
      <c r="AZ95" s="88"/>
      <c r="BA95" s="88"/>
      <c r="BB95" s="88"/>
    </row>
    <row r="96" spans="4:54" ht="12.75" customHeight="1" x14ac:dyDescent="0.15">
      <c r="D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V96" s="88"/>
      <c r="AW96" s="88"/>
      <c r="AX96" s="88"/>
      <c r="AY96" s="88"/>
      <c r="AZ96" s="88"/>
      <c r="BA96" s="88"/>
      <c r="BB96" s="88"/>
    </row>
    <row r="97" spans="4:54" ht="12.75" customHeight="1" x14ac:dyDescent="0.15">
      <c r="D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V97" s="88"/>
      <c r="AW97" s="88"/>
      <c r="AX97" s="88"/>
      <c r="AY97" s="88"/>
      <c r="AZ97" s="88"/>
      <c r="BA97" s="88"/>
      <c r="BB97" s="88"/>
    </row>
    <row r="98" spans="4:54" ht="12.75" customHeight="1" x14ac:dyDescent="0.15">
      <c r="D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V98" s="88"/>
      <c r="AW98" s="88"/>
      <c r="AX98" s="88"/>
      <c r="AY98" s="88"/>
      <c r="AZ98" s="88"/>
      <c r="BA98" s="88"/>
      <c r="BB98" s="88"/>
    </row>
    <row r="99" spans="4:54" ht="12.75" customHeight="1" x14ac:dyDescent="0.15">
      <c r="D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V99" s="88"/>
      <c r="AW99" s="88"/>
      <c r="AX99" s="88"/>
      <c r="AY99" s="88"/>
      <c r="AZ99" s="88"/>
      <c r="BA99" s="88"/>
      <c r="BB99" s="88"/>
    </row>
    <row r="100" spans="4:54" ht="12.75" customHeight="1" x14ac:dyDescent="0.15">
      <c r="D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V100" s="88"/>
      <c r="AW100" s="88"/>
      <c r="AX100" s="88"/>
      <c r="AY100" s="88"/>
      <c r="AZ100" s="88"/>
      <c r="BA100" s="88"/>
      <c r="BB100" s="88"/>
    </row>
    <row r="101" spans="4:54" ht="12.75" customHeight="1" x14ac:dyDescent="0.15">
      <c r="D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V101" s="88"/>
      <c r="AW101" s="88"/>
      <c r="AX101" s="88"/>
      <c r="AY101" s="88"/>
      <c r="AZ101" s="88"/>
      <c r="BA101" s="88"/>
      <c r="BB101" s="88"/>
    </row>
    <row r="102" spans="4:54" ht="12.75" customHeight="1" x14ac:dyDescent="0.15">
      <c r="D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V102" s="88"/>
      <c r="AW102" s="88"/>
      <c r="AX102" s="88"/>
      <c r="AY102" s="88"/>
      <c r="AZ102" s="88"/>
      <c r="BA102" s="88"/>
      <c r="BB102" s="88"/>
    </row>
    <row r="103" spans="4:54" ht="12.75" customHeight="1" x14ac:dyDescent="0.15">
      <c r="D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V103" s="88"/>
      <c r="AW103" s="88"/>
      <c r="AX103" s="88"/>
      <c r="AY103" s="88"/>
      <c r="AZ103" s="88"/>
      <c r="BA103" s="88"/>
      <c r="BB103" s="88"/>
    </row>
    <row r="104" spans="4:54" ht="12.75" customHeight="1" x14ac:dyDescent="0.15">
      <c r="D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V104" s="88"/>
      <c r="AW104" s="88"/>
      <c r="AX104" s="88"/>
      <c r="AY104" s="88"/>
      <c r="AZ104" s="88"/>
      <c r="BA104" s="88"/>
      <c r="BB104" s="88"/>
    </row>
    <row r="105" spans="4:54" ht="12.75" customHeight="1" x14ac:dyDescent="0.15">
      <c r="D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V105" s="88"/>
      <c r="AW105" s="88"/>
      <c r="AX105" s="88"/>
      <c r="AY105" s="88"/>
      <c r="AZ105" s="88"/>
      <c r="BA105" s="88"/>
      <c r="BB105" s="88"/>
    </row>
    <row r="106" spans="4:54" ht="12.75" customHeight="1" x14ac:dyDescent="0.15">
      <c r="D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V106" s="88"/>
      <c r="AW106" s="88"/>
      <c r="AX106" s="88"/>
      <c r="AY106" s="88"/>
      <c r="AZ106" s="88"/>
      <c r="BA106" s="88"/>
      <c r="BB106" s="88"/>
    </row>
    <row r="107" spans="4:54" ht="12.75" customHeight="1" x14ac:dyDescent="0.15">
      <c r="D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V107" s="88"/>
      <c r="AW107" s="88"/>
      <c r="AX107" s="88"/>
      <c r="AY107" s="88"/>
      <c r="AZ107" s="88"/>
      <c r="BA107" s="88"/>
      <c r="BB107" s="88"/>
    </row>
    <row r="108" spans="4:54" ht="12.75" customHeight="1" x14ac:dyDescent="0.15">
      <c r="D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V108" s="88"/>
      <c r="AW108" s="88"/>
      <c r="AX108" s="88"/>
      <c r="AY108" s="88"/>
      <c r="AZ108" s="88"/>
      <c r="BA108" s="88"/>
      <c r="BB108" s="88"/>
    </row>
    <row r="109" spans="4:54" ht="12.75" customHeight="1" x14ac:dyDescent="0.15">
      <c r="D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V109" s="88"/>
      <c r="AW109" s="88"/>
      <c r="AX109" s="88"/>
      <c r="AY109" s="88"/>
      <c r="AZ109" s="88"/>
      <c r="BA109" s="88"/>
      <c r="BB109" s="88"/>
    </row>
    <row r="110" spans="4:54" ht="12.75" customHeight="1" x14ac:dyDescent="0.15">
      <c r="D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V110" s="88"/>
      <c r="AW110" s="88"/>
      <c r="AX110" s="88"/>
      <c r="AY110" s="88"/>
      <c r="AZ110" s="88"/>
      <c r="BA110" s="88"/>
      <c r="BB110" s="88"/>
    </row>
    <row r="111" spans="4:54" ht="12.75" customHeight="1" x14ac:dyDescent="0.15">
      <c r="D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V111" s="88"/>
      <c r="AW111" s="88"/>
      <c r="AX111" s="88"/>
      <c r="AY111" s="88"/>
      <c r="AZ111" s="88"/>
      <c r="BA111" s="88"/>
      <c r="BB111" s="88"/>
    </row>
    <row r="112" spans="4:54" ht="12.75" customHeight="1" x14ac:dyDescent="0.15">
      <c r="D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V112" s="88"/>
      <c r="AW112" s="88"/>
      <c r="AX112" s="88"/>
      <c r="AY112" s="88"/>
      <c r="AZ112" s="88"/>
      <c r="BA112" s="88"/>
      <c r="BB112" s="88"/>
    </row>
    <row r="113" spans="4:54" ht="12.75" customHeight="1" x14ac:dyDescent="0.15">
      <c r="D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V113" s="88"/>
      <c r="AW113" s="88"/>
      <c r="AX113" s="88"/>
      <c r="AY113" s="88"/>
      <c r="AZ113" s="88"/>
      <c r="BA113" s="88"/>
      <c r="BB113" s="88"/>
    </row>
    <row r="114" spans="4:54" ht="12.75" customHeight="1" x14ac:dyDescent="0.15">
      <c r="D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V114" s="88"/>
      <c r="AW114" s="88"/>
      <c r="AX114" s="88"/>
      <c r="AY114" s="88"/>
      <c r="AZ114" s="88"/>
      <c r="BA114" s="88"/>
      <c r="BB114" s="88"/>
    </row>
    <row r="115" spans="4:54" ht="12.75" customHeight="1" x14ac:dyDescent="0.15">
      <c r="D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V115" s="88"/>
      <c r="AW115" s="88"/>
      <c r="AX115" s="88"/>
      <c r="AY115" s="88"/>
      <c r="AZ115" s="88"/>
      <c r="BA115" s="88"/>
      <c r="BB115" s="88"/>
    </row>
    <row r="116" spans="4:54" ht="12.75" customHeight="1" x14ac:dyDescent="0.15">
      <c r="D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V116" s="88"/>
      <c r="AW116" s="88"/>
      <c r="AX116" s="88"/>
      <c r="AY116" s="88"/>
      <c r="AZ116" s="88"/>
      <c r="BA116" s="88"/>
      <c r="BB116" s="88"/>
    </row>
    <row r="117" spans="4:54" ht="12.75" customHeight="1" x14ac:dyDescent="0.15">
      <c r="D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V117" s="88"/>
      <c r="AW117" s="88"/>
      <c r="AX117" s="88"/>
      <c r="AY117" s="88"/>
      <c r="AZ117" s="88"/>
      <c r="BA117" s="88"/>
      <c r="BB117" s="88"/>
    </row>
    <row r="118" spans="4:54" ht="12.75" customHeight="1" x14ac:dyDescent="0.15">
      <c r="D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V118" s="88"/>
      <c r="AW118" s="88"/>
      <c r="AX118" s="88"/>
      <c r="AY118" s="88"/>
      <c r="AZ118" s="88"/>
      <c r="BA118" s="88"/>
      <c r="BB118" s="88"/>
    </row>
    <row r="119" spans="4:54" ht="12.75" customHeight="1" x14ac:dyDescent="0.15">
      <c r="D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V119" s="88"/>
      <c r="AW119" s="88"/>
      <c r="AX119" s="88"/>
      <c r="AY119" s="88"/>
      <c r="AZ119" s="88"/>
      <c r="BA119" s="88"/>
      <c r="BB119" s="88"/>
    </row>
    <row r="120" spans="4:54" ht="12.75" customHeight="1" x14ac:dyDescent="0.15">
      <c r="D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V120" s="88"/>
      <c r="AW120" s="88"/>
      <c r="AX120" s="88"/>
      <c r="AY120" s="88"/>
      <c r="AZ120" s="88"/>
      <c r="BA120" s="88"/>
      <c r="BB120" s="88"/>
    </row>
    <row r="121" spans="4:54" ht="12.75" customHeight="1" x14ac:dyDescent="0.15">
      <c r="D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V121" s="88"/>
      <c r="AW121" s="88"/>
      <c r="AX121" s="88"/>
      <c r="AY121" s="88"/>
      <c r="AZ121" s="88"/>
      <c r="BA121" s="88"/>
      <c r="BB121" s="88"/>
    </row>
    <row r="122" spans="4:54" ht="12.75" customHeight="1" x14ac:dyDescent="0.15">
      <c r="D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V122" s="88"/>
      <c r="AW122" s="88"/>
      <c r="AX122" s="88"/>
      <c r="AY122" s="88"/>
      <c r="AZ122" s="88"/>
      <c r="BA122" s="88"/>
      <c r="BB122" s="88"/>
    </row>
    <row r="123" spans="4:54" ht="12.75" customHeight="1" x14ac:dyDescent="0.15">
      <c r="D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V123" s="88"/>
      <c r="AW123" s="88"/>
      <c r="AX123" s="88"/>
      <c r="AY123" s="88"/>
      <c r="AZ123" s="88"/>
      <c r="BA123" s="88"/>
      <c r="BB123" s="88"/>
    </row>
    <row r="124" spans="4:54" ht="12.75" customHeight="1" x14ac:dyDescent="0.15">
      <c r="D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V124" s="88"/>
      <c r="AW124" s="88"/>
      <c r="AX124" s="88"/>
      <c r="AY124" s="88"/>
      <c r="AZ124" s="88"/>
      <c r="BA124" s="88"/>
      <c r="BB124" s="88"/>
    </row>
    <row r="125" spans="4:54" ht="12.75" customHeight="1" x14ac:dyDescent="0.15">
      <c r="D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V125" s="88"/>
      <c r="AW125" s="88"/>
      <c r="AX125" s="88"/>
      <c r="AY125" s="88"/>
      <c r="AZ125" s="88"/>
      <c r="BA125" s="88"/>
      <c r="BB125" s="88"/>
    </row>
    <row r="126" spans="4:54" ht="12.75" customHeight="1" x14ac:dyDescent="0.15">
      <c r="D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V126" s="88"/>
      <c r="AW126" s="88"/>
      <c r="AX126" s="88"/>
      <c r="AY126" s="88"/>
      <c r="AZ126" s="88"/>
      <c r="BA126" s="88"/>
      <c r="BB126" s="88"/>
    </row>
    <row r="127" spans="4:54" ht="12.75" customHeight="1" x14ac:dyDescent="0.15">
      <c r="D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V127" s="88"/>
      <c r="AW127" s="88"/>
      <c r="AX127" s="88"/>
      <c r="AY127" s="88"/>
      <c r="AZ127" s="88"/>
      <c r="BA127" s="88"/>
      <c r="BB127" s="88"/>
    </row>
    <row r="128" spans="4:54" ht="12.75" customHeight="1" x14ac:dyDescent="0.15">
      <c r="D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V128" s="88"/>
      <c r="AW128" s="88"/>
      <c r="AX128" s="88"/>
      <c r="AY128" s="88"/>
      <c r="AZ128" s="88"/>
      <c r="BA128" s="88"/>
      <c r="BB128" s="88"/>
    </row>
    <row r="129" spans="4:54" ht="12.75" customHeight="1" x14ac:dyDescent="0.15">
      <c r="D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V129" s="88"/>
      <c r="AW129" s="88"/>
      <c r="AX129" s="88"/>
      <c r="AY129" s="88"/>
      <c r="AZ129" s="88"/>
      <c r="BA129" s="88"/>
      <c r="BB129" s="88"/>
    </row>
    <row r="130" spans="4:54" ht="12.75" customHeight="1" x14ac:dyDescent="0.15">
      <c r="D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V130" s="88"/>
      <c r="AW130" s="88"/>
      <c r="AX130" s="88"/>
      <c r="AY130" s="88"/>
      <c r="AZ130" s="88"/>
      <c r="BA130" s="88"/>
      <c r="BB130" s="88"/>
    </row>
    <row r="131" spans="4:54" ht="12.75" customHeight="1" x14ac:dyDescent="0.15">
      <c r="D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V131" s="88"/>
      <c r="AW131" s="88"/>
      <c r="AX131" s="88"/>
      <c r="AY131" s="88"/>
      <c r="AZ131" s="88"/>
      <c r="BA131" s="88"/>
      <c r="BB131" s="88"/>
    </row>
    <row r="132" spans="4:54" ht="12.75" customHeight="1" x14ac:dyDescent="0.15">
      <c r="D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V132" s="88"/>
      <c r="AW132" s="88"/>
      <c r="AX132" s="88"/>
      <c r="AY132" s="88"/>
      <c r="AZ132" s="88"/>
      <c r="BA132" s="88"/>
      <c r="BB132" s="88"/>
    </row>
    <row r="133" spans="4:54" ht="12.75" customHeight="1" x14ac:dyDescent="0.15">
      <c r="D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V133" s="88"/>
      <c r="AW133" s="88"/>
      <c r="AX133" s="88"/>
      <c r="AY133" s="88"/>
      <c r="AZ133" s="88"/>
      <c r="BA133" s="88"/>
      <c r="BB133" s="88"/>
    </row>
    <row r="134" spans="4:54" ht="12.75" customHeight="1" x14ac:dyDescent="0.15">
      <c r="D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V134" s="88"/>
      <c r="AW134" s="88"/>
      <c r="AX134" s="88"/>
      <c r="AY134" s="88"/>
      <c r="AZ134" s="88"/>
      <c r="BA134" s="88"/>
      <c r="BB134" s="88"/>
    </row>
    <row r="135" spans="4:54" ht="12.75" customHeight="1" x14ac:dyDescent="0.15">
      <c r="D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V135" s="88"/>
      <c r="AW135" s="88"/>
      <c r="AX135" s="88"/>
      <c r="AY135" s="88"/>
      <c r="AZ135" s="88"/>
      <c r="BA135" s="88"/>
      <c r="BB135" s="88"/>
    </row>
    <row r="136" spans="4:54" ht="12.75" customHeight="1" x14ac:dyDescent="0.15">
      <c r="D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V136" s="88"/>
      <c r="AW136" s="88"/>
      <c r="AX136" s="88"/>
      <c r="AY136" s="88"/>
      <c r="AZ136" s="88"/>
      <c r="BA136" s="88"/>
      <c r="BB136" s="88"/>
    </row>
    <row r="137" spans="4:54" ht="12.75" customHeight="1" x14ac:dyDescent="0.15">
      <c r="D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V137" s="88"/>
      <c r="AW137" s="88"/>
      <c r="AX137" s="88"/>
      <c r="AY137" s="88"/>
      <c r="AZ137" s="88"/>
      <c r="BA137" s="88"/>
      <c r="BB137" s="88"/>
    </row>
    <row r="138" spans="4:54" ht="12.75" customHeight="1" x14ac:dyDescent="0.15">
      <c r="D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V138" s="88"/>
      <c r="AW138" s="88"/>
      <c r="AX138" s="88"/>
      <c r="AY138" s="88"/>
      <c r="AZ138" s="88"/>
      <c r="BA138" s="88"/>
      <c r="BB138" s="88"/>
    </row>
    <row r="139" spans="4:54" ht="12.75" customHeight="1" x14ac:dyDescent="0.15">
      <c r="D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V139" s="88"/>
      <c r="AW139" s="88"/>
      <c r="AX139" s="88"/>
      <c r="AY139" s="88"/>
      <c r="AZ139" s="88"/>
      <c r="BA139" s="88"/>
      <c r="BB139" s="88"/>
    </row>
    <row r="140" spans="4:54" ht="12.75" customHeight="1" x14ac:dyDescent="0.15">
      <c r="D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V140" s="88"/>
      <c r="AW140" s="88"/>
      <c r="AX140" s="88"/>
      <c r="AY140" s="88"/>
      <c r="AZ140" s="88"/>
      <c r="BA140" s="88"/>
      <c r="BB140" s="88"/>
    </row>
    <row r="141" spans="4:54" ht="12.75" customHeight="1" x14ac:dyDescent="0.15">
      <c r="D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V141" s="88"/>
      <c r="AW141" s="88"/>
      <c r="AX141" s="88"/>
      <c r="AY141" s="88"/>
      <c r="AZ141" s="88"/>
      <c r="BA141" s="88"/>
      <c r="BB141" s="88"/>
    </row>
    <row r="142" spans="4:54" ht="12.75" customHeight="1" x14ac:dyDescent="0.15">
      <c r="D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V142" s="88"/>
      <c r="AW142" s="88"/>
      <c r="AX142" s="88"/>
      <c r="AY142" s="88"/>
      <c r="AZ142" s="88"/>
      <c r="BA142" s="88"/>
      <c r="BB142" s="88"/>
    </row>
    <row r="143" spans="4:54" ht="12.75" customHeight="1" x14ac:dyDescent="0.15">
      <c r="D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V143" s="88"/>
      <c r="AW143" s="88"/>
      <c r="AX143" s="88"/>
      <c r="AY143" s="88"/>
      <c r="AZ143" s="88"/>
      <c r="BA143" s="88"/>
      <c r="BB143" s="88"/>
    </row>
    <row r="144" spans="4:54" ht="12.75" customHeight="1" x14ac:dyDescent="0.15">
      <c r="D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V144" s="88"/>
      <c r="AW144" s="88"/>
      <c r="AX144" s="88"/>
      <c r="AY144" s="88"/>
      <c r="AZ144" s="88"/>
      <c r="BA144" s="88"/>
      <c r="BB144" s="88"/>
    </row>
    <row r="145" spans="4:54" ht="12.75" customHeight="1" x14ac:dyDescent="0.15">
      <c r="D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V145" s="88"/>
      <c r="AW145" s="88"/>
      <c r="AX145" s="88"/>
      <c r="AY145" s="88"/>
      <c r="AZ145" s="88"/>
      <c r="BA145" s="88"/>
      <c r="BB145" s="88"/>
    </row>
    <row r="146" spans="4:54" ht="12.75" customHeight="1" x14ac:dyDescent="0.15">
      <c r="D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V146" s="88"/>
      <c r="AW146" s="88"/>
      <c r="AX146" s="88"/>
      <c r="AY146" s="88"/>
      <c r="AZ146" s="88"/>
      <c r="BA146" s="88"/>
      <c r="BB146" s="88"/>
    </row>
    <row r="147" spans="4:54" ht="12.75" customHeight="1" x14ac:dyDescent="0.15">
      <c r="D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V147" s="88"/>
      <c r="AW147" s="88"/>
      <c r="AX147" s="88"/>
      <c r="AY147" s="88"/>
      <c r="AZ147" s="88"/>
      <c r="BA147" s="88"/>
      <c r="BB147" s="88"/>
    </row>
    <row r="148" spans="4:54" ht="12.75" customHeight="1" x14ac:dyDescent="0.15">
      <c r="D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V148" s="88"/>
      <c r="AW148" s="88"/>
      <c r="AX148" s="88"/>
      <c r="AY148" s="88"/>
      <c r="AZ148" s="88"/>
      <c r="BA148" s="88"/>
      <c r="BB148" s="88"/>
    </row>
    <row r="149" spans="4:54" ht="12.75" customHeight="1" x14ac:dyDescent="0.15">
      <c r="D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V149" s="88"/>
      <c r="AW149" s="88"/>
      <c r="AX149" s="88"/>
      <c r="AY149" s="88"/>
      <c r="AZ149" s="88"/>
      <c r="BA149" s="88"/>
      <c r="BB149" s="88"/>
    </row>
    <row r="150" spans="4:54" ht="12.75" customHeight="1" x14ac:dyDescent="0.15">
      <c r="D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V150" s="88"/>
      <c r="AW150" s="88"/>
      <c r="AX150" s="88"/>
      <c r="AY150" s="88"/>
      <c r="AZ150" s="88"/>
      <c r="BA150" s="88"/>
      <c r="BB150" s="88"/>
    </row>
    <row r="151" spans="4:54" ht="12.75" customHeight="1" x14ac:dyDescent="0.15">
      <c r="D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V151" s="88"/>
      <c r="AW151" s="88"/>
      <c r="AX151" s="88"/>
      <c r="AY151" s="88"/>
      <c r="AZ151" s="88"/>
      <c r="BA151" s="88"/>
      <c r="BB151" s="88"/>
    </row>
    <row r="152" spans="4:54" ht="12.75" customHeight="1" x14ac:dyDescent="0.15">
      <c r="D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V152" s="88"/>
      <c r="AW152" s="88"/>
      <c r="AX152" s="88"/>
      <c r="AY152" s="88"/>
      <c r="AZ152" s="88"/>
      <c r="BA152" s="88"/>
      <c r="BB152" s="88"/>
    </row>
    <row r="153" spans="4:54" ht="12.75" customHeight="1" x14ac:dyDescent="0.15">
      <c r="D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V153" s="88"/>
      <c r="AW153" s="88"/>
      <c r="AX153" s="88"/>
      <c r="AY153" s="88"/>
      <c r="AZ153" s="88"/>
      <c r="BA153" s="88"/>
      <c r="BB153" s="88"/>
    </row>
    <row r="154" spans="4:54" ht="12.75" customHeight="1" x14ac:dyDescent="0.15">
      <c r="D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V154" s="88"/>
      <c r="AW154" s="88"/>
      <c r="AX154" s="88"/>
      <c r="AY154" s="88"/>
      <c r="AZ154" s="88"/>
      <c r="BA154" s="88"/>
      <c r="BB154" s="88"/>
    </row>
    <row r="155" spans="4:54" ht="12.75" customHeight="1" x14ac:dyDescent="0.15">
      <c r="D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V155" s="88"/>
      <c r="AW155" s="88"/>
      <c r="AX155" s="88"/>
      <c r="AY155" s="88"/>
      <c r="AZ155" s="88"/>
      <c r="BA155" s="88"/>
      <c r="BB155" s="88"/>
    </row>
    <row r="156" spans="4:54" ht="12.75" customHeight="1" x14ac:dyDescent="0.15">
      <c r="D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V156" s="88"/>
      <c r="AW156" s="88"/>
      <c r="AX156" s="88"/>
      <c r="AY156" s="88"/>
      <c r="AZ156" s="88"/>
      <c r="BA156" s="88"/>
      <c r="BB156" s="88"/>
    </row>
    <row r="157" spans="4:54" ht="12.75" customHeight="1" x14ac:dyDescent="0.15">
      <c r="D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V157" s="88"/>
      <c r="AW157" s="88"/>
      <c r="AX157" s="88"/>
      <c r="AY157" s="88"/>
      <c r="AZ157" s="88"/>
      <c r="BA157" s="88"/>
      <c r="BB157" s="88"/>
    </row>
    <row r="158" spans="4:54" ht="12.75" customHeight="1" x14ac:dyDescent="0.15">
      <c r="D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V158" s="88"/>
      <c r="AW158" s="88"/>
      <c r="AX158" s="88"/>
      <c r="AY158" s="88"/>
      <c r="AZ158" s="88"/>
      <c r="BA158" s="88"/>
      <c r="BB158" s="88"/>
    </row>
    <row r="159" spans="4:54" ht="12.75" customHeight="1" x14ac:dyDescent="0.15">
      <c r="D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V159" s="88"/>
      <c r="AW159" s="88"/>
      <c r="AX159" s="88"/>
      <c r="AY159" s="88"/>
      <c r="AZ159" s="88"/>
      <c r="BA159" s="88"/>
      <c r="BB159" s="88"/>
    </row>
    <row r="160" spans="4:54" ht="12.75" customHeight="1" x14ac:dyDescent="0.15">
      <c r="D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V160" s="88"/>
      <c r="AW160" s="88"/>
      <c r="AX160" s="88"/>
      <c r="AY160" s="88"/>
      <c r="AZ160" s="88"/>
      <c r="BA160" s="88"/>
      <c r="BB160" s="88"/>
    </row>
    <row r="161" spans="4:54" ht="12.75" customHeight="1" x14ac:dyDescent="0.15">
      <c r="D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V161" s="88"/>
      <c r="AW161" s="88"/>
      <c r="AX161" s="88"/>
      <c r="AY161" s="88"/>
      <c r="AZ161" s="88"/>
      <c r="BA161" s="88"/>
      <c r="BB161" s="88"/>
    </row>
    <row r="162" spans="4:54" ht="12.75" customHeight="1" x14ac:dyDescent="0.15">
      <c r="D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V162" s="88"/>
      <c r="AW162" s="88"/>
      <c r="AX162" s="88"/>
      <c r="AY162" s="88"/>
      <c r="AZ162" s="88"/>
      <c r="BA162" s="88"/>
      <c r="BB162" s="88"/>
    </row>
    <row r="163" spans="4:54" ht="12.75" customHeight="1" x14ac:dyDescent="0.15">
      <c r="D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V163" s="88"/>
      <c r="AW163" s="88"/>
      <c r="AX163" s="88"/>
      <c r="AY163" s="88"/>
      <c r="AZ163" s="88"/>
      <c r="BA163" s="88"/>
      <c r="BB163" s="88"/>
    </row>
    <row r="164" spans="4:54" ht="12.75" customHeight="1" x14ac:dyDescent="0.15">
      <c r="D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V164" s="88"/>
      <c r="AW164" s="88"/>
      <c r="AX164" s="88"/>
      <c r="AY164" s="88"/>
      <c r="AZ164" s="88"/>
      <c r="BA164" s="88"/>
      <c r="BB164" s="88"/>
    </row>
    <row r="165" spans="4:54" ht="12.75" customHeight="1" x14ac:dyDescent="0.15">
      <c r="D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V165" s="88"/>
      <c r="AW165" s="88"/>
      <c r="AX165" s="88"/>
      <c r="AY165" s="88"/>
      <c r="AZ165" s="88"/>
      <c r="BA165" s="88"/>
      <c r="BB165" s="88"/>
    </row>
    <row r="166" spans="4:54" ht="12.75" customHeight="1" x14ac:dyDescent="0.15">
      <c r="D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V166" s="88"/>
      <c r="AW166" s="88"/>
      <c r="AX166" s="88"/>
      <c r="AY166" s="88"/>
      <c r="AZ166" s="88"/>
      <c r="BA166" s="88"/>
      <c r="BB166" s="88"/>
    </row>
    <row r="167" spans="4:54" ht="12.75" customHeight="1" x14ac:dyDescent="0.15">
      <c r="D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V167" s="88"/>
      <c r="AW167" s="88"/>
      <c r="AX167" s="88"/>
      <c r="AY167" s="88"/>
      <c r="AZ167" s="88"/>
      <c r="BA167" s="88"/>
      <c r="BB167" s="88"/>
    </row>
    <row r="168" spans="4:54" ht="12.75" customHeight="1" x14ac:dyDescent="0.15">
      <c r="D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V168" s="88"/>
      <c r="AW168" s="88"/>
      <c r="AX168" s="88"/>
      <c r="AY168" s="88"/>
      <c r="AZ168" s="88"/>
      <c r="BA168" s="88"/>
      <c r="BB168" s="88"/>
    </row>
    <row r="169" spans="4:54" ht="12.75" customHeight="1" x14ac:dyDescent="0.15">
      <c r="D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V169" s="88"/>
      <c r="AW169" s="88"/>
      <c r="AX169" s="88"/>
      <c r="AY169" s="88"/>
      <c r="AZ169" s="88"/>
      <c r="BA169" s="88"/>
      <c r="BB169" s="88"/>
    </row>
    <row r="170" spans="4:54" ht="12.75" customHeight="1" x14ac:dyDescent="0.15">
      <c r="D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V170" s="88"/>
      <c r="AW170" s="88"/>
      <c r="AX170" s="88"/>
      <c r="AY170" s="88"/>
      <c r="AZ170" s="88"/>
      <c r="BA170" s="88"/>
      <c r="BB170" s="88"/>
    </row>
    <row r="171" spans="4:54" ht="12.75" customHeight="1" x14ac:dyDescent="0.15">
      <c r="D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V171" s="88"/>
      <c r="AW171" s="88"/>
      <c r="AX171" s="88"/>
      <c r="AY171" s="88"/>
      <c r="AZ171" s="88"/>
      <c r="BA171" s="88"/>
      <c r="BB171" s="88"/>
    </row>
    <row r="172" spans="4:54" ht="12.75" customHeight="1" x14ac:dyDescent="0.15">
      <c r="D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V172" s="88"/>
      <c r="AW172" s="88"/>
      <c r="AX172" s="88"/>
      <c r="AY172" s="88"/>
      <c r="AZ172" s="88"/>
      <c r="BA172" s="88"/>
      <c r="BB172" s="88"/>
    </row>
    <row r="173" spans="4:54" ht="12.75" customHeight="1" x14ac:dyDescent="0.15">
      <c r="D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V173" s="88"/>
      <c r="AW173" s="88"/>
      <c r="AX173" s="88"/>
      <c r="AY173" s="88"/>
      <c r="AZ173" s="88"/>
      <c r="BA173" s="88"/>
      <c r="BB173" s="88"/>
    </row>
    <row r="174" spans="4:54" ht="12.75" customHeight="1" x14ac:dyDescent="0.15">
      <c r="D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V174" s="88"/>
      <c r="AW174" s="88"/>
      <c r="AX174" s="88"/>
      <c r="AY174" s="88"/>
      <c r="AZ174" s="88"/>
      <c r="BA174" s="88"/>
      <c r="BB174" s="88"/>
    </row>
    <row r="175" spans="4:54" ht="12.75" customHeight="1" x14ac:dyDescent="0.15">
      <c r="D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V175" s="88"/>
      <c r="AW175" s="88"/>
      <c r="AX175" s="88"/>
      <c r="AY175" s="88"/>
      <c r="AZ175" s="88"/>
      <c r="BA175" s="88"/>
      <c r="BB175" s="88"/>
    </row>
    <row r="176" spans="4:54" ht="12.75" customHeight="1" x14ac:dyDescent="0.15">
      <c r="D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V176" s="88"/>
      <c r="AW176" s="88"/>
      <c r="AX176" s="88"/>
      <c r="AY176" s="88"/>
      <c r="AZ176" s="88"/>
      <c r="BA176" s="88"/>
      <c r="BB176" s="88"/>
    </row>
    <row r="177" spans="4:54" ht="12.75" customHeight="1" x14ac:dyDescent="0.15">
      <c r="D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V177" s="88"/>
      <c r="AW177" s="88"/>
      <c r="AX177" s="88"/>
      <c r="AY177" s="88"/>
      <c r="AZ177" s="88"/>
      <c r="BA177" s="88"/>
      <c r="BB177" s="88"/>
    </row>
    <row r="178" spans="4:54" ht="12.75" customHeight="1" x14ac:dyDescent="0.15">
      <c r="D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V178" s="88"/>
      <c r="AW178" s="88"/>
      <c r="AX178" s="88"/>
      <c r="AY178" s="88"/>
      <c r="AZ178" s="88"/>
      <c r="BA178" s="88"/>
      <c r="BB178" s="88"/>
    </row>
    <row r="179" spans="4:54" ht="12.75" customHeight="1" x14ac:dyDescent="0.15">
      <c r="D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V179" s="88"/>
      <c r="AW179" s="88"/>
      <c r="AX179" s="88"/>
      <c r="AY179" s="88"/>
      <c r="AZ179" s="88"/>
      <c r="BA179" s="88"/>
      <c r="BB179" s="88"/>
    </row>
    <row r="180" spans="4:54" ht="12.75" customHeight="1" x14ac:dyDescent="0.15">
      <c r="D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V180" s="88"/>
      <c r="AW180" s="88"/>
      <c r="AX180" s="88"/>
      <c r="AY180" s="88"/>
      <c r="AZ180" s="88"/>
      <c r="BA180" s="88"/>
      <c r="BB180" s="88"/>
    </row>
    <row r="181" spans="4:54" ht="12.75" customHeight="1" x14ac:dyDescent="0.15">
      <c r="D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V181" s="88"/>
      <c r="AW181" s="88"/>
      <c r="AX181" s="88"/>
      <c r="AY181" s="88"/>
      <c r="AZ181" s="88"/>
      <c r="BA181" s="88"/>
      <c r="BB181" s="88"/>
    </row>
    <row r="182" spans="4:54" ht="12.75" customHeight="1" x14ac:dyDescent="0.15">
      <c r="D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V182" s="88"/>
      <c r="AW182" s="88"/>
      <c r="AX182" s="88"/>
      <c r="AY182" s="88"/>
      <c r="AZ182" s="88"/>
      <c r="BA182" s="88"/>
      <c r="BB182" s="88"/>
    </row>
    <row r="183" spans="4:54" ht="12.75" customHeight="1" x14ac:dyDescent="0.15">
      <c r="D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V183" s="88"/>
      <c r="AW183" s="88"/>
      <c r="AX183" s="88"/>
      <c r="AY183" s="88"/>
      <c r="AZ183" s="88"/>
      <c r="BA183" s="88"/>
      <c r="BB183" s="88"/>
    </row>
    <row r="184" spans="4:54" ht="12.75" customHeight="1" x14ac:dyDescent="0.15">
      <c r="D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V184" s="88"/>
      <c r="AW184" s="88"/>
      <c r="AX184" s="88"/>
      <c r="AY184" s="88"/>
      <c r="AZ184" s="88"/>
      <c r="BA184" s="88"/>
      <c r="BB184" s="88"/>
    </row>
    <row r="185" spans="4:54" ht="12.75" customHeight="1" x14ac:dyDescent="0.15">
      <c r="D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V185" s="88"/>
      <c r="AW185" s="88"/>
      <c r="AX185" s="88"/>
      <c r="AY185" s="88"/>
      <c r="AZ185" s="88"/>
      <c r="BA185" s="88"/>
      <c r="BB185" s="88"/>
    </row>
    <row r="186" spans="4:54" ht="12.75" customHeight="1" x14ac:dyDescent="0.15">
      <c r="D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V186" s="88"/>
      <c r="AW186" s="88"/>
      <c r="AX186" s="88"/>
      <c r="AY186" s="88"/>
      <c r="AZ186" s="88"/>
      <c r="BA186" s="88"/>
      <c r="BB186" s="88"/>
    </row>
    <row r="187" spans="4:54" ht="12.75" customHeight="1" x14ac:dyDescent="0.15">
      <c r="D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V187" s="88"/>
      <c r="AW187" s="88"/>
      <c r="AX187" s="88"/>
      <c r="AY187" s="88"/>
      <c r="AZ187" s="88"/>
      <c r="BA187" s="88"/>
      <c r="BB187" s="88"/>
    </row>
    <row r="188" spans="4:54" ht="12.75" customHeight="1" x14ac:dyDescent="0.15">
      <c r="D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V188" s="88"/>
      <c r="AW188" s="88"/>
      <c r="AX188" s="88"/>
      <c r="AY188" s="88"/>
      <c r="AZ188" s="88"/>
      <c r="BA188" s="88"/>
      <c r="BB188" s="88"/>
    </row>
    <row r="189" spans="4:54" ht="12.75" customHeight="1" x14ac:dyDescent="0.15">
      <c r="D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V189" s="88"/>
      <c r="AW189" s="88"/>
      <c r="AX189" s="88"/>
      <c r="AY189" s="88"/>
      <c r="AZ189" s="88"/>
      <c r="BA189" s="88"/>
      <c r="BB189" s="88"/>
    </row>
    <row r="190" spans="4:54" ht="12.75" customHeight="1" x14ac:dyDescent="0.15">
      <c r="D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V190" s="88"/>
      <c r="AW190" s="88"/>
      <c r="AX190" s="88"/>
      <c r="AY190" s="88"/>
      <c r="AZ190" s="88"/>
      <c r="BA190" s="88"/>
      <c r="BB190" s="88"/>
    </row>
    <row r="191" spans="4:54" ht="12.75" customHeight="1" x14ac:dyDescent="0.15">
      <c r="D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V191" s="88"/>
      <c r="AW191" s="88"/>
      <c r="AX191" s="88"/>
      <c r="AY191" s="88"/>
      <c r="AZ191" s="88"/>
      <c r="BA191" s="88"/>
      <c r="BB191" s="88"/>
    </row>
    <row r="192" spans="4:54" ht="12.75" customHeight="1" x14ac:dyDescent="0.15">
      <c r="D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V192" s="88"/>
      <c r="AW192" s="88"/>
      <c r="AX192" s="88"/>
      <c r="AY192" s="88"/>
      <c r="AZ192" s="88"/>
      <c r="BA192" s="88"/>
      <c r="BB192" s="88"/>
    </row>
    <row r="193" spans="4:54" ht="12.75" customHeight="1" x14ac:dyDescent="0.15">
      <c r="D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V193" s="88"/>
      <c r="AW193" s="88"/>
      <c r="AX193" s="88"/>
      <c r="AY193" s="88"/>
      <c r="AZ193" s="88"/>
      <c r="BA193" s="88"/>
      <c r="BB193" s="88"/>
    </row>
    <row r="194" spans="4:54" ht="12.75" customHeight="1" x14ac:dyDescent="0.15">
      <c r="D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V194" s="88"/>
      <c r="AW194" s="88"/>
      <c r="AX194" s="88"/>
      <c r="AY194" s="88"/>
      <c r="AZ194" s="88"/>
      <c r="BA194" s="88"/>
      <c r="BB194" s="88"/>
    </row>
    <row r="195" spans="4:54" ht="12.75" customHeight="1" x14ac:dyDescent="0.15">
      <c r="D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V195" s="88"/>
      <c r="AW195" s="88"/>
      <c r="AX195" s="88"/>
      <c r="AY195" s="88"/>
      <c r="AZ195" s="88"/>
      <c r="BA195" s="88"/>
      <c r="BB195" s="88"/>
    </row>
    <row r="196" spans="4:54" ht="12.75" customHeight="1" x14ac:dyDescent="0.15">
      <c r="D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V196" s="88"/>
      <c r="AW196" s="88"/>
      <c r="AX196" s="88"/>
      <c r="AY196" s="88"/>
      <c r="AZ196" s="88"/>
      <c r="BA196" s="88"/>
      <c r="BB196" s="88"/>
    </row>
    <row r="197" spans="4:54" ht="12.75" customHeight="1" x14ac:dyDescent="0.15">
      <c r="D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V197" s="88"/>
      <c r="AW197" s="88"/>
      <c r="AX197" s="88"/>
      <c r="AY197" s="88"/>
      <c r="AZ197" s="88"/>
      <c r="BA197" s="88"/>
      <c r="BB197" s="88"/>
    </row>
    <row r="198" spans="4:54" ht="12.75" customHeight="1" x14ac:dyDescent="0.15">
      <c r="D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V198" s="88"/>
      <c r="AW198" s="88"/>
      <c r="AX198" s="88"/>
      <c r="AY198" s="88"/>
      <c r="AZ198" s="88"/>
      <c r="BA198" s="88"/>
      <c r="BB198" s="88"/>
    </row>
    <row r="199" spans="4:54" ht="12.75" customHeight="1" x14ac:dyDescent="0.15">
      <c r="D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V199" s="88"/>
      <c r="AW199" s="88"/>
      <c r="AX199" s="88"/>
      <c r="AY199" s="88"/>
      <c r="AZ199" s="88"/>
      <c r="BA199" s="88"/>
      <c r="BB199" s="88"/>
    </row>
    <row r="200" spans="4:54" ht="12.75" customHeight="1" x14ac:dyDescent="0.15">
      <c r="D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V200" s="88"/>
      <c r="AW200" s="88"/>
      <c r="AX200" s="88"/>
      <c r="AY200" s="88"/>
      <c r="AZ200" s="88"/>
      <c r="BA200" s="88"/>
      <c r="BB200" s="88"/>
    </row>
    <row r="201" spans="4:54" ht="12.75" customHeight="1" x14ac:dyDescent="0.15">
      <c r="D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V201" s="88"/>
      <c r="AW201" s="88"/>
      <c r="AX201" s="88"/>
      <c r="AY201" s="88"/>
      <c r="AZ201" s="88"/>
      <c r="BA201" s="88"/>
      <c r="BB201" s="88"/>
    </row>
    <row r="202" spans="4:54" ht="12.75" customHeight="1" x14ac:dyDescent="0.15">
      <c r="D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V202" s="88"/>
      <c r="AW202" s="88"/>
      <c r="AX202" s="88"/>
      <c r="AY202" s="88"/>
      <c r="AZ202" s="88"/>
      <c r="BA202" s="88"/>
      <c r="BB202" s="88"/>
    </row>
    <row r="203" spans="4:54" ht="12.75" customHeight="1" x14ac:dyDescent="0.15">
      <c r="D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V203" s="88"/>
      <c r="AW203" s="88"/>
      <c r="AX203" s="88"/>
      <c r="AY203" s="88"/>
      <c r="AZ203" s="88"/>
      <c r="BA203" s="88"/>
      <c r="BB203" s="88"/>
    </row>
    <row r="204" spans="4:54" ht="12.75" customHeight="1" x14ac:dyDescent="0.15">
      <c r="D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V204" s="88"/>
      <c r="AW204" s="88"/>
      <c r="AX204" s="88"/>
      <c r="AY204" s="88"/>
      <c r="AZ204" s="88"/>
      <c r="BA204" s="88"/>
      <c r="BB204" s="88"/>
    </row>
    <row r="205" spans="4:54" ht="12.75" customHeight="1" x14ac:dyDescent="0.15">
      <c r="D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V205" s="88"/>
      <c r="AW205" s="88"/>
      <c r="AX205" s="88"/>
      <c r="AY205" s="88"/>
      <c r="AZ205" s="88"/>
      <c r="BA205" s="88"/>
      <c r="BB205" s="88"/>
    </row>
    <row r="206" spans="4:54" ht="12.75" customHeight="1" x14ac:dyDescent="0.15">
      <c r="D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V206" s="88"/>
      <c r="AW206" s="88"/>
      <c r="AX206" s="88"/>
      <c r="AY206" s="88"/>
      <c r="AZ206" s="88"/>
      <c r="BA206" s="88"/>
      <c r="BB206" s="88"/>
    </row>
    <row r="207" spans="4:54" ht="12.75" customHeight="1" x14ac:dyDescent="0.15">
      <c r="D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V207" s="88"/>
      <c r="AW207" s="88"/>
      <c r="AX207" s="88"/>
      <c r="AY207" s="88"/>
      <c r="AZ207" s="88"/>
      <c r="BA207" s="88"/>
      <c r="BB207" s="88"/>
    </row>
    <row r="208" spans="4:54" ht="12.75" customHeight="1" x14ac:dyDescent="0.15">
      <c r="D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V208" s="88"/>
      <c r="AW208" s="88"/>
      <c r="AX208" s="88"/>
      <c r="AY208" s="88"/>
      <c r="AZ208" s="88"/>
      <c r="BA208" s="88"/>
      <c r="BB208" s="88"/>
    </row>
    <row r="209" spans="4:54" ht="12.75" customHeight="1" x14ac:dyDescent="0.15">
      <c r="D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V209" s="88"/>
      <c r="AW209" s="88"/>
      <c r="AX209" s="88"/>
      <c r="AY209" s="88"/>
      <c r="AZ209" s="88"/>
      <c r="BA209" s="88"/>
      <c r="BB209" s="88"/>
    </row>
    <row r="210" spans="4:54" ht="12.75" customHeight="1" x14ac:dyDescent="0.15">
      <c r="D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V210" s="88"/>
      <c r="AW210" s="88"/>
      <c r="AX210" s="88"/>
      <c r="AY210" s="88"/>
      <c r="AZ210" s="88"/>
      <c r="BA210" s="88"/>
      <c r="BB210" s="88"/>
    </row>
    <row r="211" spans="4:54" ht="12.75" customHeight="1" x14ac:dyDescent="0.15">
      <c r="D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V211" s="88"/>
      <c r="AW211" s="88"/>
      <c r="AX211" s="88"/>
      <c r="AY211" s="88"/>
      <c r="AZ211" s="88"/>
      <c r="BA211" s="88"/>
      <c r="BB211" s="88"/>
    </row>
    <row r="212" spans="4:54" ht="12.75" customHeight="1" x14ac:dyDescent="0.15">
      <c r="D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V212" s="88"/>
      <c r="AW212" s="88"/>
      <c r="AX212" s="88"/>
      <c r="AY212" s="88"/>
      <c r="AZ212" s="88"/>
      <c r="BA212" s="88"/>
      <c r="BB212" s="88"/>
    </row>
    <row r="213" spans="4:54" ht="12.75" customHeight="1" x14ac:dyDescent="0.15">
      <c r="D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V213" s="88"/>
      <c r="AW213" s="88"/>
      <c r="AX213" s="88"/>
      <c r="AY213" s="88"/>
      <c r="AZ213" s="88"/>
      <c r="BA213" s="88"/>
      <c r="BB213" s="88"/>
    </row>
    <row r="214" spans="4:54" ht="12.75" customHeight="1" x14ac:dyDescent="0.15">
      <c r="D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V214" s="88"/>
      <c r="AW214" s="88"/>
      <c r="AX214" s="88"/>
      <c r="AY214" s="88"/>
      <c r="AZ214" s="88"/>
      <c r="BA214" s="88"/>
      <c r="BB214" s="88"/>
    </row>
    <row r="215" spans="4:54" ht="12.75" customHeight="1" x14ac:dyDescent="0.15">
      <c r="D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V215" s="88"/>
      <c r="AW215" s="88"/>
      <c r="AX215" s="88"/>
      <c r="AY215" s="88"/>
      <c r="AZ215" s="88"/>
      <c r="BA215" s="88"/>
      <c r="BB215" s="88"/>
    </row>
    <row r="216" spans="4:54" ht="12.75" customHeight="1" x14ac:dyDescent="0.15">
      <c r="D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V216" s="88"/>
      <c r="AW216" s="88"/>
      <c r="AX216" s="88"/>
      <c r="AY216" s="88"/>
      <c r="AZ216" s="88"/>
      <c r="BA216" s="88"/>
      <c r="BB216" s="88"/>
    </row>
    <row r="217" spans="4:54" ht="12.75" customHeight="1" x14ac:dyDescent="0.15">
      <c r="D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V217" s="88"/>
      <c r="AW217" s="88"/>
      <c r="AX217" s="88"/>
      <c r="AY217" s="88"/>
      <c r="AZ217" s="88"/>
      <c r="BA217" s="88"/>
      <c r="BB217" s="88"/>
    </row>
    <row r="218" spans="4:54" ht="12.75" customHeight="1" x14ac:dyDescent="0.15">
      <c r="D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V218" s="88"/>
      <c r="AW218" s="88"/>
      <c r="AX218" s="88"/>
      <c r="AY218" s="88"/>
      <c r="AZ218" s="88"/>
      <c r="BA218" s="88"/>
      <c r="BB218" s="88"/>
    </row>
    <row r="219" spans="4:54" ht="12.75" customHeight="1" x14ac:dyDescent="0.15">
      <c r="D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V219" s="88"/>
      <c r="AW219" s="88"/>
      <c r="AX219" s="88"/>
      <c r="AY219" s="88"/>
      <c r="AZ219" s="88"/>
      <c r="BA219" s="88"/>
      <c r="BB219" s="88"/>
    </row>
    <row r="220" spans="4:54" ht="12.75" customHeight="1" x14ac:dyDescent="0.15">
      <c r="D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V220" s="88"/>
      <c r="AW220" s="88"/>
      <c r="AX220" s="88"/>
      <c r="AY220" s="88"/>
      <c r="AZ220" s="88"/>
      <c r="BA220" s="88"/>
      <c r="BB220" s="88"/>
    </row>
    <row r="221" spans="4:54" ht="12.75" customHeight="1" x14ac:dyDescent="0.15">
      <c r="D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V221" s="88"/>
      <c r="AW221" s="88"/>
      <c r="AX221" s="88"/>
      <c r="AY221" s="88"/>
      <c r="AZ221" s="88"/>
      <c r="BA221" s="88"/>
      <c r="BB221" s="88"/>
    </row>
    <row r="222" spans="4:54" ht="12.75" customHeight="1" x14ac:dyDescent="0.15">
      <c r="D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V222" s="88"/>
      <c r="AW222" s="88"/>
      <c r="AX222" s="88"/>
      <c r="AY222" s="88"/>
      <c r="AZ222" s="88"/>
      <c r="BA222" s="88"/>
      <c r="BB222" s="88"/>
    </row>
    <row r="223" spans="4:54" ht="12.75" customHeight="1" x14ac:dyDescent="0.15">
      <c r="D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V223" s="88"/>
      <c r="AW223" s="88"/>
      <c r="AX223" s="88"/>
      <c r="AY223" s="88"/>
      <c r="AZ223" s="88"/>
      <c r="BA223" s="88"/>
      <c r="BB223" s="88"/>
    </row>
    <row r="224" spans="4:54" ht="12.75" customHeight="1" x14ac:dyDescent="0.15">
      <c r="D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V224" s="88"/>
      <c r="AW224" s="88"/>
      <c r="AX224" s="88"/>
      <c r="AY224" s="88"/>
      <c r="AZ224" s="88"/>
      <c r="BA224" s="88"/>
      <c r="BB224" s="88"/>
    </row>
    <row r="225" spans="4:54" ht="12.75" customHeight="1" x14ac:dyDescent="0.15">
      <c r="D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V225" s="88"/>
      <c r="AW225" s="88"/>
      <c r="AX225" s="88"/>
      <c r="AY225" s="88"/>
      <c r="AZ225" s="88"/>
      <c r="BA225" s="88"/>
      <c r="BB225" s="88"/>
    </row>
    <row r="226" spans="4:54" ht="12.75" customHeight="1" x14ac:dyDescent="0.15">
      <c r="D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V226" s="88"/>
      <c r="AW226" s="88"/>
      <c r="AX226" s="88"/>
      <c r="AY226" s="88"/>
      <c r="AZ226" s="88"/>
      <c r="BA226" s="88"/>
      <c r="BB226" s="88"/>
    </row>
    <row r="227" spans="4:54" ht="12.75" customHeight="1" x14ac:dyDescent="0.15">
      <c r="D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V227" s="88"/>
      <c r="AW227" s="88"/>
      <c r="AX227" s="88"/>
      <c r="AY227" s="88"/>
      <c r="AZ227" s="88"/>
      <c r="BA227" s="88"/>
      <c r="BB227" s="88"/>
    </row>
    <row r="228" spans="4:54" ht="12.75" customHeight="1" x14ac:dyDescent="0.15">
      <c r="D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V228" s="88"/>
      <c r="AW228" s="88"/>
      <c r="AX228" s="88"/>
      <c r="AY228" s="88"/>
      <c r="AZ228" s="88"/>
      <c r="BA228" s="88"/>
      <c r="BB228" s="88"/>
    </row>
    <row r="229" spans="4:54" ht="12.75" customHeight="1" x14ac:dyDescent="0.15">
      <c r="D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V229" s="88"/>
      <c r="AW229" s="88"/>
      <c r="AX229" s="88"/>
      <c r="AY229" s="88"/>
      <c r="AZ229" s="88"/>
      <c r="BA229" s="88"/>
      <c r="BB229" s="88"/>
    </row>
    <row r="230" spans="4:54" ht="12.75" customHeight="1" x14ac:dyDescent="0.15">
      <c r="D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V230" s="88"/>
      <c r="AW230" s="88"/>
      <c r="AX230" s="88"/>
      <c r="AY230" s="88"/>
      <c r="AZ230" s="88"/>
      <c r="BA230" s="88"/>
      <c r="BB230" s="88"/>
    </row>
    <row r="231" spans="4:54" ht="12.75" customHeight="1" x14ac:dyDescent="0.15">
      <c r="D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V231" s="88"/>
      <c r="AW231" s="88"/>
      <c r="AX231" s="88"/>
      <c r="AY231" s="88"/>
      <c r="AZ231" s="88"/>
      <c r="BA231" s="88"/>
      <c r="BB231" s="88"/>
    </row>
    <row r="232" spans="4:54" ht="12.75" customHeight="1" x14ac:dyDescent="0.15">
      <c r="D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V232" s="88"/>
      <c r="AW232" s="88"/>
      <c r="AX232" s="88"/>
      <c r="AY232" s="88"/>
      <c r="AZ232" s="88"/>
      <c r="BA232" s="88"/>
      <c r="BB232" s="88"/>
    </row>
    <row r="233" spans="4:54" ht="12.75" customHeight="1" x14ac:dyDescent="0.15">
      <c r="D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V233" s="88"/>
      <c r="AW233" s="88"/>
      <c r="AX233" s="88"/>
      <c r="AY233" s="88"/>
      <c r="AZ233" s="88"/>
      <c r="BA233" s="88"/>
      <c r="BB233" s="88"/>
    </row>
    <row r="234" spans="4:54" ht="12.75" customHeight="1" x14ac:dyDescent="0.15">
      <c r="D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V234" s="88"/>
      <c r="AW234" s="88"/>
      <c r="AX234" s="88"/>
      <c r="AY234" s="88"/>
      <c r="AZ234" s="88"/>
      <c r="BA234" s="88"/>
      <c r="BB234" s="88"/>
    </row>
    <row r="235" spans="4:54" ht="12.75" customHeight="1" x14ac:dyDescent="0.15">
      <c r="D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V235" s="88"/>
      <c r="AW235" s="88"/>
      <c r="AX235" s="88"/>
      <c r="AY235" s="88"/>
      <c r="AZ235" s="88"/>
      <c r="BA235" s="88"/>
      <c r="BB235" s="88"/>
    </row>
    <row r="236" spans="4:54" ht="12.75" customHeight="1" x14ac:dyDescent="0.15">
      <c r="D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V236" s="88"/>
      <c r="AW236" s="88"/>
      <c r="AX236" s="88"/>
      <c r="AY236" s="88"/>
      <c r="AZ236" s="88"/>
      <c r="BA236" s="88"/>
      <c r="BB236" s="88"/>
    </row>
    <row r="237" spans="4:54" ht="12.75" customHeight="1" x14ac:dyDescent="0.15">
      <c r="D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V237" s="88"/>
      <c r="AW237" s="88"/>
      <c r="AX237" s="88"/>
      <c r="AY237" s="88"/>
      <c r="AZ237" s="88"/>
      <c r="BA237" s="88"/>
      <c r="BB237" s="88"/>
    </row>
    <row r="238" spans="4:54" ht="12.75" customHeight="1" x14ac:dyDescent="0.15">
      <c r="D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V238" s="88"/>
      <c r="AW238" s="88"/>
      <c r="AX238" s="88"/>
      <c r="AY238" s="88"/>
      <c r="AZ238" s="88"/>
      <c r="BA238" s="88"/>
      <c r="BB238" s="88"/>
    </row>
    <row r="239" spans="4:54" ht="12.75" customHeight="1" x14ac:dyDescent="0.15">
      <c r="D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V239" s="88"/>
      <c r="AW239" s="88"/>
      <c r="AX239" s="88"/>
      <c r="AY239" s="88"/>
      <c r="AZ239" s="88"/>
      <c r="BA239" s="88"/>
      <c r="BB239" s="88"/>
    </row>
    <row r="240" spans="4:54" ht="12.75" customHeight="1" x14ac:dyDescent="0.15">
      <c r="D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V240" s="88"/>
      <c r="AW240" s="88"/>
      <c r="AX240" s="88"/>
      <c r="AY240" s="88"/>
      <c r="AZ240" s="88"/>
      <c r="BA240" s="88"/>
      <c r="BB240" s="88"/>
    </row>
    <row r="241" spans="4:54" ht="12.75" customHeight="1" x14ac:dyDescent="0.15">
      <c r="D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V241" s="88"/>
      <c r="AW241" s="88"/>
      <c r="AX241" s="88"/>
      <c r="AY241" s="88"/>
      <c r="AZ241" s="88"/>
      <c r="BA241" s="88"/>
      <c r="BB241" s="88"/>
    </row>
    <row r="242" spans="4:54" ht="12.75" customHeight="1" x14ac:dyDescent="0.15">
      <c r="D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V242" s="88"/>
      <c r="AW242" s="88"/>
      <c r="AX242" s="88"/>
      <c r="AY242" s="88"/>
      <c r="AZ242" s="88"/>
      <c r="BA242" s="88"/>
      <c r="BB242" s="88"/>
    </row>
    <row r="243" spans="4:54" ht="12.75" customHeight="1" x14ac:dyDescent="0.15">
      <c r="D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V243" s="88"/>
      <c r="AW243" s="88"/>
      <c r="AX243" s="88"/>
      <c r="AY243" s="88"/>
      <c r="AZ243" s="88"/>
      <c r="BA243" s="88"/>
      <c r="BB243" s="88"/>
    </row>
    <row r="244" spans="4:54" ht="12.75" customHeight="1" x14ac:dyDescent="0.15">
      <c r="D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V244" s="88"/>
      <c r="AW244" s="88"/>
      <c r="AX244" s="88"/>
      <c r="AY244" s="88"/>
      <c r="AZ244" s="88"/>
      <c r="BA244" s="88"/>
      <c r="BB244" s="88"/>
    </row>
    <row r="245" spans="4:54" ht="12.75" customHeight="1" x14ac:dyDescent="0.15">
      <c r="D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V245" s="88"/>
      <c r="AW245" s="88"/>
      <c r="AX245" s="88"/>
      <c r="AY245" s="88"/>
      <c r="AZ245" s="88"/>
      <c r="BA245" s="88"/>
      <c r="BB245" s="88"/>
    </row>
    <row r="246" spans="4:54" ht="12.75" customHeight="1" x14ac:dyDescent="0.15">
      <c r="D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V246" s="88"/>
      <c r="AW246" s="88"/>
      <c r="AX246" s="88"/>
      <c r="AY246" s="88"/>
      <c r="AZ246" s="88"/>
      <c r="BA246" s="88"/>
      <c r="BB246" s="88"/>
    </row>
    <row r="247" spans="4:54" ht="12.75" customHeight="1" x14ac:dyDescent="0.15">
      <c r="D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V247" s="88"/>
      <c r="AW247" s="88"/>
      <c r="AX247" s="88"/>
      <c r="AY247" s="88"/>
      <c r="AZ247" s="88"/>
      <c r="BA247" s="88"/>
      <c r="BB247" s="88"/>
    </row>
    <row r="248" spans="4:54" ht="12.75" customHeight="1" x14ac:dyDescent="0.15">
      <c r="D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V248" s="88"/>
      <c r="AW248" s="88"/>
      <c r="AX248" s="88"/>
      <c r="AY248" s="88"/>
      <c r="AZ248" s="88"/>
      <c r="BA248" s="88"/>
      <c r="BB248" s="88"/>
    </row>
    <row r="249" spans="4:54" ht="12.75" customHeight="1" x14ac:dyDescent="0.15">
      <c r="D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V249" s="88"/>
      <c r="AW249" s="88"/>
      <c r="AX249" s="88"/>
      <c r="AY249" s="88"/>
      <c r="AZ249" s="88"/>
      <c r="BA249" s="88"/>
      <c r="BB249" s="88"/>
    </row>
    <row r="250" spans="4:54" ht="12.75" customHeight="1" x14ac:dyDescent="0.15">
      <c r="D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V250" s="88"/>
      <c r="AW250" s="88"/>
      <c r="AX250" s="88"/>
      <c r="AY250" s="88"/>
      <c r="AZ250" s="88"/>
      <c r="BA250" s="88"/>
      <c r="BB250" s="88"/>
    </row>
    <row r="251" spans="4:54" ht="12.75" customHeight="1" x14ac:dyDescent="0.15">
      <c r="D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V251" s="88"/>
      <c r="AW251" s="88"/>
      <c r="AX251" s="88"/>
      <c r="AY251" s="88"/>
      <c r="AZ251" s="88"/>
      <c r="BA251" s="88"/>
      <c r="BB251" s="88"/>
    </row>
    <row r="252" spans="4:54" ht="12.75" customHeight="1" x14ac:dyDescent="0.15">
      <c r="D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V252" s="88"/>
      <c r="AW252" s="88"/>
      <c r="AX252" s="88"/>
      <c r="AY252" s="88"/>
      <c r="AZ252" s="88"/>
      <c r="BA252" s="88"/>
      <c r="BB252" s="88"/>
    </row>
    <row r="253" spans="4:54" ht="12.75" customHeight="1" x14ac:dyDescent="0.15">
      <c r="D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V253" s="88"/>
      <c r="AW253" s="88"/>
      <c r="AX253" s="88"/>
      <c r="AY253" s="88"/>
      <c r="AZ253" s="88"/>
      <c r="BA253" s="88"/>
      <c r="BB253" s="88"/>
    </row>
    <row r="254" spans="4:54" ht="12.75" customHeight="1" x14ac:dyDescent="0.15">
      <c r="D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V254" s="88"/>
      <c r="AW254" s="88"/>
      <c r="AX254" s="88"/>
      <c r="AY254" s="88"/>
      <c r="AZ254" s="88"/>
      <c r="BA254" s="88"/>
      <c r="BB254" s="88"/>
    </row>
    <row r="255" spans="4:54" ht="12.75" customHeight="1" x14ac:dyDescent="0.15">
      <c r="D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V255" s="88"/>
      <c r="AW255" s="88"/>
      <c r="AX255" s="88"/>
      <c r="AY255" s="88"/>
      <c r="AZ255" s="88"/>
      <c r="BA255" s="88"/>
      <c r="BB255" s="88"/>
    </row>
    <row r="256" spans="4:54" ht="12.75" customHeight="1" x14ac:dyDescent="0.15">
      <c r="D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V256" s="88"/>
      <c r="AW256" s="88"/>
      <c r="AX256" s="88"/>
      <c r="AY256" s="88"/>
      <c r="AZ256" s="88"/>
      <c r="BA256" s="88"/>
      <c r="BB256" s="88"/>
    </row>
    <row r="257" spans="4:54" ht="12.75" customHeight="1" x14ac:dyDescent="0.15">
      <c r="D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V257" s="88"/>
      <c r="AW257" s="88"/>
      <c r="AX257" s="88"/>
      <c r="AY257" s="88"/>
      <c r="AZ257" s="88"/>
      <c r="BA257" s="88"/>
      <c r="BB257" s="88"/>
    </row>
    <row r="258" spans="4:54" ht="12.75" customHeight="1" x14ac:dyDescent="0.15">
      <c r="D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V258" s="88"/>
      <c r="AW258" s="88"/>
      <c r="AX258" s="88"/>
      <c r="AY258" s="88"/>
      <c r="AZ258" s="88"/>
      <c r="BA258" s="88"/>
      <c r="BB258" s="88"/>
    </row>
    <row r="259" spans="4:54" ht="12.75" customHeight="1" x14ac:dyDescent="0.15">
      <c r="D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V259" s="88"/>
      <c r="AW259" s="88"/>
      <c r="AX259" s="88"/>
      <c r="AY259" s="88"/>
      <c r="AZ259" s="88"/>
      <c r="BA259" s="88"/>
      <c r="BB259" s="88"/>
    </row>
    <row r="260" spans="4:54" ht="12.75" customHeight="1" x14ac:dyDescent="0.15">
      <c r="D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V260" s="88"/>
      <c r="AW260" s="88"/>
      <c r="AX260" s="88"/>
      <c r="AY260" s="88"/>
      <c r="AZ260" s="88"/>
      <c r="BA260" s="88"/>
      <c r="BB260" s="88"/>
    </row>
    <row r="261" spans="4:54" ht="12.75" customHeight="1" x14ac:dyDescent="0.15">
      <c r="D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V261" s="88"/>
      <c r="AW261" s="88"/>
      <c r="AX261" s="88"/>
      <c r="AY261" s="88"/>
      <c r="AZ261" s="88"/>
      <c r="BA261" s="88"/>
      <c r="BB261" s="88"/>
    </row>
    <row r="262" spans="4:54" ht="12.75" customHeight="1" x14ac:dyDescent="0.15">
      <c r="D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V262" s="88"/>
      <c r="AW262" s="88"/>
      <c r="AX262" s="88"/>
      <c r="AY262" s="88"/>
      <c r="AZ262" s="88"/>
      <c r="BA262" s="88"/>
      <c r="BB262" s="88"/>
    </row>
    <row r="263" spans="4:54" ht="12.75" customHeight="1" x14ac:dyDescent="0.15">
      <c r="D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V263" s="88"/>
      <c r="AW263" s="88"/>
      <c r="AX263" s="88"/>
      <c r="AY263" s="88"/>
      <c r="AZ263" s="88"/>
      <c r="BA263" s="88"/>
      <c r="BB263" s="88"/>
    </row>
    <row r="264" spans="4:54" ht="12.75" customHeight="1" x14ac:dyDescent="0.15">
      <c r="D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V264" s="88"/>
      <c r="AW264" s="88"/>
      <c r="AX264" s="88"/>
      <c r="AY264" s="88"/>
      <c r="AZ264" s="88"/>
      <c r="BA264" s="88"/>
      <c r="BB264" s="88"/>
    </row>
    <row r="265" spans="4:54" ht="12.75" customHeight="1" x14ac:dyDescent="0.15">
      <c r="D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V265" s="88"/>
      <c r="AW265" s="88"/>
      <c r="AX265" s="88"/>
      <c r="AY265" s="88"/>
      <c r="AZ265" s="88"/>
      <c r="BA265" s="88"/>
      <c r="BB265" s="88"/>
    </row>
    <row r="266" spans="4:54" ht="12.75" customHeight="1" x14ac:dyDescent="0.15">
      <c r="D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V266" s="88"/>
      <c r="AW266" s="88"/>
      <c r="AX266" s="88"/>
      <c r="AY266" s="88"/>
      <c r="AZ266" s="88"/>
      <c r="BA266" s="88"/>
      <c r="BB266" s="88"/>
    </row>
    <row r="267" spans="4:54" ht="12.75" customHeight="1" x14ac:dyDescent="0.15">
      <c r="D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V267" s="88"/>
      <c r="AW267" s="88"/>
      <c r="AX267" s="88"/>
      <c r="AY267" s="88"/>
      <c r="AZ267" s="88"/>
      <c r="BA267" s="88"/>
      <c r="BB267" s="88"/>
    </row>
    <row r="268" spans="4:54" ht="12.75" customHeight="1" x14ac:dyDescent="0.15">
      <c r="D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V268" s="88"/>
      <c r="AW268" s="88"/>
      <c r="AX268" s="88"/>
      <c r="AY268" s="88"/>
      <c r="AZ268" s="88"/>
      <c r="BA268" s="88"/>
      <c r="BB268" s="88"/>
    </row>
    <row r="269" spans="4:54" ht="12.75" customHeight="1" x14ac:dyDescent="0.15">
      <c r="D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V269" s="88"/>
      <c r="AW269" s="88"/>
      <c r="AX269" s="88"/>
      <c r="AY269" s="88"/>
      <c r="AZ269" s="88"/>
      <c r="BA269" s="88"/>
      <c r="BB269" s="88"/>
    </row>
    <row r="270" spans="4:54" ht="12.75" customHeight="1" x14ac:dyDescent="0.15">
      <c r="D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V270" s="88"/>
      <c r="AW270" s="88"/>
      <c r="AX270" s="88"/>
      <c r="AY270" s="88"/>
      <c r="AZ270" s="88"/>
      <c r="BA270" s="88"/>
      <c r="BB270" s="88"/>
    </row>
    <row r="271" spans="4:54" ht="12.75" customHeight="1" x14ac:dyDescent="0.15">
      <c r="D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V271" s="88"/>
      <c r="AW271" s="88"/>
      <c r="AX271" s="88"/>
      <c r="AY271" s="88"/>
      <c r="AZ271" s="88"/>
      <c r="BA271" s="88"/>
      <c r="BB271" s="88"/>
    </row>
    <row r="272" spans="4:54" ht="12.75" customHeight="1" x14ac:dyDescent="0.15">
      <c r="D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V272" s="88"/>
      <c r="AW272" s="88"/>
      <c r="AX272" s="88"/>
      <c r="AY272" s="88"/>
      <c r="AZ272" s="88"/>
      <c r="BA272" s="88"/>
      <c r="BB272" s="88"/>
    </row>
    <row r="273" spans="4:54" ht="12.75" customHeight="1" x14ac:dyDescent="0.15">
      <c r="D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V273" s="88"/>
      <c r="AW273" s="88"/>
      <c r="AX273" s="88"/>
      <c r="AY273" s="88"/>
      <c r="AZ273" s="88"/>
      <c r="BA273" s="88"/>
      <c r="BB273" s="88"/>
    </row>
    <row r="274" spans="4:54" ht="12.75" customHeight="1" x14ac:dyDescent="0.15">
      <c r="D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V274" s="88"/>
      <c r="AW274" s="88"/>
      <c r="AX274" s="88"/>
      <c r="AY274" s="88"/>
      <c r="AZ274" s="88"/>
      <c r="BA274" s="88"/>
      <c r="BB274" s="88"/>
    </row>
    <row r="275" spans="4:54" ht="12.75" customHeight="1" x14ac:dyDescent="0.15">
      <c r="D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V275" s="88"/>
      <c r="AW275" s="88"/>
      <c r="AX275" s="88"/>
      <c r="AY275" s="88"/>
      <c r="AZ275" s="88"/>
      <c r="BA275" s="88"/>
      <c r="BB275" s="88"/>
    </row>
    <row r="276" spans="4:54" ht="12.75" customHeight="1" x14ac:dyDescent="0.15">
      <c r="D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V276" s="88"/>
      <c r="AW276" s="88"/>
      <c r="AX276" s="88"/>
      <c r="AY276" s="88"/>
      <c r="AZ276" s="88"/>
      <c r="BA276" s="88"/>
      <c r="BB276" s="88"/>
    </row>
    <row r="277" spans="4:54" ht="12.75" customHeight="1" x14ac:dyDescent="0.15">
      <c r="D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V277" s="88"/>
      <c r="AW277" s="88"/>
      <c r="AX277" s="88"/>
      <c r="AY277" s="88"/>
      <c r="AZ277" s="88"/>
      <c r="BA277" s="88"/>
      <c r="BB277" s="88"/>
    </row>
    <row r="278" spans="4:54" ht="12.75" customHeight="1" x14ac:dyDescent="0.15">
      <c r="D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V278" s="88"/>
      <c r="AW278" s="88"/>
      <c r="AX278" s="88"/>
      <c r="AY278" s="88"/>
      <c r="AZ278" s="88"/>
      <c r="BA278" s="88"/>
      <c r="BB278" s="88"/>
    </row>
    <row r="279" spans="4:54" ht="12.75" customHeight="1" x14ac:dyDescent="0.15">
      <c r="D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V279" s="88"/>
      <c r="AW279" s="88"/>
      <c r="AX279" s="88"/>
      <c r="AY279" s="88"/>
      <c r="AZ279" s="88"/>
      <c r="BA279" s="88"/>
      <c r="BB279" s="88"/>
    </row>
    <row r="280" spans="4:54" ht="12.75" customHeight="1" x14ac:dyDescent="0.15">
      <c r="D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V280" s="88"/>
      <c r="AW280" s="88"/>
      <c r="AX280" s="88"/>
      <c r="AY280" s="88"/>
      <c r="AZ280" s="88"/>
      <c r="BA280" s="88"/>
      <c r="BB280" s="88"/>
    </row>
    <row r="281" spans="4:54" ht="12.75" customHeight="1" x14ac:dyDescent="0.15">
      <c r="D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V281" s="88"/>
      <c r="AW281" s="88"/>
      <c r="AX281" s="88"/>
      <c r="AY281" s="88"/>
      <c r="AZ281" s="88"/>
      <c r="BA281" s="88"/>
      <c r="BB281" s="88"/>
    </row>
    <row r="282" spans="4:54" ht="12.75" customHeight="1" x14ac:dyDescent="0.15">
      <c r="D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V282" s="88"/>
      <c r="AW282" s="88"/>
      <c r="AX282" s="88"/>
      <c r="AY282" s="88"/>
      <c r="AZ282" s="88"/>
      <c r="BA282" s="88"/>
      <c r="BB282" s="88"/>
    </row>
    <row r="283" spans="4:54" ht="12.75" customHeight="1" x14ac:dyDescent="0.15">
      <c r="D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V283" s="88"/>
      <c r="AW283" s="88"/>
      <c r="AX283" s="88"/>
      <c r="AY283" s="88"/>
      <c r="AZ283" s="88"/>
      <c r="BA283" s="88"/>
      <c r="BB283" s="88"/>
    </row>
    <row r="284" spans="4:54" ht="12.75" customHeight="1" x14ac:dyDescent="0.15">
      <c r="D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V284" s="88"/>
      <c r="AW284" s="88"/>
      <c r="AX284" s="88"/>
      <c r="AY284" s="88"/>
      <c r="AZ284" s="88"/>
      <c r="BA284" s="88"/>
      <c r="BB284" s="88"/>
    </row>
    <row r="285" spans="4:54" ht="12.75" customHeight="1" x14ac:dyDescent="0.15">
      <c r="D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V285" s="88"/>
      <c r="AW285" s="88"/>
      <c r="AX285" s="88"/>
      <c r="AY285" s="88"/>
      <c r="AZ285" s="88"/>
      <c r="BA285" s="88"/>
      <c r="BB285" s="88"/>
    </row>
    <row r="286" spans="4:54" ht="12.75" customHeight="1" x14ac:dyDescent="0.15">
      <c r="D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V286" s="88"/>
      <c r="AW286" s="88"/>
      <c r="AX286" s="88"/>
      <c r="AY286" s="88"/>
      <c r="AZ286" s="88"/>
      <c r="BA286" s="88"/>
      <c r="BB286" s="88"/>
    </row>
    <row r="287" spans="4:54" ht="12.75" customHeight="1" x14ac:dyDescent="0.15">
      <c r="D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V287" s="88"/>
      <c r="AW287" s="88"/>
      <c r="AX287" s="88"/>
      <c r="AY287" s="88"/>
      <c r="AZ287" s="88"/>
      <c r="BA287" s="88"/>
      <c r="BB287" s="88"/>
    </row>
    <row r="288" spans="4:54" ht="12.75" customHeight="1" x14ac:dyDescent="0.15">
      <c r="D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V288" s="88"/>
      <c r="AW288" s="88"/>
      <c r="AX288" s="88"/>
      <c r="AY288" s="88"/>
      <c r="AZ288" s="88"/>
      <c r="BA288" s="88"/>
      <c r="BB288" s="88"/>
    </row>
    <row r="289" spans="4:54" ht="12.75" customHeight="1" x14ac:dyDescent="0.15">
      <c r="D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V289" s="88"/>
      <c r="AW289" s="88"/>
      <c r="AX289" s="88"/>
      <c r="AY289" s="88"/>
      <c r="AZ289" s="88"/>
      <c r="BA289" s="88"/>
      <c r="BB289" s="88"/>
    </row>
    <row r="290" spans="4:54" ht="12.75" customHeight="1" x14ac:dyDescent="0.15">
      <c r="D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V290" s="88"/>
      <c r="AW290" s="88"/>
      <c r="AX290" s="88"/>
      <c r="AY290" s="88"/>
      <c r="AZ290" s="88"/>
      <c r="BA290" s="88"/>
      <c r="BB290" s="88"/>
    </row>
    <row r="291" spans="4:54" ht="12.75" customHeight="1" x14ac:dyDescent="0.15">
      <c r="D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V291" s="88"/>
      <c r="AW291" s="88"/>
      <c r="AX291" s="88"/>
      <c r="AY291" s="88"/>
      <c r="AZ291" s="88"/>
      <c r="BA291" s="88"/>
      <c r="BB291" s="88"/>
    </row>
    <row r="292" spans="4:54" ht="12.75" customHeight="1" x14ac:dyDescent="0.15">
      <c r="D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V292" s="88"/>
      <c r="AW292" s="88"/>
      <c r="AX292" s="88"/>
      <c r="AY292" s="88"/>
      <c r="AZ292" s="88"/>
      <c r="BA292" s="88"/>
      <c r="BB292" s="88"/>
    </row>
    <row r="293" spans="4:54" ht="12.75" customHeight="1" x14ac:dyDescent="0.15">
      <c r="D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V293" s="88"/>
      <c r="AW293" s="88"/>
      <c r="AX293" s="88"/>
      <c r="AY293" s="88"/>
      <c r="AZ293" s="88"/>
      <c r="BA293" s="88"/>
      <c r="BB293" s="88"/>
    </row>
    <row r="294" spans="4:54" ht="12.75" customHeight="1" x14ac:dyDescent="0.15">
      <c r="D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V294" s="88"/>
      <c r="AW294" s="88"/>
      <c r="AX294" s="88"/>
      <c r="AY294" s="88"/>
      <c r="AZ294" s="88"/>
      <c r="BA294" s="88"/>
      <c r="BB294" s="88"/>
    </row>
    <row r="295" spans="4:54" ht="12.75" customHeight="1" x14ac:dyDescent="0.15">
      <c r="D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V295" s="88"/>
      <c r="AW295" s="88"/>
      <c r="AX295" s="88"/>
      <c r="AY295" s="88"/>
      <c r="AZ295" s="88"/>
      <c r="BA295" s="88"/>
      <c r="BB295" s="88"/>
    </row>
    <row r="296" spans="4:54" ht="12.75" customHeight="1" x14ac:dyDescent="0.15">
      <c r="D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V296" s="88"/>
      <c r="AW296" s="88"/>
      <c r="AX296" s="88"/>
      <c r="AY296" s="88"/>
      <c r="AZ296" s="88"/>
      <c r="BA296" s="88"/>
      <c r="BB296" s="88"/>
    </row>
    <row r="297" spans="4:54" ht="12.75" customHeight="1" x14ac:dyDescent="0.15">
      <c r="D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V297" s="88"/>
      <c r="AW297" s="88"/>
      <c r="AX297" s="88"/>
      <c r="AY297" s="88"/>
      <c r="AZ297" s="88"/>
      <c r="BA297" s="88"/>
      <c r="BB297" s="88"/>
    </row>
    <row r="298" spans="4:54" ht="12.75" customHeight="1" x14ac:dyDescent="0.15">
      <c r="D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V298" s="88"/>
      <c r="AW298" s="88"/>
      <c r="AX298" s="88"/>
      <c r="AY298" s="88"/>
      <c r="AZ298" s="88"/>
      <c r="BA298" s="88"/>
      <c r="BB298" s="88"/>
    </row>
    <row r="299" spans="4:54" ht="12.75" customHeight="1" x14ac:dyDescent="0.15">
      <c r="D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V299" s="88"/>
      <c r="AW299" s="88"/>
      <c r="AX299" s="88"/>
      <c r="AY299" s="88"/>
      <c r="AZ299" s="88"/>
      <c r="BA299" s="88"/>
      <c r="BB299" s="88"/>
    </row>
    <row r="300" spans="4:54" ht="12.75" customHeight="1" x14ac:dyDescent="0.15">
      <c r="D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V300" s="88"/>
      <c r="AW300" s="88"/>
      <c r="AX300" s="88"/>
      <c r="AY300" s="88"/>
      <c r="AZ300" s="88"/>
      <c r="BA300" s="88"/>
      <c r="BB300" s="88"/>
    </row>
    <row r="301" spans="4:54" ht="12.75" customHeight="1" x14ac:dyDescent="0.15">
      <c r="D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V301" s="88"/>
      <c r="AW301" s="88"/>
      <c r="AX301" s="88"/>
      <c r="AY301" s="88"/>
      <c r="AZ301" s="88"/>
      <c r="BA301" s="88"/>
      <c r="BB301" s="88"/>
    </row>
    <row r="302" spans="4:54" ht="12.75" customHeight="1" x14ac:dyDescent="0.15">
      <c r="D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V302" s="88"/>
      <c r="AW302" s="88"/>
      <c r="AX302" s="88"/>
      <c r="AY302" s="88"/>
      <c r="AZ302" s="88"/>
      <c r="BA302" s="88"/>
      <c r="BB302" s="88"/>
    </row>
    <row r="303" spans="4:54" ht="12.75" customHeight="1" x14ac:dyDescent="0.15">
      <c r="D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V303" s="88"/>
      <c r="AW303" s="88"/>
      <c r="AX303" s="88"/>
      <c r="AY303" s="88"/>
      <c r="AZ303" s="88"/>
      <c r="BA303" s="88"/>
      <c r="BB303" s="88"/>
    </row>
    <row r="304" spans="4:54" ht="12.75" customHeight="1" x14ac:dyDescent="0.15">
      <c r="D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V304" s="88"/>
      <c r="AW304" s="88"/>
      <c r="AX304" s="88"/>
      <c r="AY304" s="88"/>
      <c r="AZ304" s="88"/>
      <c r="BA304" s="88"/>
      <c r="BB304" s="88"/>
    </row>
    <row r="305" spans="4:54" ht="12.75" customHeight="1" x14ac:dyDescent="0.15">
      <c r="D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V305" s="88"/>
      <c r="AW305" s="88"/>
      <c r="AX305" s="88"/>
      <c r="AY305" s="88"/>
      <c r="AZ305" s="88"/>
      <c r="BA305" s="88"/>
      <c r="BB305" s="88"/>
    </row>
    <row r="306" spans="4:54" ht="12.75" customHeight="1" x14ac:dyDescent="0.15">
      <c r="D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V306" s="88"/>
      <c r="AW306" s="88"/>
      <c r="AX306" s="88"/>
      <c r="AY306" s="88"/>
      <c r="AZ306" s="88"/>
      <c r="BA306" s="88"/>
      <c r="BB306" s="88"/>
    </row>
    <row r="307" spans="4:54" ht="12.75" customHeight="1" x14ac:dyDescent="0.15">
      <c r="D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V307" s="88"/>
      <c r="AW307" s="88"/>
      <c r="AX307" s="88"/>
      <c r="AY307" s="88"/>
      <c r="AZ307" s="88"/>
      <c r="BA307" s="88"/>
      <c r="BB307" s="88"/>
    </row>
    <row r="308" spans="4:54" ht="12.75" customHeight="1" x14ac:dyDescent="0.15">
      <c r="D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V308" s="88"/>
      <c r="AW308" s="88"/>
      <c r="AX308" s="88"/>
      <c r="AY308" s="88"/>
      <c r="AZ308" s="88"/>
      <c r="BA308" s="88"/>
      <c r="BB308" s="88"/>
    </row>
    <row r="309" spans="4:54" ht="12.75" customHeight="1" x14ac:dyDescent="0.15">
      <c r="D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V309" s="88"/>
      <c r="AW309" s="88"/>
      <c r="AX309" s="88"/>
      <c r="AY309" s="88"/>
      <c r="AZ309" s="88"/>
      <c r="BA309" s="88"/>
      <c r="BB309" s="88"/>
    </row>
    <row r="310" spans="4:54" ht="12.75" customHeight="1" x14ac:dyDescent="0.15">
      <c r="D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V310" s="88"/>
      <c r="AW310" s="88"/>
      <c r="AX310" s="88"/>
      <c r="AY310" s="88"/>
      <c r="AZ310" s="88"/>
      <c r="BA310" s="88"/>
      <c r="BB310" s="88"/>
    </row>
    <row r="311" spans="4:54" ht="12.75" customHeight="1" x14ac:dyDescent="0.15">
      <c r="D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V311" s="88"/>
      <c r="AW311" s="88"/>
      <c r="AX311" s="88"/>
      <c r="AY311" s="88"/>
      <c r="AZ311" s="88"/>
      <c r="BA311" s="88"/>
      <c r="BB311" s="88"/>
    </row>
    <row r="312" spans="4:54" ht="12.75" customHeight="1" x14ac:dyDescent="0.15">
      <c r="D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V312" s="88"/>
      <c r="AW312" s="88"/>
      <c r="AX312" s="88"/>
      <c r="AY312" s="88"/>
      <c r="AZ312" s="88"/>
      <c r="BA312" s="88"/>
      <c r="BB312" s="88"/>
    </row>
    <row r="313" spans="4:54" ht="12.75" customHeight="1" x14ac:dyDescent="0.15">
      <c r="D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V313" s="88"/>
      <c r="AW313" s="88"/>
      <c r="AX313" s="88"/>
      <c r="AY313" s="88"/>
      <c r="AZ313" s="88"/>
      <c r="BA313" s="88"/>
      <c r="BB313" s="88"/>
    </row>
    <row r="314" spans="4:54" ht="12.75" customHeight="1" x14ac:dyDescent="0.15">
      <c r="D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V314" s="88"/>
      <c r="AW314" s="88"/>
      <c r="AX314" s="88"/>
      <c r="AY314" s="88"/>
      <c r="AZ314" s="88"/>
      <c r="BA314" s="88"/>
      <c r="BB314" s="88"/>
    </row>
    <row r="315" spans="4:54" ht="12.75" customHeight="1" x14ac:dyDescent="0.15">
      <c r="D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V315" s="88"/>
      <c r="AW315" s="88"/>
      <c r="AX315" s="88"/>
      <c r="AY315" s="88"/>
      <c r="AZ315" s="88"/>
      <c r="BA315" s="88"/>
      <c r="BB315" s="88"/>
    </row>
    <row r="316" spans="4:54" ht="12.75" customHeight="1" x14ac:dyDescent="0.15">
      <c r="D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V316" s="88"/>
      <c r="AW316" s="88"/>
      <c r="AX316" s="88"/>
      <c r="AY316" s="88"/>
      <c r="AZ316" s="88"/>
      <c r="BA316" s="88"/>
      <c r="BB316" s="88"/>
    </row>
    <row r="317" spans="4:54" ht="12.75" customHeight="1" x14ac:dyDescent="0.15">
      <c r="D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V317" s="88"/>
      <c r="AW317" s="88"/>
      <c r="AX317" s="88"/>
      <c r="AY317" s="88"/>
      <c r="AZ317" s="88"/>
      <c r="BA317" s="88"/>
      <c r="BB317" s="88"/>
    </row>
    <row r="318" spans="4:54" ht="12.75" customHeight="1" x14ac:dyDescent="0.15">
      <c r="D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V318" s="88"/>
      <c r="AW318" s="88"/>
      <c r="AX318" s="88"/>
      <c r="AY318" s="88"/>
      <c r="AZ318" s="88"/>
      <c r="BA318" s="88"/>
      <c r="BB318" s="88"/>
    </row>
    <row r="319" spans="4:54" ht="12.75" customHeight="1" x14ac:dyDescent="0.15">
      <c r="D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V319" s="88"/>
      <c r="AW319" s="88"/>
      <c r="AX319" s="88"/>
      <c r="AY319" s="88"/>
      <c r="AZ319" s="88"/>
      <c r="BA319" s="88"/>
      <c r="BB319" s="88"/>
    </row>
    <row r="320" spans="4:54" ht="12.75" customHeight="1" x14ac:dyDescent="0.15">
      <c r="D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V320" s="88"/>
      <c r="AW320" s="88"/>
      <c r="AX320" s="88"/>
      <c r="AY320" s="88"/>
      <c r="AZ320" s="88"/>
      <c r="BA320" s="88"/>
      <c r="BB320" s="88"/>
    </row>
    <row r="321" spans="4:54" ht="12.75" customHeight="1" x14ac:dyDescent="0.15">
      <c r="D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V321" s="88"/>
      <c r="AW321" s="88"/>
      <c r="AX321" s="88"/>
      <c r="AY321" s="88"/>
      <c r="AZ321" s="88"/>
      <c r="BA321" s="88"/>
      <c r="BB321" s="88"/>
    </row>
    <row r="322" spans="4:54" ht="12.75" customHeight="1" x14ac:dyDescent="0.15">
      <c r="D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V322" s="88"/>
      <c r="AW322" s="88"/>
      <c r="AX322" s="88"/>
      <c r="AY322" s="88"/>
      <c r="AZ322" s="88"/>
      <c r="BA322" s="88"/>
      <c r="BB322" s="88"/>
    </row>
    <row r="323" spans="4:54" ht="12.75" customHeight="1" x14ac:dyDescent="0.15">
      <c r="D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V323" s="88"/>
      <c r="AW323" s="88"/>
      <c r="AX323" s="88"/>
      <c r="AY323" s="88"/>
      <c r="AZ323" s="88"/>
      <c r="BA323" s="88"/>
      <c r="BB323" s="88"/>
    </row>
    <row r="324" spans="4:54" ht="12.75" customHeight="1" x14ac:dyDescent="0.15">
      <c r="D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V324" s="88"/>
      <c r="AW324" s="88"/>
      <c r="AX324" s="88"/>
      <c r="AY324" s="88"/>
      <c r="AZ324" s="88"/>
      <c r="BA324" s="88"/>
      <c r="BB324" s="88"/>
    </row>
    <row r="325" spans="4:54" ht="12.75" customHeight="1" x14ac:dyDescent="0.15">
      <c r="D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V325" s="88"/>
      <c r="AW325" s="88"/>
      <c r="AX325" s="88"/>
      <c r="AY325" s="88"/>
      <c r="AZ325" s="88"/>
      <c r="BA325" s="88"/>
      <c r="BB325" s="88"/>
    </row>
    <row r="326" spans="4:54" ht="12.75" customHeight="1" x14ac:dyDescent="0.15">
      <c r="D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V326" s="88"/>
      <c r="AW326" s="88"/>
      <c r="AX326" s="88"/>
      <c r="AY326" s="88"/>
      <c r="AZ326" s="88"/>
      <c r="BA326" s="88"/>
      <c r="BB326" s="88"/>
    </row>
    <row r="327" spans="4:54" ht="12.75" customHeight="1" x14ac:dyDescent="0.15">
      <c r="D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V327" s="88"/>
      <c r="AW327" s="88"/>
      <c r="AX327" s="88"/>
      <c r="AY327" s="88"/>
      <c r="AZ327" s="88"/>
      <c r="BA327" s="88"/>
      <c r="BB327" s="88"/>
    </row>
    <row r="328" spans="4:54" ht="12.75" customHeight="1" x14ac:dyDescent="0.15">
      <c r="D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V328" s="88"/>
      <c r="AW328" s="88"/>
      <c r="AX328" s="88"/>
      <c r="AY328" s="88"/>
      <c r="AZ328" s="88"/>
      <c r="BA328" s="88"/>
      <c r="BB328" s="88"/>
    </row>
    <row r="329" spans="4:54" ht="12.75" customHeight="1" x14ac:dyDescent="0.15">
      <c r="D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V329" s="88"/>
      <c r="AW329" s="88"/>
      <c r="AX329" s="88"/>
      <c r="AY329" s="88"/>
      <c r="AZ329" s="88"/>
      <c r="BA329" s="88"/>
      <c r="BB329" s="88"/>
    </row>
    <row r="330" spans="4:54" ht="12.75" customHeight="1" x14ac:dyDescent="0.15">
      <c r="D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V330" s="88"/>
      <c r="AW330" s="88"/>
      <c r="AX330" s="88"/>
      <c r="AY330" s="88"/>
      <c r="AZ330" s="88"/>
      <c r="BA330" s="88"/>
      <c r="BB330" s="88"/>
    </row>
    <row r="331" spans="4:54" ht="12.75" customHeight="1" x14ac:dyDescent="0.15">
      <c r="D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V331" s="88"/>
      <c r="AW331" s="88"/>
      <c r="AX331" s="88"/>
      <c r="AY331" s="88"/>
      <c r="AZ331" s="88"/>
      <c r="BA331" s="88"/>
      <c r="BB331" s="88"/>
    </row>
    <row r="332" spans="4:54" ht="12.75" customHeight="1" x14ac:dyDescent="0.15">
      <c r="D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V332" s="88"/>
      <c r="AW332" s="88"/>
      <c r="AX332" s="88"/>
      <c r="AY332" s="88"/>
      <c r="AZ332" s="88"/>
      <c r="BA332" s="88"/>
      <c r="BB332" s="88"/>
    </row>
    <row r="333" spans="4:54" ht="12.75" customHeight="1" x14ac:dyDescent="0.15">
      <c r="D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V333" s="88"/>
      <c r="AW333" s="88"/>
      <c r="AX333" s="88"/>
      <c r="AY333" s="88"/>
      <c r="AZ333" s="88"/>
      <c r="BA333" s="88"/>
      <c r="BB333" s="88"/>
    </row>
    <row r="334" spans="4:54" ht="12.75" customHeight="1" x14ac:dyDescent="0.15">
      <c r="D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V334" s="88"/>
      <c r="AW334" s="88"/>
      <c r="AX334" s="88"/>
      <c r="AY334" s="88"/>
      <c r="AZ334" s="88"/>
      <c r="BA334" s="88"/>
      <c r="BB334" s="88"/>
    </row>
    <row r="335" spans="4:54" ht="12.75" customHeight="1" x14ac:dyDescent="0.15">
      <c r="D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V335" s="88"/>
      <c r="AW335" s="88"/>
      <c r="AX335" s="88"/>
      <c r="AY335" s="88"/>
      <c r="AZ335" s="88"/>
      <c r="BA335" s="88"/>
      <c r="BB335" s="88"/>
    </row>
    <row r="336" spans="4:54" ht="12.75" customHeight="1" x14ac:dyDescent="0.15">
      <c r="D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V336" s="88"/>
      <c r="AW336" s="88"/>
      <c r="AX336" s="88"/>
      <c r="AY336" s="88"/>
      <c r="AZ336" s="88"/>
      <c r="BA336" s="88"/>
      <c r="BB336" s="88"/>
    </row>
    <row r="337" spans="4:54" ht="12.75" customHeight="1" x14ac:dyDescent="0.15">
      <c r="D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V337" s="88"/>
      <c r="AW337" s="88"/>
      <c r="AX337" s="88"/>
      <c r="AY337" s="88"/>
      <c r="AZ337" s="88"/>
      <c r="BA337" s="88"/>
      <c r="BB337" s="88"/>
    </row>
    <row r="338" spans="4:54" ht="12.75" customHeight="1" x14ac:dyDescent="0.15">
      <c r="D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V338" s="88"/>
      <c r="AW338" s="88"/>
      <c r="AX338" s="88"/>
      <c r="AY338" s="88"/>
      <c r="AZ338" s="88"/>
      <c r="BA338" s="88"/>
      <c r="BB338" s="88"/>
    </row>
    <row r="339" spans="4:54" ht="12.75" customHeight="1" x14ac:dyDescent="0.15">
      <c r="D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V339" s="88"/>
      <c r="AW339" s="88"/>
      <c r="AX339" s="88"/>
      <c r="AY339" s="88"/>
      <c r="AZ339" s="88"/>
      <c r="BA339" s="88"/>
      <c r="BB339" s="88"/>
    </row>
    <row r="340" spans="4:54" ht="12.75" customHeight="1" x14ac:dyDescent="0.15">
      <c r="D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V340" s="88"/>
      <c r="AW340" s="88"/>
      <c r="AX340" s="88"/>
      <c r="AY340" s="88"/>
      <c r="AZ340" s="88"/>
      <c r="BA340" s="88"/>
      <c r="BB340" s="88"/>
    </row>
    <row r="341" spans="4:54" ht="12.75" customHeight="1" x14ac:dyDescent="0.15">
      <c r="D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V341" s="88"/>
      <c r="AW341" s="88"/>
      <c r="AX341" s="88"/>
      <c r="AY341" s="88"/>
      <c r="AZ341" s="88"/>
      <c r="BA341" s="88"/>
      <c r="BB341" s="88"/>
    </row>
    <row r="342" spans="4:54" ht="12.75" customHeight="1" x14ac:dyDescent="0.15">
      <c r="D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V342" s="88"/>
      <c r="AW342" s="88"/>
      <c r="AX342" s="88"/>
      <c r="AY342" s="88"/>
      <c r="AZ342" s="88"/>
      <c r="BA342" s="88"/>
      <c r="BB342" s="88"/>
    </row>
    <row r="343" spans="4:54" ht="12.75" customHeight="1" x14ac:dyDescent="0.15">
      <c r="D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V343" s="88"/>
      <c r="AW343" s="88"/>
      <c r="AX343" s="88"/>
      <c r="AY343" s="88"/>
      <c r="AZ343" s="88"/>
      <c r="BA343" s="88"/>
      <c r="BB343" s="88"/>
    </row>
    <row r="344" spans="4:54" ht="12.75" customHeight="1" x14ac:dyDescent="0.15">
      <c r="D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V344" s="88"/>
      <c r="AW344" s="88"/>
      <c r="AX344" s="88"/>
      <c r="AY344" s="88"/>
      <c r="AZ344" s="88"/>
      <c r="BA344" s="88"/>
      <c r="BB344" s="88"/>
    </row>
    <row r="345" spans="4:54" ht="12.75" customHeight="1" x14ac:dyDescent="0.15">
      <c r="D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V345" s="88"/>
      <c r="AW345" s="88"/>
      <c r="AX345" s="88"/>
      <c r="AY345" s="88"/>
      <c r="AZ345" s="88"/>
      <c r="BA345" s="88"/>
      <c r="BB345" s="88"/>
    </row>
    <row r="346" spans="4:54" ht="12.75" customHeight="1" x14ac:dyDescent="0.15">
      <c r="D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V346" s="88"/>
      <c r="AW346" s="88"/>
      <c r="AX346" s="88"/>
      <c r="AY346" s="88"/>
      <c r="AZ346" s="88"/>
      <c r="BA346" s="88"/>
      <c r="BB346" s="88"/>
    </row>
    <row r="347" spans="4:54" ht="12.75" customHeight="1" x14ac:dyDescent="0.15">
      <c r="D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V347" s="88"/>
      <c r="AW347" s="88"/>
      <c r="AX347" s="88"/>
      <c r="AY347" s="88"/>
      <c r="AZ347" s="88"/>
      <c r="BA347" s="88"/>
      <c r="BB347" s="88"/>
    </row>
    <row r="348" spans="4:54" ht="12.75" customHeight="1" x14ac:dyDescent="0.15">
      <c r="D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V348" s="88"/>
      <c r="AW348" s="88"/>
      <c r="AX348" s="88"/>
      <c r="AY348" s="88"/>
      <c r="AZ348" s="88"/>
      <c r="BA348" s="88"/>
      <c r="BB348" s="88"/>
    </row>
    <row r="349" spans="4:54" ht="12.75" customHeight="1" x14ac:dyDescent="0.15">
      <c r="D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V349" s="88"/>
      <c r="AW349" s="88"/>
      <c r="AX349" s="88"/>
      <c r="AY349" s="88"/>
      <c r="AZ349" s="88"/>
      <c r="BA349" s="88"/>
      <c r="BB349" s="88"/>
    </row>
    <row r="350" spans="4:54" ht="12.75" customHeight="1" x14ac:dyDescent="0.15">
      <c r="D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V350" s="88"/>
      <c r="AW350" s="88"/>
      <c r="AX350" s="88"/>
      <c r="AY350" s="88"/>
      <c r="AZ350" s="88"/>
      <c r="BA350" s="88"/>
      <c r="BB350" s="88"/>
    </row>
    <row r="351" spans="4:54" ht="12.75" customHeight="1" x14ac:dyDescent="0.15">
      <c r="D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V351" s="88"/>
      <c r="AW351" s="88"/>
      <c r="AX351" s="88"/>
      <c r="AY351" s="88"/>
      <c r="AZ351" s="88"/>
      <c r="BA351" s="88"/>
      <c r="BB351" s="88"/>
    </row>
    <row r="352" spans="4:54" ht="12.75" customHeight="1" x14ac:dyDescent="0.15">
      <c r="D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V352" s="88"/>
      <c r="AW352" s="88"/>
      <c r="AX352" s="88"/>
      <c r="AY352" s="88"/>
      <c r="AZ352" s="88"/>
      <c r="BA352" s="88"/>
      <c r="BB352" s="88"/>
    </row>
    <row r="353" spans="4:54" ht="12.75" customHeight="1" x14ac:dyDescent="0.15">
      <c r="D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V353" s="88"/>
      <c r="AW353" s="88"/>
      <c r="AX353" s="88"/>
      <c r="AY353" s="88"/>
      <c r="AZ353" s="88"/>
      <c r="BA353" s="88"/>
      <c r="BB353" s="88"/>
    </row>
    <row r="354" spans="4:54" ht="12.75" customHeight="1" x14ac:dyDescent="0.15">
      <c r="D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V354" s="88"/>
      <c r="AW354" s="88"/>
      <c r="AX354" s="88"/>
      <c r="AY354" s="88"/>
      <c r="AZ354" s="88"/>
      <c r="BA354" s="88"/>
      <c r="BB354" s="88"/>
    </row>
    <row r="355" spans="4:54" ht="12.75" customHeight="1" x14ac:dyDescent="0.15">
      <c r="D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V355" s="88"/>
      <c r="AW355" s="88"/>
      <c r="AX355" s="88"/>
      <c r="AY355" s="88"/>
      <c r="AZ355" s="88"/>
      <c r="BA355" s="88"/>
      <c r="BB355" s="88"/>
    </row>
    <row r="356" spans="4:54" ht="12.75" customHeight="1" x14ac:dyDescent="0.15">
      <c r="D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V356" s="88"/>
      <c r="AW356" s="88"/>
      <c r="AX356" s="88"/>
      <c r="AY356" s="88"/>
      <c r="AZ356" s="88"/>
      <c r="BA356" s="88"/>
      <c r="BB356" s="88"/>
    </row>
    <row r="357" spans="4:54" ht="12.75" customHeight="1" x14ac:dyDescent="0.15">
      <c r="D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V357" s="88"/>
      <c r="AW357" s="88"/>
      <c r="AX357" s="88"/>
      <c r="AY357" s="88"/>
      <c r="AZ357" s="88"/>
      <c r="BA357" s="88"/>
      <c r="BB357" s="88"/>
    </row>
    <row r="358" spans="4:54" ht="12.75" customHeight="1" x14ac:dyDescent="0.15">
      <c r="D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V358" s="88"/>
      <c r="AW358" s="88"/>
      <c r="AX358" s="88"/>
      <c r="AY358" s="88"/>
      <c r="AZ358" s="88"/>
      <c r="BA358" s="88"/>
      <c r="BB358" s="88"/>
    </row>
    <row r="359" spans="4:54" ht="12.75" customHeight="1" x14ac:dyDescent="0.15">
      <c r="D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V359" s="88"/>
      <c r="AW359" s="88"/>
      <c r="AX359" s="88"/>
      <c r="AY359" s="88"/>
      <c r="AZ359" s="88"/>
      <c r="BA359" s="88"/>
      <c r="BB359" s="88"/>
    </row>
    <row r="360" spans="4:54" ht="12.75" customHeight="1" x14ac:dyDescent="0.15">
      <c r="D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V360" s="88"/>
      <c r="AW360" s="88"/>
      <c r="AX360" s="88"/>
      <c r="AY360" s="88"/>
      <c r="AZ360" s="88"/>
      <c r="BA360" s="88"/>
      <c r="BB360" s="88"/>
    </row>
    <row r="361" spans="4:54" ht="12.75" customHeight="1" x14ac:dyDescent="0.15">
      <c r="D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V361" s="88"/>
      <c r="AW361" s="88"/>
      <c r="AX361" s="88"/>
      <c r="AY361" s="88"/>
      <c r="AZ361" s="88"/>
      <c r="BA361" s="88"/>
      <c r="BB361" s="88"/>
    </row>
    <row r="362" spans="4:54" ht="12.75" customHeight="1" x14ac:dyDescent="0.15">
      <c r="D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V362" s="88"/>
      <c r="AW362" s="88"/>
      <c r="AX362" s="88"/>
      <c r="AY362" s="88"/>
      <c r="AZ362" s="88"/>
      <c r="BA362" s="88"/>
      <c r="BB362" s="88"/>
    </row>
    <row r="363" spans="4:54" ht="12.75" customHeight="1" x14ac:dyDescent="0.15">
      <c r="D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V363" s="88"/>
      <c r="AW363" s="88"/>
      <c r="AX363" s="88"/>
      <c r="AY363" s="88"/>
      <c r="AZ363" s="88"/>
      <c r="BA363" s="88"/>
      <c r="BB363" s="88"/>
    </row>
    <row r="364" spans="4:54" ht="12.75" customHeight="1" x14ac:dyDescent="0.15">
      <c r="D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V364" s="88"/>
      <c r="AW364" s="88"/>
      <c r="AX364" s="88"/>
      <c r="AY364" s="88"/>
      <c r="AZ364" s="88"/>
      <c r="BA364" s="88"/>
      <c r="BB364" s="88"/>
    </row>
    <row r="365" spans="4:54" ht="12.75" customHeight="1" x14ac:dyDescent="0.15">
      <c r="D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V365" s="88"/>
      <c r="AW365" s="88"/>
      <c r="AX365" s="88"/>
      <c r="AY365" s="88"/>
      <c r="AZ365" s="88"/>
      <c r="BA365" s="88"/>
      <c r="BB365" s="88"/>
    </row>
    <row r="366" spans="4:54" ht="12.75" customHeight="1" x14ac:dyDescent="0.15">
      <c r="D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V366" s="88"/>
      <c r="AW366" s="88"/>
      <c r="AX366" s="88"/>
      <c r="AY366" s="88"/>
      <c r="AZ366" s="88"/>
      <c r="BA366" s="88"/>
      <c r="BB366" s="88"/>
    </row>
    <row r="367" spans="4:54" ht="12.75" customHeight="1" x14ac:dyDescent="0.15">
      <c r="D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V367" s="88"/>
      <c r="AW367" s="88"/>
      <c r="AX367" s="88"/>
      <c r="AY367" s="88"/>
      <c r="AZ367" s="88"/>
      <c r="BA367" s="88"/>
      <c r="BB367" s="88"/>
    </row>
    <row r="368" spans="4:54" ht="12.75" customHeight="1" x14ac:dyDescent="0.15">
      <c r="D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V368" s="88"/>
      <c r="AW368" s="88"/>
      <c r="AX368" s="88"/>
      <c r="AY368" s="88"/>
      <c r="AZ368" s="88"/>
      <c r="BA368" s="88"/>
      <c r="BB368" s="88"/>
    </row>
    <row r="369" spans="4:54" ht="12.75" customHeight="1" x14ac:dyDescent="0.15">
      <c r="D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V369" s="88"/>
      <c r="AW369" s="88"/>
      <c r="AX369" s="88"/>
      <c r="AY369" s="88"/>
      <c r="AZ369" s="88"/>
      <c r="BA369" s="88"/>
      <c r="BB369" s="88"/>
    </row>
    <row r="370" spans="4:54" ht="12.75" customHeight="1" x14ac:dyDescent="0.15">
      <c r="D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V370" s="88"/>
      <c r="AW370" s="88"/>
      <c r="AX370" s="88"/>
      <c r="AY370" s="88"/>
      <c r="AZ370" s="88"/>
      <c r="BA370" s="88"/>
      <c r="BB370" s="88"/>
    </row>
    <row r="371" spans="4:54" ht="12.75" customHeight="1" x14ac:dyDescent="0.15">
      <c r="D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V371" s="88"/>
      <c r="AW371" s="88"/>
      <c r="AX371" s="88"/>
      <c r="AY371" s="88"/>
      <c r="AZ371" s="88"/>
      <c r="BA371" s="88"/>
      <c r="BB371" s="88"/>
    </row>
    <row r="372" spans="4:54" ht="12.75" customHeight="1" x14ac:dyDescent="0.15">
      <c r="D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V372" s="88"/>
      <c r="AW372" s="88"/>
      <c r="AX372" s="88"/>
      <c r="AY372" s="88"/>
      <c r="AZ372" s="88"/>
      <c r="BA372" s="88"/>
      <c r="BB372" s="88"/>
    </row>
    <row r="373" spans="4:54" ht="12.75" customHeight="1" x14ac:dyDescent="0.15">
      <c r="D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V373" s="88"/>
      <c r="AW373" s="88"/>
      <c r="AX373" s="88"/>
      <c r="AY373" s="88"/>
      <c r="AZ373" s="88"/>
      <c r="BA373" s="88"/>
      <c r="BB373" s="88"/>
    </row>
    <row r="374" spans="4:54" ht="12.75" customHeight="1" x14ac:dyDescent="0.15">
      <c r="D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V374" s="88"/>
      <c r="AW374" s="88"/>
      <c r="AX374" s="88"/>
      <c r="AY374" s="88"/>
      <c r="AZ374" s="88"/>
      <c r="BA374" s="88"/>
      <c r="BB374" s="88"/>
    </row>
    <row r="375" spans="4:54" ht="12.75" customHeight="1" x14ac:dyDescent="0.15">
      <c r="D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V375" s="88"/>
      <c r="AW375" s="88"/>
      <c r="AX375" s="88"/>
      <c r="AY375" s="88"/>
      <c r="AZ375" s="88"/>
      <c r="BA375" s="88"/>
      <c r="BB375" s="88"/>
    </row>
    <row r="376" spans="4:54" ht="12.75" customHeight="1" x14ac:dyDescent="0.15">
      <c r="D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V376" s="88"/>
      <c r="AW376" s="88"/>
      <c r="AX376" s="88"/>
      <c r="AY376" s="88"/>
      <c r="AZ376" s="88"/>
      <c r="BA376" s="88"/>
      <c r="BB376" s="88"/>
    </row>
    <row r="377" spans="4:54" ht="12.75" customHeight="1" x14ac:dyDescent="0.15">
      <c r="D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V377" s="88"/>
      <c r="AW377" s="88"/>
      <c r="AX377" s="88"/>
      <c r="AY377" s="88"/>
      <c r="AZ377" s="88"/>
      <c r="BA377" s="88"/>
      <c r="BB377" s="88"/>
    </row>
    <row r="378" spans="4:54" ht="12.75" customHeight="1" x14ac:dyDescent="0.15">
      <c r="D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V378" s="88"/>
      <c r="AW378" s="88"/>
      <c r="AX378" s="88"/>
      <c r="AY378" s="88"/>
      <c r="AZ378" s="88"/>
      <c r="BA378" s="88"/>
      <c r="BB378" s="88"/>
    </row>
    <row r="379" spans="4:54" ht="12.75" customHeight="1" x14ac:dyDescent="0.15">
      <c r="D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V379" s="88"/>
      <c r="AW379" s="88"/>
      <c r="AX379" s="88"/>
      <c r="AY379" s="88"/>
      <c r="AZ379" s="88"/>
      <c r="BA379" s="88"/>
      <c r="BB379" s="88"/>
    </row>
    <row r="380" spans="4:54" ht="12.75" customHeight="1" x14ac:dyDescent="0.15">
      <c r="D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V380" s="88"/>
      <c r="AW380" s="88"/>
      <c r="AX380" s="88"/>
      <c r="AY380" s="88"/>
      <c r="AZ380" s="88"/>
      <c r="BA380" s="88"/>
      <c r="BB380" s="88"/>
    </row>
    <row r="381" spans="4:54" ht="12.75" customHeight="1" x14ac:dyDescent="0.15">
      <c r="D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V381" s="88"/>
      <c r="AW381" s="88"/>
      <c r="AX381" s="88"/>
      <c r="AY381" s="88"/>
      <c r="AZ381" s="88"/>
      <c r="BA381" s="88"/>
      <c r="BB381" s="88"/>
    </row>
    <row r="382" spans="4:54" ht="12.75" customHeight="1" x14ac:dyDescent="0.15">
      <c r="D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V382" s="88"/>
      <c r="AW382" s="88"/>
      <c r="AX382" s="88"/>
      <c r="AY382" s="88"/>
      <c r="AZ382" s="88"/>
      <c r="BA382" s="88"/>
      <c r="BB382" s="88"/>
    </row>
    <row r="383" spans="4:54" ht="12.75" customHeight="1" x14ac:dyDescent="0.15">
      <c r="D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V383" s="88"/>
      <c r="AW383" s="88"/>
      <c r="AX383" s="88"/>
      <c r="AY383" s="88"/>
      <c r="AZ383" s="88"/>
      <c r="BA383" s="88"/>
      <c r="BB383" s="88"/>
    </row>
    <row r="384" spans="4:54" ht="12.75" customHeight="1" x14ac:dyDescent="0.15">
      <c r="D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V384" s="88"/>
      <c r="AW384" s="88"/>
      <c r="AX384" s="88"/>
      <c r="AY384" s="88"/>
      <c r="AZ384" s="88"/>
      <c r="BA384" s="88"/>
      <c r="BB384" s="88"/>
    </row>
    <row r="385" spans="4:54" ht="12.75" customHeight="1" x14ac:dyDescent="0.15">
      <c r="D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V385" s="88"/>
      <c r="AW385" s="88"/>
      <c r="AX385" s="88"/>
      <c r="AY385" s="88"/>
      <c r="AZ385" s="88"/>
      <c r="BA385" s="88"/>
      <c r="BB385" s="88"/>
    </row>
    <row r="386" spans="4:54" ht="12.75" customHeight="1" x14ac:dyDescent="0.15">
      <c r="D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V386" s="88"/>
      <c r="AW386" s="88"/>
      <c r="AX386" s="88"/>
      <c r="AY386" s="88"/>
      <c r="AZ386" s="88"/>
      <c r="BA386" s="88"/>
      <c r="BB386" s="88"/>
    </row>
    <row r="387" spans="4:54" ht="12.75" customHeight="1" x14ac:dyDescent="0.15">
      <c r="D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V387" s="88"/>
      <c r="AW387" s="88"/>
      <c r="AX387" s="88"/>
      <c r="AY387" s="88"/>
      <c r="AZ387" s="88"/>
      <c r="BA387" s="88"/>
      <c r="BB387" s="88"/>
    </row>
    <row r="388" spans="4:54" ht="12.75" customHeight="1" x14ac:dyDescent="0.15">
      <c r="D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V388" s="88"/>
      <c r="AW388" s="88"/>
      <c r="AX388" s="88"/>
      <c r="AY388" s="88"/>
      <c r="AZ388" s="88"/>
      <c r="BA388" s="88"/>
      <c r="BB388" s="88"/>
    </row>
    <row r="389" spans="4:54" ht="12.75" customHeight="1" x14ac:dyDescent="0.15">
      <c r="D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V389" s="88"/>
      <c r="AW389" s="88"/>
      <c r="AX389" s="88"/>
      <c r="AY389" s="88"/>
      <c r="AZ389" s="88"/>
      <c r="BA389" s="88"/>
      <c r="BB389" s="88"/>
    </row>
    <row r="390" spans="4:54" ht="12.75" customHeight="1" x14ac:dyDescent="0.15">
      <c r="D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V390" s="88"/>
      <c r="AW390" s="88"/>
      <c r="AX390" s="88"/>
      <c r="AY390" s="88"/>
      <c r="AZ390" s="88"/>
      <c r="BA390" s="88"/>
      <c r="BB390" s="88"/>
    </row>
    <row r="391" spans="4:54" ht="12.75" customHeight="1" x14ac:dyDescent="0.15">
      <c r="D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V391" s="88"/>
      <c r="AW391" s="88"/>
      <c r="AX391" s="88"/>
      <c r="AY391" s="88"/>
      <c r="AZ391" s="88"/>
      <c r="BA391" s="88"/>
      <c r="BB391" s="88"/>
    </row>
    <row r="392" spans="4:54" ht="12.75" customHeight="1" x14ac:dyDescent="0.15">
      <c r="D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V392" s="88"/>
      <c r="AW392" s="88"/>
      <c r="AX392" s="88"/>
      <c r="AY392" s="88"/>
      <c r="AZ392" s="88"/>
      <c r="BA392" s="88"/>
      <c r="BB392" s="88"/>
    </row>
    <row r="393" spans="4:54" ht="12.75" customHeight="1" x14ac:dyDescent="0.15">
      <c r="D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V393" s="88"/>
      <c r="AW393" s="88"/>
      <c r="AX393" s="88"/>
      <c r="AY393" s="88"/>
      <c r="AZ393" s="88"/>
      <c r="BA393" s="88"/>
      <c r="BB393" s="88"/>
    </row>
    <row r="394" spans="4:54" ht="12.75" customHeight="1" x14ac:dyDescent="0.15">
      <c r="D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V394" s="88"/>
      <c r="AW394" s="88"/>
      <c r="AX394" s="88"/>
      <c r="AY394" s="88"/>
      <c r="AZ394" s="88"/>
      <c r="BA394" s="88"/>
      <c r="BB394" s="88"/>
    </row>
    <row r="395" spans="4:54" ht="12.75" customHeight="1" x14ac:dyDescent="0.15">
      <c r="D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V395" s="88"/>
      <c r="AW395" s="88"/>
      <c r="AX395" s="88"/>
      <c r="AY395" s="88"/>
      <c r="AZ395" s="88"/>
      <c r="BA395" s="88"/>
      <c r="BB395" s="88"/>
    </row>
    <row r="396" spans="4:54" ht="12.75" customHeight="1" x14ac:dyDescent="0.15">
      <c r="D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V396" s="88"/>
      <c r="AW396" s="88"/>
      <c r="AX396" s="88"/>
      <c r="AY396" s="88"/>
      <c r="AZ396" s="88"/>
      <c r="BA396" s="88"/>
      <c r="BB396" s="88"/>
    </row>
    <row r="397" spans="4:54" ht="12.75" customHeight="1" x14ac:dyDescent="0.15">
      <c r="D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V397" s="88"/>
      <c r="AW397" s="88"/>
      <c r="AX397" s="88"/>
      <c r="AY397" s="88"/>
      <c r="AZ397" s="88"/>
      <c r="BA397" s="88"/>
      <c r="BB397" s="88"/>
    </row>
    <row r="398" spans="4:54" ht="12.75" customHeight="1" x14ac:dyDescent="0.15">
      <c r="D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V398" s="88"/>
      <c r="AW398" s="88"/>
      <c r="AX398" s="88"/>
      <c r="AY398" s="88"/>
      <c r="AZ398" s="88"/>
      <c r="BA398" s="88"/>
      <c r="BB398" s="88"/>
    </row>
    <row r="399" spans="4:54" ht="12.75" customHeight="1" x14ac:dyDescent="0.15">
      <c r="D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V399" s="88"/>
      <c r="AW399" s="88"/>
      <c r="AX399" s="88"/>
      <c r="AY399" s="88"/>
      <c r="AZ399" s="88"/>
      <c r="BA399" s="88"/>
      <c r="BB399" s="88"/>
    </row>
    <row r="400" spans="4:54" ht="12.75" customHeight="1" x14ac:dyDescent="0.15">
      <c r="D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V400" s="88"/>
      <c r="AW400" s="88"/>
      <c r="AX400" s="88"/>
      <c r="AY400" s="88"/>
      <c r="AZ400" s="88"/>
      <c r="BA400" s="88"/>
      <c r="BB400" s="88"/>
    </row>
    <row r="401" spans="4:54" ht="12.75" customHeight="1" x14ac:dyDescent="0.15">
      <c r="D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V401" s="88"/>
      <c r="AW401" s="88"/>
      <c r="AX401" s="88"/>
      <c r="AY401" s="88"/>
      <c r="AZ401" s="88"/>
      <c r="BA401" s="88"/>
      <c r="BB401" s="88"/>
    </row>
    <row r="402" spans="4:54" ht="12.75" customHeight="1" x14ac:dyDescent="0.15">
      <c r="D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V402" s="88"/>
      <c r="AW402" s="88"/>
      <c r="AX402" s="88"/>
      <c r="AY402" s="88"/>
      <c r="AZ402" s="88"/>
      <c r="BA402" s="88"/>
      <c r="BB402" s="88"/>
    </row>
    <row r="403" spans="4:54" ht="12.75" customHeight="1" x14ac:dyDescent="0.15">
      <c r="D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V403" s="88"/>
      <c r="AW403" s="88"/>
      <c r="AX403" s="88"/>
      <c r="AY403" s="88"/>
      <c r="AZ403" s="88"/>
      <c r="BA403" s="88"/>
      <c r="BB403" s="88"/>
    </row>
    <row r="404" spans="4:54" ht="12.75" customHeight="1" x14ac:dyDescent="0.15">
      <c r="D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V404" s="88"/>
      <c r="AW404" s="88"/>
      <c r="AX404" s="88"/>
      <c r="AY404" s="88"/>
      <c r="AZ404" s="88"/>
      <c r="BA404" s="88"/>
      <c r="BB404" s="88"/>
    </row>
    <row r="405" spans="4:54" ht="12.75" customHeight="1" x14ac:dyDescent="0.15">
      <c r="D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V405" s="88"/>
      <c r="AW405" s="88"/>
      <c r="AX405" s="88"/>
      <c r="AY405" s="88"/>
      <c r="AZ405" s="88"/>
      <c r="BA405" s="88"/>
      <c r="BB405" s="88"/>
    </row>
    <row r="406" spans="4:54" ht="12.75" customHeight="1" x14ac:dyDescent="0.15">
      <c r="D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V406" s="88"/>
      <c r="AW406" s="88"/>
      <c r="AX406" s="88"/>
      <c r="AY406" s="88"/>
      <c r="AZ406" s="88"/>
      <c r="BA406" s="88"/>
      <c r="BB406" s="88"/>
    </row>
    <row r="407" spans="4:54" ht="12.75" customHeight="1" x14ac:dyDescent="0.15">
      <c r="D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V407" s="88"/>
      <c r="AW407" s="88"/>
      <c r="AX407" s="88"/>
      <c r="AY407" s="88"/>
      <c r="AZ407" s="88"/>
      <c r="BA407" s="88"/>
      <c r="BB407" s="88"/>
    </row>
    <row r="408" spans="4:54" ht="12.75" customHeight="1" x14ac:dyDescent="0.15">
      <c r="D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V408" s="88"/>
      <c r="AW408" s="88"/>
      <c r="AX408" s="88"/>
      <c r="AY408" s="88"/>
      <c r="AZ408" s="88"/>
      <c r="BA408" s="88"/>
      <c r="BB408" s="88"/>
    </row>
    <row r="409" spans="4:54" ht="12.75" customHeight="1" x14ac:dyDescent="0.15">
      <c r="D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V409" s="88"/>
      <c r="AW409" s="88"/>
      <c r="AX409" s="88"/>
      <c r="AY409" s="88"/>
      <c r="AZ409" s="88"/>
      <c r="BA409" s="88"/>
      <c r="BB409" s="88"/>
    </row>
    <row r="410" spans="4:54" ht="12.75" customHeight="1" x14ac:dyDescent="0.15">
      <c r="D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V410" s="88"/>
      <c r="AW410" s="88"/>
      <c r="AX410" s="88"/>
      <c r="AY410" s="88"/>
      <c r="AZ410" s="88"/>
      <c r="BA410" s="88"/>
      <c r="BB410" s="88"/>
    </row>
    <row r="411" spans="4:54" ht="12.75" customHeight="1" x14ac:dyDescent="0.15">
      <c r="D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V411" s="88"/>
      <c r="AW411" s="88"/>
      <c r="AX411" s="88"/>
      <c r="AY411" s="88"/>
      <c r="AZ411" s="88"/>
      <c r="BA411" s="88"/>
      <c r="BB411" s="88"/>
    </row>
    <row r="412" spans="4:54" ht="12.75" customHeight="1" x14ac:dyDescent="0.15">
      <c r="D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V412" s="88"/>
      <c r="AW412" s="88"/>
      <c r="AX412" s="88"/>
      <c r="AY412" s="88"/>
      <c r="AZ412" s="88"/>
      <c r="BA412" s="88"/>
      <c r="BB412" s="88"/>
    </row>
    <row r="413" spans="4:54" ht="12.75" customHeight="1" x14ac:dyDescent="0.15">
      <c r="D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V413" s="88"/>
      <c r="AW413" s="88"/>
      <c r="AX413" s="88"/>
      <c r="AY413" s="88"/>
      <c r="AZ413" s="88"/>
      <c r="BA413" s="88"/>
      <c r="BB413" s="88"/>
    </row>
    <row r="414" spans="4:54" ht="12.75" customHeight="1" x14ac:dyDescent="0.15">
      <c r="D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V414" s="88"/>
      <c r="AW414" s="88"/>
      <c r="AX414" s="88"/>
      <c r="AY414" s="88"/>
      <c r="AZ414" s="88"/>
      <c r="BA414" s="88"/>
      <c r="BB414" s="88"/>
    </row>
    <row r="415" spans="4:54" ht="12.75" customHeight="1" x14ac:dyDescent="0.15">
      <c r="D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V415" s="88"/>
      <c r="AW415" s="88"/>
      <c r="AX415" s="88"/>
      <c r="AY415" s="88"/>
      <c r="AZ415" s="88"/>
      <c r="BA415" s="88"/>
      <c r="BB415" s="88"/>
    </row>
    <row r="416" spans="4:54" ht="12.75" customHeight="1" x14ac:dyDescent="0.15">
      <c r="D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V416" s="88"/>
      <c r="AW416" s="88"/>
      <c r="AX416" s="88"/>
      <c r="AY416" s="88"/>
      <c r="AZ416" s="88"/>
      <c r="BA416" s="88"/>
      <c r="BB416" s="88"/>
    </row>
    <row r="417" spans="4:54" ht="12.75" customHeight="1" x14ac:dyDescent="0.15">
      <c r="D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V417" s="88"/>
      <c r="AW417" s="88"/>
      <c r="AX417" s="88"/>
      <c r="AY417" s="88"/>
      <c r="AZ417" s="88"/>
      <c r="BA417" s="88"/>
      <c r="BB417" s="88"/>
    </row>
    <row r="418" spans="4:54" ht="12.75" customHeight="1" x14ac:dyDescent="0.15">
      <c r="D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V418" s="88"/>
      <c r="AW418" s="88"/>
      <c r="AX418" s="88"/>
      <c r="AY418" s="88"/>
      <c r="AZ418" s="88"/>
      <c r="BA418" s="88"/>
      <c r="BB418" s="88"/>
    </row>
    <row r="419" spans="4:54" ht="12.75" customHeight="1" x14ac:dyDescent="0.15">
      <c r="D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V419" s="88"/>
      <c r="AW419" s="88"/>
      <c r="AX419" s="88"/>
      <c r="AY419" s="88"/>
      <c r="AZ419" s="88"/>
      <c r="BA419" s="88"/>
      <c r="BB419" s="88"/>
    </row>
    <row r="420" spans="4:54" ht="12.75" customHeight="1" x14ac:dyDescent="0.15">
      <c r="D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V420" s="88"/>
      <c r="AW420" s="88"/>
      <c r="AX420" s="88"/>
      <c r="AY420" s="88"/>
      <c r="AZ420" s="88"/>
      <c r="BA420" s="88"/>
      <c r="BB420" s="88"/>
    </row>
    <row r="421" spans="4:54" ht="12.75" customHeight="1" x14ac:dyDescent="0.15">
      <c r="D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V421" s="88"/>
      <c r="AW421" s="88"/>
      <c r="AX421" s="88"/>
      <c r="AY421" s="88"/>
      <c r="AZ421" s="88"/>
      <c r="BA421" s="88"/>
      <c r="BB421" s="88"/>
    </row>
    <row r="422" spans="4:54" ht="12.75" customHeight="1" x14ac:dyDescent="0.15">
      <c r="D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V422" s="88"/>
      <c r="AW422" s="88"/>
      <c r="AX422" s="88"/>
      <c r="AY422" s="88"/>
      <c r="AZ422" s="88"/>
      <c r="BA422" s="88"/>
      <c r="BB422" s="88"/>
    </row>
    <row r="423" spans="4:54" ht="12.75" customHeight="1" x14ac:dyDescent="0.15">
      <c r="D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V423" s="88"/>
      <c r="AW423" s="88"/>
      <c r="AX423" s="88"/>
      <c r="AY423" s="88"/>
      <c r="AZ423" s="88"/>
      <c r="BA423" s="88"/>
      <c r="BB423" s="88"/>
    </row>
    <row r="424" spans="4:54" ht="12.75" customHeight="1" x14ac:dyDescent="0.15">
      <c r="D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V424" s="88"/>
      <c r="AW424" s="88"/>
      <c r="AX424" s="88"/>
      <c r="AY424" s="88"/>
      <c r="AZ424" s="88"/>
      <c r="BA424" s="88"/>
      <c r="BB424" s="88"/>
    </row>
    <row r="425" spans="4:54" ht="12.75" customHeight="1" x14ac:dyDescent="0.15">
      <c r="D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V425" s="88"/>
      <c r="AW425" s="88"/>
      <c r="AX425" s="88"/>
      <c r="AY425" s="88"/>
      <c r="AZ425" s="88"/>
      <c r="BA425" s="88"/>
      <c r="BB425" s="88"/>
    </row>
    <row r="426" spans="4:54" ht="12.75" customHeight="1" x14ac:dyDescent="0.15">
      <c r="D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V426" s="88"/>
      <c r="AW426" s="88"/>
      <c r="AX426" s="88"/>
      <c r="AY426" s="88"/>
      <c r="AZ426" s="88"/>
      <c r="BA426" s="88"/>
      <c r="BB426" s="88"/>
    </row>
    <row r="427" spans="4:54" ht="12.75" customHeight="1" x14ac:dyDescent="0.15">
      <c r="D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V427" s="88"/>
      <c r="AW427" s="88"/>
      <c r="AX427" s="88"/>
      <c r="AY427" s="88"/>
      <c r="AZ427" s="88"/>
      <c r="BA427" s="88"/>
      <c r="BB427" s="88"/>
    </row>
    <row r="428" spans="4:54" ht="12.75" customHeight="1" x14ac:dyDescent="0.15">
      <c r="D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V428" s="88"/>
      <c r="AW428" s="88"/>
      <c r="AX428" s="88"/>
      <c r="AY428" s="88"/>
      <c r="AZ428" s="88"/>
      <c r="BA428" s="88"/>
      <c r="BB428" s="88"/>
    </row>
    <row r="429" spans="4:54" ht="12.75" customHeight="1" x14ac:dyDescent="0.15">
      <c r="D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V429" s="88"/>
      <c r="AW429" s="88"/>
      <c r="AX429" s="88"/>
      <c r="AY429" s="88"/>
      <c r="AZ429" s="88"/>
      <c r="BA429" s="88"/>
      <c r="BB429" s="88"/>
    </row>
    <row r="430" spans="4:54" ht="12.75" customHeight="1" x14ac:dyDescent="0.15">
      <c r="D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V430" s="88"/>
      <c r="AW430" s="88"/>
      <c r="AX430" s="88"/>
      <c r="AY430" s="88"/>
      <c r="AZ430" s="88"/>
      <c r="BA430" s="88"/>
      <c r="BB430" s="88"/>
    </row>
    <row r="431" spans="4:54" ht="12.75" customHeight="1" x14ac:dyDescent="0.15">
      <c r="D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V431" s="88"/>
      <c r="AW431" s="88"/>
      <c r="AX431" s="88"/>
      <c r="AY431" s="88"/>
      <c r="AZ431" s="88"/>
      <c r="BA431" s="88"/>
      <c r="BB431" s="88"/>
    </row>
    <row r="432" spans="4:54" ht="12.75" customHeight="1" x14ac:dyDescent="0.15">
      <c r="D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V432" s="88"/>
      <c r="AW432" s="88"/>
      <c r="AX432" s="88"/>
      <c r="AY432" s="88"/>
      <c r="AZ432" s="88"/>
      <c r="BA432" s="88"/>
      <c r="BB432" s="88"/>
    </row>
    <row r="433" spans="4:54" ht="12.75" customHeight="1" x14ac:dyDescent="0.15">
      <c r="D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V433" s="88"/>
      <c r="AW433" s="88"/>
      <c r="AX433" s="88"/>
      <c r="AY433" s="88"/>
      <c r="AZ433" s="88"/>
      <c r="BA433" s="88"/>
      <c r="BB433" s="88"/>
    </row>
    <row r="434" spans="4:54" ht="12.75" customHeight="1" x14ac:dyDescent="0.15">
      <c r="D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V434" s="88"/>
      <c r="AW434" s="88"/>
      <c r="AX434" s="88"/>
      <c r="AY434" s="88"/>
      <c r="AZ434" s="88"/>
      <c r="BA434" s="88"/>
      <c r="BB434" s="88"/>
    </row>
    <row r="435" spans="4:54" ht="12.75" customHeight="1" x14ac:dyDescent="0.15">
      <c r="D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V435" s="88"/>
      <c r="AW435" s="88"/>
      <c r="AX435" s="88"/>
      <c r="AY435" s="88"/>
      <c r="AZ435" s="88"/>
      <c r="BA435" s="88"/>
      <c r="BB435" s="88"/>
    </row>
    <row r="436" spans="4:54" ht="12.75" customHeight="1" x14ac:dyDescent="0.15">
      <c r="D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V436" s="88"/>
      <c r="AW436" s="88"/>
      <c r="AX436" s="88"/>
      <c r="AY436" s="88"/>
      <c r="AZ436" s="88"/>
      <c r="BA436" s="88"/>
      <c r="BB436" s="88"/>
    </row>
    <row r="437" spans="4:54" ht="12.75" customHeight="1" x14ac:dyDescent="0.15">
      <c r="D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V437" s="88"/>
      <c r="AW437" s="88"/>
      <c r="AX437" s="88"/>
      <c r="AY437" s="88"/>
      <c r="AZ437" s="88"/>
      <c r="BA437" s="88"/>
      <c r="BB437" s="88"/>
    </row>
    <row r="438" spans="4:54" ht="12.75" customHeight="1" x14ac:dyDescent="0.15">
      <c r="D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V438" s="88"/>
      <c r="AW438" s="88"/>
      <c r="AX438" s="88"/>
      <c r="AY438" s="88"/>
      <c r="AZ438" s="88"/>
      <c r="BA438" s="88"/>
      <c r="BB438" s="88"/>
    </row>
    <row r="439" spans="4:54" ht="12.75" customHeight="1" x14ac:dyDescent="0.15">
      <c r="D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V439" s="88"/>
      <c r="AW439" s="88"/>
      <c r="AX439" s="88"/>
      <c r="AY439" s="88"/>
      <c r="AZ439" s="88"/>
      <c r="BA439" s="88"/>
      <c r="BB439" s="88"/>
    </row>
    <row r="440" spans="4:54" ht="12.75" customHeight="1" x14ac:dyDescent="0.15">
      <c r="D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V440" s="88"/>
      <c r="AW440" s="88"/>
      <c r="AX440" s="88"/>
      <c r="AY440" s="88"/>
      <c r="AZ440" s="88"/>
      <c r="BA440" s="88"/>
      <c r="BB440" s="88"/>
    </row>
    <row r="441" spans="4:54" ht="12.75" customHeight="1" x14ac:dyDescent="0.15">
      <c r="D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V441" s="88"/>
      <c r="AW441" s="88"/>
      <c r="AX441" s="88"/>
      <c r="AY441" s="88"/>
      <c r="AZ441" s="88"/>
      <c r="BA441" s="88"/>
      <c r="BB441" s="88"/>
    </row>
    <row r="442" spans="4:54" ht="12.75" customHeight="1" x14ac:dyDescent="0.15">
      <c r="D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V442" s="88"/>
      <c r="AW442" s="88"/>
      <c r="AX442" s="88"/>
      <c r="AY442" s="88"/>
      <c r="AZ442" s="88"/>
      <c r="BA442" s="88"/>
      <c r="BB442" s="88"/>
    </row>
    <row r="443" spans="4:54" ht="12.75" customHeight="1" x14ac:dyDescent="0.15">
      <c r="D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V443" s="88"/>
      <c r="AW443" s="88"/>
      <c r="AX443" s="88"/>
      <c r="AY443" s="88"/>
      <c r="AZ443" s="88"/>
      <c r="BA443" s="88"/>
      <c r="BB443" s="88"/>
    </row>
    <row r="444" spans="4:54" ht="12.75" customHeight="1" x14ac:dyDescent="0.15">
      <c r="D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V444" s="88"/>
      <c r="AW444" s="88"/>
      <c r="AX444" s="88"/>
      <c r="AY444" s="88"/>
      <c r="AZ444" s="88"/>
      <c r="BA444" s="88"/>
      <c r="BB444" s="88"/>
    </row>
    <row r="445" spans="4:54" ht="12.75" customHeight="1" x14ac:dyDescent="0.15">
      <c r="D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V445" s="88"/>
      <c r="AW445" s="88"/>
      <c r="AX445" s="88"/>
      <c r="AY445" s="88"/>
      <c r="AZ445" s="88"/>
      <c r="BA445" s="88"/>
      <c r="BB445" s="88"/>
    </row>
    <row r="446" spans="4:54" ht="12.75" customHeight="1" x14ac:dyDescent="0.15">
      <c r="D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V446" s="88"/>
      <c r="AW446" s="88"/>
      <c r="AX446" s="88"/>
      <c r="AY446" s="88"/>
      <c r="AZ446" s="88"/>
      <c r="BA446" s="88"/>
      <c r="BB446" s="88"/>
    </row>
    <row r="447" spans="4:54" ht="12.75" customHeight="1" x14ac:dyDescent="0.15">
      <c r="D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V447" s="88"/>
      <c r="AW447" s="88"/>
      <c r="AX447" s="88"/>
      <c r="AY447" s="88"/>
      <c r="AZ447" s="88"/>
      <c r="BA447" s="88"/>
      <c r="BB447" s="88"/>
    </row>
    <row r="448" spans="4:54" ht="12.75" customHeight="1" x14ac:dyDescent="0.15">
      <c r="D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V448" s="88"/>
      <c r="AW448" s="88"/>
      <c r="AX448" s="88"/>
      <c r="AY448" s="88"/>
      <c r="AZ448" s="88"/>
      <c r="BA448" s="88"/>
      <c r="BB448" s="88"/>
    </row>
    <row r="449" spans="4:54" ht="12.75" customHeight="1" x14ac:dyDescent="0.15">
      <c r="D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V449" s="88"/>
      <c r="AW449" s="88"/>
      <c r="AX449" s="88"/>
      <c r="AY449" s="88"/>
      <c r="AZ449" s="88"/>
      <c r="BA449" s="88"/>
      <c r="BB449" s="88"/>
    </row>
    <row r="450" spans="4:54" ht="12.75" customHeight="1" x14ac:dyDescent="0.15">
      <c r="D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V450" s="88"/>
      <c r="AW450" s="88"/>
      <c r="AX450" s="88"/>
      <c r="AY450" s="88"/>
      <c r="AZ450" s="88"/>
      <c r="BA450" s="88"/>
      <c r="BB450" s="88"/>
    </row>
    <row r="451" spans="4:54" ht="12.75" customHeight="1" x14ac:dyDescent="0.15">
      <c r="D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V451" s="88"/>
      <c r="AW451" s="88"/>
      <c r="AX451" s="88"/>
      <c r="AY451" s="88"/>
      <c r="AZ451" s="88"/>
      <c r="BA451" s="88"/>
      <c r="BB451" s="88"/>
    </row>
    <row r="452" spans="4:54" ht="12.75" customHeight="1" x14ac:dyDescent="0.15">
      <c r="D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V452" s="88"/>
      <c r="AW452" s="88"/>
      <c r="AX452" s="88"/>
      <c r="AY452" s="88"/>
      <c r="AZ452" s="88"/>
      <c r="BA452" s="88"/>
      <c r="BB452" s="88"/>
    </row>
    <row r="453" spans="4:54" ht="12.75" customHeight="1" x14ac:dyDescent="0.15">
      <c r="D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V453" s="88"/>
      <c r="AW453" s="88"/>
      <c r="AX453" s="88"/>
      <c r="AY453" s="88"/>
      <c r="AZ453" s="88"/>
      <c r="BA453" s="88"/>
      <c r="BB453" s="88"/>
    </row>
    <row r="454" spans="4:54" ht="12.75" customHeight="1" x14ac:dyDescent="0.15">
      <c r="D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V454" s="88"/>
      <c r="AW454" s="88"/>
      <c r="AX454" s="88"/>
      <c r="AY454" s="88"/>
      <c r="AZ454" s="88"/>
      <c r="BA454" s="88"/>
      <c r="BB454" s="88"/>
    </row>
    <row r="455" spans="4:54" ht="12.75" customHeight="1" x14ac:dyDescent="0.15">
      <c r="D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V455" s="88"/>
      <c r="AW455" s="88"/>
      <c r="AX455" s="88"/>
      <c r="AY455" s="88"/>
      <c r="AZ455" s="88"/>
      <c r="BA455" s="88"/>
      <c r="BB455" s="88"/>
    </row>
    <row r="456" spans="4:54" ht="12.75" customHeight="1" x14ac:dyDescent="0.15">
      <c r="D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V456" s="88"/>
      <c r="AW456" s="88"/>
      <c r="AX456" s="88"/>
      <c r="AY456" s="88"/>
      <c r="AZ456" s="88"/>
      <c r="BA456" s="88"/>
      <c r="BB456" s="88"/>
    </row>
    <row r="457" spans="4:54" ht="12.75" customHeight="1" x14ac:dyDescent="0.15">
      <c r="D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V457" s="88"/>
      <c r="AW457" s="88"/>
      <c r="AX457" s="88"/>
      <c r="AY457" s="88"/>
      <c r="AZ457" s="88"/>
      <c r="BA457" s="88"/>
      <c r="BB457" s="88"/>
    </row>
    <row r="458" spans="4:54" ht="12.75" customHeight="1" x14ac:dyDescent="0.15">
      <c r="D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V458" s="88"/>
      <c r="AW458" s="88"/>
      <c r="AX458" s="88"/>
      <c r="AY458" s="88"/>
      <c r="AZ458" s="88"/>
      <c r="BA458" s="88"/>
      <c r="BB458" s="88"/>
    </row>
    <row r="459" spans="4:54" ht="12.75" customHeight="1" x14ac:dyDescent="0.15">
      <c r="D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V459" s="88"/>
      <c r="AW459" s="88"/>
      <c r="AX459" s="88"/>
      <c r="AY459" s="88"/>
      <c r="AZ459" s="88"/>
      <c r="BA459" s="88"/>
      <c r="BB459" s="88"/>
    </row>
    <row r="460" spans="4:54" ht="12.75" customHeight="1" x14ac:dyDescent="0.15">
      <c r="D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V460" s="88"/>
      <c r="AW460" s="88"/>
      <c r="AX460" s="88"/>
      <c r="AY460" s="88"/>
      <c r="AZ460" s="88"/>
      <c r="BA460" s="88"/>
      <c r="BB460" s="88"/>
    </row>
    <row r="461" spans="4:54" ht="12.75" customHeight="1" x14ac:dyDescent="0.15">
      <c r="D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V461" s="88"/>
      <c r="AW461" s="88"/>
      <c r="AX461" s="88"/>
      <c r="AY461" s="88"/>
      <c r="AZ461" s="88"/>
      <c r="BA461" s="88"/>
      <c r="BB461" s="88"/>
    </row>
    <row r="462" spans="4:54" ht="12.75" customHeight="1" x14ac:dyDescent="0.15">
      <c r="D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V462" s="88"/>
      <c r="AW462" s="88"/>
      <c r="AX462" s="88"/>
      <c r="AY462" s="88"/>
      <c r="AZ462" s="88"/>
      <c r="BA462" s="88"/>
      <c r="BB462" s="88"/>
    </row>
    <row r="463" spans="4:54" ht="12.75" customHeight="1" x14ac:dyDescent="0.15">
      <c r="D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V463" s="88"/>
      <c r="AW463" s="88"/>
      <c r="AX463" s="88"/>
      <c r="AY463" s="88"/>
      <c r="AZ463" s="88"/>
      <c r="BA463" s="88"/>
      <c r="BB463" s="88"/>
    </row>
    <row r="464" spans="4:54" ht="12.75" customHeight="1" x14ac:dyDescent="0.15">
      <c r="D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V464" s="88"/>
      <c r="AW464" s="88"/>
      <c r="AX464" s="88"/>
      <c r="AY464" s="88"/>
      <c r="AZ464" s="88"/>
      <c r="BA464" s="88"/>
      <c r="BB464" s="88"/>
    </row>
    <row r="465" spans="4:54" ht="12.75" customHeight="1" x14ac:dyDescent="0.15">
      <c r="D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V465" s="88"/>
      <c r="AW465" s="88"/>
      <c r="AX465" s="88"/>
      <c r="AY465" s="88"/>
      <c r="AZ465" s="88"/>
      <c r="BA465" s="88"/>
      <c r="BB465" s="88"/>
    </row>
    <row r="466" spans="4:54" ht="12.75" customHeight="1" x14ac:dyDescent="0.15">
      <c r="D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V466" s="88"/>
      <c r="AW466" s="88"/>
      <c r="AX466" s="88"/>
      <c r="AY466" s="88"/>
      <c r="AZ466" s="88"/>
      <c r="BA466" s="88"/>
      <c r="BB466" s="88"/>
    </row>
    <row r="467" spans="4:54" ht="12.75" customHeight="1" x14ac:dyDescent="0.15">
      <c r="D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V467" s="88"/>
      <c r="AW467" s="88"/>
      <c r="AX467" s="88"/>
      <c r="AY467" s="88"/>
      <c r="AZ467" s="88"/>
      <c r="BA467" s="88"/>
      <c r="BB467" s="88"/>
    </row>
    <row r="468" spans="4:54" ht="12.75" customHeight="1" x14ac:dyDescent="0.15">
      <c r="D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V468" s="88"/>
      <c r="AW468" s="88"/>
      <c r="AX468" s="88"/>
      <c r="AY468" s="88"/>
      <c r="AZ468" s="88"/>
      <c r="BA468" s="88"/>
      <c r="BB468" s="88"/>
    </row>
    <row r="469" spans="4:54" ht="12.75" customHeight="1" x14ac:dyDescent="0.15">
      <c r="D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V469" s="88"/>
      <c r="AW469" s="88"/>
      <c r="AX469" s="88"/>
      <c r="AY469" s="88"/>
      <c r="AZ469" s="88"/>
      <c r="BA469" s="88"/>
      <c r="BB469" s="88"/>
    </row>
    <row r="470" spans="4:54" ht="12.75" customHeight="1" x14ac:dyDescent="0.15">
      <c r="D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V470" s="88"/>
      <c r="AW470" s="88"/>
      <c r="AX470" s="88"/>
      <c r="AY470" s="88"/>
      <c r="AZ470" s="88"/>
      <c r="BA470" s="88"/>
      <c r="BB470" s="88"/>
    </row>
    <row r="471" spans="4:54" ht="12.75" customHeight="1" x14ac:dyDescent="0.15">
      <c r="D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V471" s="88"/>
      <c r="AW471" s="88"/>
      <c r="AX471" s="88"/>
      <c r="AY471" s="88"/>
      <c r="AZ471" s="88"/>
      <c r="BA471" s="88"/>
      <c r="BB471" s="88"/>
    </row>
    <row r="472" spans="4:54" ht="12.75" customHeight="1" x14ac:dyDescent="0.15">
      <c r="D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V472" s="88"/>
      <c r="AW472" s="88"/>
      <c r="AX472" s="88"/>
      <c r="AY472" s="88"/>
      <c r="AZ472" s="88"/>
      <c r="BA472" s="88"/>
      <c r="BB472" s="88"/>
    </row>
    <row r="473" spans="4:54" ht="12.75" customHeight="1" x14ac:dyDescent="0.15">
      <c r="D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V473" s="88"/>
      <c r="AW473" s="88"/>
      <c r="AX473" s="88"/>
      <c r="AY473" s="88"/>
      <c r="AZ473" s="88"/>
      <c r="BA473" s="88"/>
      <c r="BB473" s="88"/>
    </row>
    <row r="474" spans="4:54" ht="12.75" customHeight="1" x14ac:dyDescent="0.15">
      <c r="D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V474" s="88"/>
      <c r="AW474" s="88"/>
      <c r="AX474" s="88"/>
      <c r="AY474" s="88"/>
      <c r="AZ474" s="88"/>
      <c r="BA474" s="88"/>
      <c r="BB474" s="88"/>
    </row>
    <row r="475" spans="4:54" ht="12.75" customHeight="1" x14ac:dyDescent="0.15">
      <c r="D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V475" s="88"/>
      <c r="AW475" s="88"/>
      <c r="AX475" s="88"/>
      <c r="AY475" s="88"/>
      <c r="AZ475" s="88"/>
      <c r="BA475" s="88"/>
      <c r="BB475" s="88"/>
    </row>
    <row r="476" spans="4:54" ht="12.75" customHeight="1" x14ac:dyDescent="0.15">
      <c r="D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V476" s="88"/>
      <c r="AW476" s="88"/>
      <c r="AX476" s="88"/>
      <c r="AY476" s="88"/>
      <c r="AZ476" s="88"/>
      <c r="BA476" s="88"/>
      <c r="BB476" s="88"/>
    </row>
    <row r="477" spans="4:54" ht="12.75" customHeight="1" x14ac:dyDescent="0.15">
      <c r="D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V477" s="88"/>
      <c r="AW477" s="88"/>
      <c r="AX477" s="88"/>
      <c r="AY477" s="88"/>
      <c r="AZ477" s="88"/>
      <c r="BA477" s="88"/>
      <c r="BB477" s="88"/>
    </row>
    <row r="478" spans="4:54" ht="12.75" customHeight="1" x14ac:dyDescent="0.15">
      <c r="D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V478" s="88"/>
      <c r="AW478" s="88"/>
      <c r="AX478" s="88"/>
      <c r="AY478" s="88"/>
      <c r="AZ478" s="88"/>
      <c r="BA478" s="88"/>
      <c r="BB478" s="88"/>
    </row>
    <row r="479" spans="4:54" ht="12.75" customHeight="1" x14ac:dyDescent="0.15">
      <c r="D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V479" s="88"/>
      <c r="AW479" s="88"/>
      <c r="AX479" s="88"/>
      <c r="AY479" s="88"/>
      <c r="AZ479" s="88"/>
      <c r="BA479" s="88"/>
      <c r="BB479" s="88"/>
    </row>
    <row r="480" spans="4:54" ht="12.75" customHeight="1" x14ac:dyDescent="0.15">
      <c r="D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V480" s="88"/>
      <c r="AW480" s="88"/>
      <c r="AX480" s="88"/>
      <c r="AY480" s="88"/>
      <c r="AZ480" s="88"/>
      <c r="BA480" s="88"/>
      <c r="BB480" s="88"/>
    </row>
    <row r="481" spans="4:54" ht="12.75" customHeight="1" x14ac:dyDescent="0.15">
      <c r="D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V481" s="88"/>
      <c r="AW481" s="88"/>
      <c r="AX481" s="88"/>
      <c r="AY481" s="88"/>
      <c r="AZ481" s="88"/>
      <c r="BA481" s="88"/>
      <c r="BB481" s="88"/>
    </row>
    <row r="482" spans="4:54" ht="12.75" customHeight="1" x14ac:dyDescent="0.15">
      <c r="D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V482" s="88"/>
      <c r="AW482" s="88"/>
      <c r="AX482" s="88"/>
      <c r="AY482" s="88"/>
      <c r="AZ482" s="88"/>
      <c r="BA482" s="88"/>
      <c r="BB482" s="88"/>
    </row>
    <row r="483" spans="4:54" ht="12.75" customHeight="1" x14ac:dyDescent="0.15">
      <c r="D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V483" s="88"/>
      <c r="AW483" s="88"/>
      <c r="AX483" s="88"/>
      <c r="AY483" s="88"/>
      <c r="AZ483" s="88"/>
      <c r="BA483" s="88"/>
      <c r="BB483" s="88"/>
    </row>
    <row r="484" spans="4:54" ht="12.75" customHeight="1" x14ac:dyDescent="0.15">
      <c r="D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V484" s="88"/>
      <c r="AW484" s="88"/>
      <c r="AX484" s="88"/>
      <c r="AY484" s="88"/>
      <c r="AZ484" s="88"/>
      <c r="BA484" s="88"/>
      <c r="BB484" s="88"/>
    </row>
    <row r="485" spans="4:54" ht="12.75" customHeight="1" x14ac:dyDescent="0.15">
      <c r="D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V485" s="88"/>
      <c r="AW485" s="88"/>
      <c r="AX485" s="88"/>
      <c r="AY485" s="88"/>
      <c r="AZ485" s="88"/>
      <c r="BA485" s="88"/>
      <c r="BB485" s="88"/>
    </row>
    <row r="486" spans="4:54" ht="12.75" customHeight="1" x14ac:dyDescent="0.15">
      <c r="D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V486" s="88"/>
      <c r="AW486" s="88"/>
      <c r="AX486" s="88"/>
      <c r="AY486" s="88"/>
      <c r="AZ486" s="88"/>
      <c r="BA486" s="88"/>
      <c r="BB486" s="88"/>
    </row>
    <row r="487" spans="4:54" ht="12.75" customHeight="1" x14ac:dyDescent="0.15">
      <c r="D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V487" s="88"/>
      <c r="AW487" s="88"/>
      <c r="AX487" s="88"/>
      <c r="AY487" s="88"/>
      <c r="AZ487" s="88"/>
      <c r="BA487" s="88"/>
      <c r="BB487" s="88"/>
    </row>
    <row r="488" spans="4:54" ht="12.75" customHeight="1" x14ac:dyDescent="0.15">
      <c r="D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V488" s="88"/>
      <c r="AW488" s="88"/>
      <c r="AX488" s="88"/>
      <c r="AY488" s="88"/>
      <c r="AZ488" s="88"/>
      <c r="BA488" s="88"/>
      <c r="BB488" s="88"/>
    </row>
    <row r="489" spans="4:54" ht="12.75" customHeight="1" x14ac:dyDescent="0.15">
      <c r="D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V489" s="88"/>
      <c r="AW489" s="88"/>
      <c r="AX489" s="88"/>
      <c r="AY489" s="88"/>
      <c r="AZ489" s="88"/>
      <c r="BA489" s="88"/>
      <c r="BB489" s="88"/>
    </row>
    <row r="490" spans="4:54" ht="12.75" customHeight="1" x14ac:dyDescent="0.15">
      <c r="D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V490" s="88"/>
      <c r="AW490" s="88"/>
      <c r="AX490" s="88"/>
      <c r="AY490" s="88"/>
      <c r="AZ490" s="88"/>
      <c r="BA490" s="88"/>
      <c r="BB490" s="88"/>
    </row>
    <row r="491" spans="4:54" ht="12.75" customHeight="1" x14ac:dyDescent="0.15">
      <c r="D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V491" s="88"/>
      <c r="AW491" s="88"/>
      <c r="AX491" s="88"/>
      <c r="AY491" s="88"/>
      <c r="AZ491" s="88"/>
      <c r="BA491" s="88"/>
      <c r="BB491" s="88"/>
    </row>
    <row r="492" spans="4:54" ht="12.75" customHeight="1" x14ac:dyDescent="0.15">
      <c r="D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V492" s="88"/>
      <c r="AW492" s="88"/>
      <c r="AX492" s="88"/>
      <c r="AY492" s="88"/>
      <c r="AZ492" s="88"/>
      <c r="BA492" s="88"/>
      <c r="BB492" s="88"/>
    </row>
    <row r="493" spans="4:54" ht="12.75" customHeight="1" x14ac:dyDescent="0.15">
      <c r="D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V493" s="88"/>
      <c r="AW493" s="88"/>
      <c r="AX493" s="88"/>
      <c r="AY493" s="88"/>
      <c r="AZ493" s="88"/>
      <c r="BA493" s="88"/>
      <c r="BB493" s="88"/>
    </row>
    <row r="494" spans="4:54" ht="12.75" customHeight="1" x14ac:dyDescent="0.15">
      <c r="D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V494" s="88"/>
      <c r="AW494" s="88"/>
      <c r="AX494" s="88"/>
      <c r="AY494" s="88"/>
      <c r="AZ494" s="88"/>
      <c r="BA494" s="88"/>
      <c r="BB494" s="88"/>
    </row>
    <row r="495" spans="4:54" ht="12.75" customHeight="1" x14ac:dyDescent="0.15">
      <c r="D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V495" s="88"/>
      <c r="AW495" s="88"/>
      <c r="AX495" s="88"/>
      <c r="AY495" s="88"/>
      <c r="AZ495" s="88"/>
      <c r="BA495" s="88"/>
      <c r="BB495" s="88"/>
    </row>
    <row r="496" spans="4:54" ht="12.75" customHeight="1" x14ac:dyDescent="0.15">
      <c r="D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V496" s="88"/>
      <c r="AW496" s="88"/>
      <c r="AX496" s="88"/>
      <c r="AY496" s="88"/>
      <c r="AZ496" s="88"/>
      <c r="BA496" s="88"/>
      <c r="BB496" s="88"/>
    </row>
    <row r="497" spans="4:54" ht="12.75" customHeight="1" x14ac:dyDescent="0.15">
      <c r="D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V497" s="88"/>
      <c r="AW497" s="88"/>
      <c r="AX497" s="88"/>
      <c r="AY497" s="88"/>
      <c r="AZ497" s="88"/>
      <c r="BA497" s="88"/>
      <c r="BB497" s="88"/>
    </row>
    <row r="498" spans="4:54" ht="12.75" customHeight="1" x14ac:dyDescent="0.15">
      <c r="D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V498" s="88"/>
      <c r="AW498" s="88"/>
      <c r="AX498" s="88"/>
      <c r="AY498" s="88"/>
      <c r="AZ498" s="88"/>
      <c r="BA498" s="88"/>
      <c r="BB498" s="88"/>
    </row>
    <row r="499" spans="4:54" ht="12.75" customHeight="1" x14ac:dyDescent="0.15">
      <c r="D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V499" s="88"/>
      <c r="AW499" s="88"/>
      <c r="AX499" s="88"/>
      <c r="AY499" s="88"/>
      <c r="AZ499" s="88"/>
      <c r="BA499" s="88"/>
      <c r="BB499" s="88"/>
    </row>
    <row r="500" spans="4:54" ht="12.75" customHeight="1" x14ac:dyDescent="0.15">
      <c r="D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V500" s="88"/>
      <c r="AW500" s="88"/>
      <c r="AX500" s="88"/>
      <c r="AY500" s="88"/>
      <c r="AZ500" s="88"/>
      <c r="BA500" s="88"/>
      <c r="BB500" s="88"/>
    </row>
    <row r="501" spans="4:54" ht="12.75" customHeight="1" x14ac:dyDescent="0.15">
      <c r="D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V501" s="88"/>
      <c r="AW501" s="88"/>
      <c r="AX501" s="88"/>
      <c r="AY501" s="88"/>
      <c r="AZ501" s="88"/>
      <c r="BA501" s="88"/>
      <c r="BB501" s="88"/>
    </row>
    <row r="502" spans="4:54" ht="12.75" customHeight="1" x14ac:dyDescent="0.15">
      <c r="D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V502" s="88"/>
      <c r="AW502" s="88"/>
      <c r="AX502" s="88"/>
      <c r="AY502" s="88"/>
      <c r="AZ502" s="88"/>
      <c r="BA502" s="88"/>
      <c r="BB502" s="88"/>
    </row>
    <row r="503" spans="4:54" ht="12.75" customHeight="1" x14ac:dyDescent="0.15">
      <c r="D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V503" s="88"/>
      <c r="AW503" s="88"/>
      <c r="AX503" s="88"/>
      <c r="AY503" s="88"/>
      <c r="AZ503" s="88"/>
      <c r="BA503" s="88"/>
      <c r="BB503" s="88"/>
    </row>
    <row r="504" spans="4:54" ht="12.75" customHeight="1" x14ac:dyDescent="0.15">
      <c r="D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V504" s="88"/>
      <c r="AW504" s="88"/>
      <c r="AX504" s="88"/>
      <c r="AY504" s="88"/>
      <c r="AZ504" s="88"/>
      <c r="BA504" s="88"/>
      <c r="BB504" s="88"/>
    </row>
    <row r="505" spans="4:54" ht="12.75" customHeight="1" x14ac:dyDescent="0.15">
      <c r="D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V505" s="88"/>
      <c r="AW505" s="88"/>
      <c r="AX505" s="88"/>
      <c r="AY505" s="88"/>
      <c r="AZ505" s="88"/>
      <c r="BA505" s="88"/>
      <c r="BB505" s="88"/>
    </row>
    <row r="506" spans="4:54" ht="12.75" customHeight="1" x14ac:dyDescent="0.15">
      <c r="D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V506" s="88"/>
      <c r="AW506" s="88"/>
      <c r="AX506" s="88"/>
      <c r="AY506" s="88"/>
      <c r="AZ506" s="88"/>
      <c r="BA506" s="88"/>
      <c r="BB506" s="88"/>
    </row>
    <row r="507" spans="4:54" ht="12.75" customHeight="1" x14ac:dyDescent="0.15">
      <c r="D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V507" s="88"/>
      <c r="AW507" s="88"/>
      <c r="AX507" s="88"/>
      <c r="AY507" s="88"/>
      <c r="AZ507" s="88"/>
      <c r="BA507" s="88"/>
      <c r="BB507" s="88"/>
    </row>
    <row r="508" spans="4:54" ht="12.75" customHeight="1" x14ac:dyDescent="0.15">
      <c r="D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V508" s="88"/>
      <c r="AW508" s="88"/>
      <c r="AX508" s="88"/>
      <c r="AY508" s="88"/>
      <c r="AZ508" s="88"/>
      <c r="BA508" s="88"/>
      <c r="BB508" s="88"/>
    </row>
    <row r="509" spans="4:54" ht="12.75" customHeight="1" x14ac:dyDescent="0.15">
      <c r="D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V509" s="88"/>
      <c r="AW509" s="88"/>
      <c r="AX509" s="88"/>
      <c r="AY509" s="88"/>
      <c r="AZ509" s="88"/>
      <c r="BA509" s="88"/>
      <c r="BB509" s="88"/>
    </row>
    <row r="510" spans="4:54" ht="12.75" customHeight="1" x14ac:dyDescent="0.15">
      <c r="D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V510" s="88"/>
      <c r="AW510" s="88"/>
      <c r="AX510" s="88"/>
      <c r="AY510" s="88"/>
      <c r="AZ510" s="88"/>
      <c r="BA510" s="88"/>
      <c r="BB510" s="88"/>
    </row>
    <row r="511" spans="4:54" ht="12.75" customHeight="1" x14ac:dyDescent="0.15">
      <c r="D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V511" s="88"/>
      <c r="AW511" s="88"/>
      <c r="AX511" s="88"/>
      <c r="AY511" s="88"/>
      <c r="AZ511" s="88"/>
      <c r="BA511" s="88"/>
      <c r="BB511" s="88"/>
    </row>
    <row r="512" spans="4:54" ht="12.75" customHeight="1" x14ac:dyDescent="0.15">
      <c r="D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V512" s="88"/>
      <c r="AW512" s="88"/>
      <c r="AX512" s="88"/>
      <c r="AY512" s="88"/>
      <c r="AZ512" s="88"/>
      <c r="BA512" s="88"/>
      <c r="BB512" s="88"/>
    </row>
    <row r="513" spans="4:54" ht="12.75" customHeight="1" x14ac:dyDescent="0.15">
      <c r="D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V513" s="88"/>
      <c r="AW513" s="88"/>
      <c r="AX513" s="88"/>
      <c r="AY513" s="88"/>
      <c r="AZ513" s="88"/>
      <c r="BA513" s="88"/>
      <c r="BB513" s="88"/>
    </row>
    <row r="514" spans="4:54" ht="12.75" customHeight="1" x14ac:dyDescent="0.15">
      <c r="D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V514" s="88"/>
      <c r="AW514" s="88"/>
      <c r="AX514" s="88"/>
      <c r="AY514" s="88"/>
      <c r="AZ514" s="88"/>
      <c r="BA514" s="88"/>
      <c r="BB514" s="88"/>
    </row>
    <row r="515" spans="4:54" ht="12.75" customHeight="1" x14ac:dyDescent="0.15">
      <c r="D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V515" s="88"/>
      <c r="AW515" s="88"/>
      <c r="AX515" s="88"/>
      <c r="AY515" s="88"/>
      <c r="AZ515" s="88"/>
      <c r="BA515" s="88"/>
      <c r="BB515" s="88"/>
    </row>
    <row r="516" spans="4:54" ht="12.75" customHeight="1" x14ac:dyDescent="0.15">
      <c r="D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V516" s="88"/>
      <c r="AW516" s="88"/>
      <c r="AX516" s="88"/>
      <c r="AY516" s="88"/>
      <c r="AZ516" s="88"/>
      <c r="BA516" s="88"/>
      <c r="BB516" s="88"/>
    </row>
    <row r="517" spans="4:54" ht="12.75" customHeight="1" x14ac:dyDescent="0.15">
      <c r="D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V517" s="88"/>
      <c r="AW517" s="88"/>
      <c r="AX517" s="88"/>
      <c r="AY517" s="88"/>
      <c r="AZ517" s="88"/>
      <c r="BA517" s="88"/>
      <c r="BB517" s="88"/>
    </row>
    <row r="518" spans="4:54" ht="12.75" customHeight="1" x14ac:dyDescent="0.15">
      <c r="D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V518" s="88"/>
      <c r="AW518" s="88"/>
      <c r="AX518" s="88"/>
      <c r="AY518" s="88"/>
      <c r="AZ518" s="88"/>
      <c r="BA518" s="88"/>
      <c r="BB518" s="88"/>
    </row>
    <row r="519" spans="4:54" ht="12.75" customHeight="1" x14ac:dyDescent="0.15">
      <c r="D519" s="88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V519" s="88"/>
      <c r="AW519" s="88"/>
      <c r="AX519" s="88"/>
      <c r="AY519" s="88"/>
      <c r="AZ519" s="88"/>
      <c r="BA519" s="88"/>
      <c r="BB519" s="88"/>
    </row>
    <row r="520" spans="4:54" ht="12.75" customHeight="1" x14ac:dyDescent="0.15">
      <c r="D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V520" s="88"/>
      <c r="AW520" s="88"/>
      <c r="AX520" s="88"/>
      <c r="AY520" s="88"/>
      <c r="AZ520" s="88"/>
      <c r="BA520" s="88"/>
      <c r="BB520" s="88"/>
    </row>
    <row r="521" spans="4:54" ht="12.75" customHeight="1" x14ac:dyDescent="0.15">
      <c r="D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V521" s="88"/>
      <c r="AW521" s="88"/>
      <c r="AX521" s="88"/>
      <c r="AY521" s="88"/>
      <c r="AZ521" s="88"/>
      <c r="BA521" s="88"/>
      <c r="BB521" s="88"/>
    </row>
    <row r="522" spans="4:54" ht="12.75" customHeight="1" x14ac:dyDescent="0.15">
      <c r="D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V522" s="88"/>
      <c r="AW522" s="88"/>
      <c r="AX522" s="88"/>
      <c r="AY522" s="88"/>
      <c r="AZ522" s="88"/>
      <c r="BA522" s="88"/>
      <c r="BB522" s="88"/>
    </row>
    <row r="523" spans="4:54" ht="12.75" customHeight="1" x14ac:dyDescent="0.15">
      <c r="D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V523" s="88"/>
      <c r="AW523" s="88"/>
      <c r="AX523" s="88"/>
      <c r="AY523" s="88"/>
      <c r="AZ523" s="88"/>
      <c r="BA523" s="88"/>
      <c r="BB523" s="88"/>
    </row>
    <row r="524" spans="4:54" ht="12.75" customHeight="1" x14ac:dyDescent="0.15">
      <c r="D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V524" s="88"/>
      <c r="AW524" s="88"/>
      <c r="AX524" s="88"/>
      <c r="AY524" s="88"/>
      <c r="AZ524" s="88"/>
      <c r="BA524" s="88"/>
      <c r="BB524" s="88"/>
    </row>
    <row r="525" spans="4:54" ht="12.75" customHeight="1" x14ac:dyDescent="0.15">
      <c r="D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V525" s="88"/>
      <c r="AW525" s="88"/>
      <c r="AX525" s="88"/>
      <c r="AY525" s="88"/>
      <c r="AZ525" s="88"/>
      <c r="BA525" s="88"/>
      <c r="BB525" s="88"/>
    </row>
    <row r="526" spans="4:54" ht="12.75" customHeight="1" x14ac:dyDescent="0.15">
      <c r="D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V526" s="88"/>
      <c r="AW526" s="88"/>
      <c r="AX526" s="88"/>
      <c r="AY526" s="88"/>
      <c r="AZ526" s="88"/>
      <c r="BA526" s="88"/>
      <c r="BB526" s="88"/>
    </row>
    <row r="527" spans="4:54" ht="12.75" customHeight="1" x14ac:dyDescent="0.15">
      <c r="D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V527" s="88"/>
      <c r="AW527" s="88"/>
      <c r="AX527" s="88"/>
      <c r="AY527" s="88"/>
      <c r="AZ527" s="88"/>
      <c r="BA527" s="88"/>
      <c r="BB527" s="88"/>
    </row>
    <row r="528" spans="4:54" ht="12.75" customHeight="1" x14ac:dyDescent="0.15">
      <c r="D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V528" s="88"/>
      <c r="AW528" s="88"/>
      <c r="AX528" s="88"/>
      <c r="AY528" s="88"/>
      <c r="AZ528" s="88"/>
      <c r="BA528" s="88"/>
      <c r="BB528" s="88"/>
    </row>
    <row r="529" spans="4:54" ht="12.75" customHeight="1" x14ac:dyDescent="0.15">
      <c r="D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V529" s="88"/>
      <c r="AW529" s="88"/>
      <c r="AX529" s="88"/>
      <c r="AY529" s="88"/>
      <c r="AZ529" s="88"/>
      <c r="BA529" s="88"/>
      <c r="BB529" s="88"/>
    </row>
    <row r="530" spans="4:54" ht="12.75" customHeight="1" x14ac:dyDescent="0.15">
      <c r="D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V530" s="88"/>
      <c r="AW530" s="88"/>
      <c r="AX530" s="88"/>
      <c r="AY530" s="88"/>
      <c r="AZ530" s="88"/>
      <c r="BA530" s="88"/>
      <c r="BB530" s="88"/>
    </row>
    <row r="531" spans="4:54" ht="12.75" customHeight="1" x14ac:dyDescent="0.15">
      <c r="D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V531" s="88"/>
      <c r="AW531" s="88"/>
      <c r="AX531" s="88"/>
      <c r="AY531" s="88"/>
      <c r="AZ531" s="88"/>
      <c r="BA531" s="88"/>
      <c r="BB531" s="88"/>
    </row>
    <row r="532" spans="4:54" ht="12.75" customHeight="1" x14ac:dyDescent="0.15">
      <c r="D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V532" s="88"/>
      <c r="AW532" s="88"/>
      <c r="AX532" s="88"/>
      <c r="AY532" s="88"/>
      <c r="AZ532" s="88"/>
      <c r="BA532" s="88"/>
      <c r="BB532" s="88"/>
    </row>
    <row r="533" spans="4:54" ht="12.75" customHeight="1" x14ac:dyDescent="0.15">
      <c r="D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V533" s="88"/>
      <c r="AW533" s="88"/>
      <c r="AX533" s="88"/>
      <c r="AY533" s="88"/>
      <c r="AZ533" s="88"/>
      <c r="BA533" s="88"/>
      <c r="BB533" s="88"/>
    </row>
    <row r="534" spans="4:54" ht="12.75" customHeight="1" x14ac:dyDescent="0.15">
      <c r="D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V534" s="88"/>
      <c r="AW534" s="88"/>
      <c r="AX534" s="88"/>
      <c r="AY534" s="88"/>
      <c r="AZ534" s="88"/>
      <c r="BA534" s="88"/>
      <c r="BB534" s="88"/>
    </row>
    <row r="535" spans="4:54" ht="12.75" customHeight="1" x14ac:dyDescent="0.15">
      <c r="D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V535" s="88"/>
      <c r="AW535" s="88"/>
      <c r="AX535" s="88"/>
      <c r="AY535" s="88"/>
      <c r="AZ535" s="88"/>
      <c r="BA535" s="88"/>
      <c r="BB535" s="88"/>
    </row>
    <row r="536" spans="4:54" ht="12.75" customHeight="1" x14ac:dyDescent="0.15">
      <c r="D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V536" s="88"/>
      <c r="AW536" s="88"/>
      <c r="AX536" s="88"/>
      <c r="AY536" s="88"/>
      <c r="AZ536" s="88"/>
      <c r="BA536" s="88"/>
      <c r="BB536" s="88"/>
    </row>
    <row r="537" spans="4:54" ht="12.75" customHeight="1" x14ac:dyDescent="0.15">
      <c r="D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V537" s="88"/>
      <c r="AW537" s="88"/>
      <c r="AX537" s="88"/>
      <c r="AY537" s="88"/>
      <c r="AZ537" s="88"/>
      <c r="BA537" s="88"/>
      <c r="BB537" s="88"/>
    </row>
    <row r="538" spans="4:54" ht="12.75" customHeight="1" x14ac:dyDescent="0.15">
      <c r="D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V538" s="88"/>
      <c r="AW538" s="88"/>
      <c r="AX538" s="88"/>
      <c r="AY538" s="88"/>
      <c r="AZ538" s="88"/>
      <c r="BA538" s="88"/>
      <c r="BB538" s="88"/>
    </row>
    <row r="539" spans="4:54" ht="12.75" customHeight="1" x14ac:dyDescent="0.15">
      <c r="D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V539" s="88"/>
      <c r="AW539" s="88"/>
      <c r="AX539" s="88"/>
      <c r="AY539" s="88"/>
      <c r="AZ539" s="88"/>
      <c r="BA539" s="88"/>
      <c r="BB539" s="88"/>
    </row>
    <row r="540" spans="4:54" ht="12.75" customHeight="1" x14ac:dyDescent="0.15">
      <c r="D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V540" s="88"/>
      <c r="AW540" s="88"/>
      <c r="AX540" s="88"/>
      <c r="AY540" s="88"/>
      <c r="AZ540" s="88"/>
      <c r="BA540" s="88"/>
      <c r="BB540" s="88"/>
    </row>
    <row r="541" spans="4:54" ht="12.75" customHeight="1" x14ac:dyDescent="0.15">
      <c r="D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V541" s="88"/>
      <c r="AW541" s="88"/>
      <c r="AX541" s="88"/>
      <c r="AY541" s="88"/>
      <c r="AZ541" s="88"/>
      <c r="BA541" s="88"/>
      <c r="BB541" s="88"/>
    </row>
    <row r="542" spans="4:54" ht="12.75" customHeight="1" x14ac:dyDescent="0.15">
      <c r="D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V542" s="88"/>
      <c r="AW542" s="88"/>
      <c r="AX542" s="88"/>
      <c r="AY542" s="88"/>
      <c r="AZ542" s="88"/>
      <c r="BA542" s="88"/>
      <c r="BB542" s="88"/>
    </row>
    <row r="543" spans="4:54" ht="12.75" customHeight="1" x14ac:dyDescent="0.15">
      <c r="D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V543" s="88"/>
      <c r="AW543" s="88"/>
      <c r="AX543" s="88"/>
      <c r="AY543" s="88"/>
      <c r="AZ543" s="88"/>
      <c r="BA543" s="88"/>
      <c r="BB543" s="88"/>
    </row>
    <row r="544" spans="4:54" ht="12.75" customHeight="1" x14ac:dyDescent="0.15">
      <c r="D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V544" s="88"/>
      <c r="AW544" s="88"/>
      <c r="AX544" s="88"/>
      <c r="AY544" s="88"/>
      <c r="AZ544" s="88"/>
      <c r="BA544" s="88"/>
      <c r="BB544" s="88"/>
    </row>
    <row r="545" spans="4:54" ht="12.75" customHeight="1" x14ac:dyDescent="0.15">
      <c r="D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V545" s="88"/>
      <c r="AW545" s="88"/>
      <c r="AX545" s="88"/>
      <c r="AY545" s="88"/>
      <c r="AZ545" s="88"/>
      <c r="BA545" s="88"/>
      <c r="BB545" s="88"/>
    </row>
    <row r="546" spans="4:54" ht="12.75" customHeight="1" x14ac:dyDescent="0.15">
      <c r="D546" s="88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V546" s="88"/>
      <c r="AW546" s="88"/>
      <c r="AX546" s="88"/>
      <c r="AY546" s="88"/>
      <c r="AZ546" s="88"/>
      <c r="BA546" s="88"/>
      <c r="BB546" s="88"/>
    </row>
    <row r="547" spans="4:54" ht="12.75" customHeight="1" x14ac:dyDescent="0.15">
      <c r="D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V547" s="88"/>
      <c r="AW547" s="88"/>
      <c r="AX547" s="88"/>
      <c r="AY547" s="88"/>
      <c r="AZ547" s="88"/>
      <c r="BA547" s="88"/>
      <c r="BB547" s="88"/>
    </row>
    <row r="548" spans="4:54" ht="12.75" customHeight="1" x14ac:dyDescent="0.15">
      <c r="D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V548" s="88"/>
      <c r="AW548" s="88"/>
      <c r="AX548" s="88"/>
      <c r="AY548" s="88"/>
      <c r="AZ548" s="88"/>
      <c r="BA548" s="88"/>
      <c r="BB548" s="88"/>
    </row>
    <row r="549" spans="4:54" ht="12.75" customHeight="1" x14ac:dyDescent="0.15">
      <c r="D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V549" s="88"/>
      <c r="AW549" s="88"/>
      <c r="AX549" s="88"/>
      <c r="AY549" s="88"/>
      <c r="AZ549" s="88"/>
      <c r="BA549" s="88"/>
      <c r="BB549" s="88"/>
    </row>
    <row r="550" spans="4:54" ht="12.75" customHeight="1" x14ac:dyDescent="0.15">
      <c r="D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V550" s="88"/>
      <c r="AW550" s="88"/>
      <c r="AX550" s="88"/>
      <c r="AY550" s="88"/>
      <c r="AZ550" s="88"/>
      <c r="BA550" s="88"/>
      <c r="BB550" s="88"/>
    </row>
    <row r="551" spans="4:54" ht="12.75" customHeight="1" x14ac:dyDescent="0.15">
      <c r="D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V551" s="88"/>
      <c r="AW551" s="88"/>
      <c r="AX551" s="88"/>
      <c r="AY551" s="88"/>
      <c r="AZ551" s="88"/>
      <c r="BA551" s="88"/>
      <c r="BB551" s="88"/>
    </row>
    <row r="552" spans="4:54" ht="12.75" customHeight="1" x14ac:dyDescent="0.15">
      <c r="D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V552" s="88"/>
      <c r="AW552" s="88"/>
      <c r="AX552" s="88"/>
      <c r="AY552" s="88"/>
      <c r="AZ552" s="88"/>
      <c r="BA552" s="88"/>
      <c r="BB552" s="88"/>
    </row>
    <row r="553" spans="4:54" ht="12.75" customHeight="1" x14ac:dyDescent="0.15">
      <c r="D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V553" s="88"/>
      <c r="AW553" s="88"/>
      <c r="AX553" s="88"/>
      <c r="AY553" s="88"/>
      <c r="AZ553" s="88"/>
      <c r="BA553" s="88"/>
      <c r="BB553" s="88"/>
    </row>
    <row r="554" spans="4:54" ht="12.75" customHeight="1" x14ac:dyDescent="0.15">
      <c r="D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V554" s="88"/>
      <c r="AW554" s="88"/>
      <c r="AX554" s="88"/>
      <c r="AY554" s="88"/>
      <c r="AZ554" s="88"/>
      <c r="BA554" s="88"/>
      <c r="BB554" s="88"/>
    </row>
    <row r="555" spans="4:54" ht="12.75" customHeight="1" x14ac:dyDescent="0.15">
      <c r="D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V555" s="88"/>
      <c r="AW555" s="88"/>
      <c r="AX555" s="88"/>
      <c r="AY555" s="88"/>
      <c r="AZ555" s="88"/>
      <c r="BA555" s="88"/>
      <c r="BB555" s="88"/>
    </row>
    <row r="556" spans="4:54" ht="12.75" customHeight="1" x14ac:dyDescent="0.15">
      <c r="D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V556" s="88"/>
      <c r="AW556" s="88"/>
      <c r="AX556" s="88"/>
      <c r="AY556" s="88"/>
      <c r="AZ556" s="88"/>
      <c r="BA556" s="88"/>
      <c r="BB556" s="88"/>
    </row>
    <row r="557" spans="4:54" ht="12.75" customHeight="1" x14ac:dyDescent="0.15">
      <c r="D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V557" s="88"/>
      <c r="AW557" s="88"/>
      <c r="AX557" s="88"/>
      <c r="AY557" s="88"/>
      <c r="AZ557" s="88"/>
      <c r="BA557" s="88"/>
      <c r="BB557" s="88"/>
    </row>
    <row r="558" spans="4:54" ht="12.75" customHeight="1" x14ac:dyDescent="0.15">
      <c r="D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V558" s="88"/>
      <c r="AW558" s="88"/>
      <c r="AX558" s="88"/>
      <c r="AY558" s="88"/>
      <c r="AZ558" s="88"/>
      <c r="BA558" s="88"/>
      <c r="BB558" s="88"/>
    </row>
    <row r="559" spans="4:54" ht="12.75" customHeight="1" x14ac:dyDescent="0.15">
      <c r="D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V559" s="88"/>
      <c r="AW559" s="88"/>
      <c r="AX559" s="88"/>
      <c r="AY559" s="88"/>
      <c r="AZ559" s="88"/>
      <c r="BA559" s="88"/>
      <c r="BB559" s="88"/>
    </row>
    <row r="560" spans="4:54" ht="12.75" customHeight="1" x14ac:dyDescent="0.15">
      <c r="D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V560" s="88"/>
      <c r="AW560" s="88"/>
      <c r="AX560" s="88"/>
      <c r="AY560" s="88"/>
      <c r="AZ560" s="88"/>
      <c r="BA560" s="88"/>
      <c r="BB560" s="88"/>
    </row>
    <row r="561" spans="4:54" ht="12.75" customHeight="1" x14ac:dyDescent="0.15">
      <c r="D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V561" s="88"/>
      <c r="AW561" s="88"/>
      <c r="AX561" s="88"/>
      <c r="AY561" s="88"/>
      <c r="AZ561" s="88"/>
      <c r="BA561" s="88"/>
      <c r="BB561" s="88"/>
    </row>
    <row r="562" spans="4:54" ht="12.75" customHeight="1" x14ac:dyDescent="0.15">
      <c r="D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V562" s="88"/>
      <c r="AW562" s="88"/>
      <c r="AX562" s="88"/>
      <c r="AY562" s="88"/>
      <c r="AZ562" s="88"/>
      <c r="BA562" s="88"/>
      <c r="BB562" s="88"/>
    </row>
    <row r="563" spans="4:54" ht="12.75" customHeight="1" x14ac:dyDescent="0.15">
      <c r="D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V563" s="88"/>
      <c r="AW563" s="88"/>
      <c r="AX563" s="88"/>
      <c r="AY563" s="88"/>
      <c r="AZ563" s="88"/>
      <c r="BA563" s="88"/>
      <c r="BB563" s="88"/>
    </row>
    <row r="564" spans="4:54" ht="12.75" customHeight="1" x14ac:dyDescent="0.15">
      <c r="D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V564" s="88"/>
      <c r="AW564" s="88"/>
      <c r="AX564" s="88"/>
      <c r="AY564" s="88"/>
      <c r="AZ564" s="88"/>
      <c r="BA564" s="88"/>
      <c r="BB564" s="88"/>
    </row>
    <row r="565" spans="4:54" ht="12.75" customHeight="1" x14ac:dyDescent="0.15">
      <c r="D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V565" s="88"/>
      <c r="AW565" s="88"/>
      <c r="AX565" s="88"/>
      <c r="AY565" s="88"/>
      <c r="AZ565" s="88"/>
      <c r="BA565" s="88"/>
      <c r="BB565" s="88"/>
    </row>
    <row r="566" spans="4:54" ht="12.75" customHeight="1" x14ac:dyDescent="0.15">
      <c r="D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V566" s="88"/>
      <c r="AW566" s="88"/>
      <c r="AX566" s="88"/>
      <c r="AY566" s="88"/>
      <c r="AZ566" s="88"/>
      <c r="BA566" s="88"/>
      <c r="BB566" s="88"/>
    </row>
    <row r="567" spans="4:54" ht="12.75" customHeight="1" x14ac:dyDescent="0.15">
      <c r="D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V567" s="88"/>
      <c r="AW567" s="88"/>
      <c r="AX567" s="88"/>
      <c r="AY567" s="88"/>
      <c r="AZ567" s="88"/>
      <c r="BA567" s="88"/>
      <c r="BB567" s="88"/>
    </row>
    <row r="568" spans="4:54" ht="12.75" customHeight="1" x14ac:dyDescent="0.15">
      <c r="D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V568" s="88"/>
      <c r="AW568" s="88"/>
      <c r="AX568" s="88"/>
      <c r="AY568" s="88"/>
      <c r="AZ568" s="88"/>
      <c r="BA568" s="88"/>
      <c r="BB568" s="88"/>
    </row>
    <row r="569" spans="4:54" ht="12.75" customHeight="1" x14ac:dyDescent="0.15">
      <c r="D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V569" s="88"/>
      <c r="AW569" s="88"/>
      <c r="AX569" s="88"/>
      <c r="AY569" s="88"/>
      <c r="AZ569" s="88"/>
      <c r="BA569" s="88"/>
      <c r="BB569" s="88"/>
    </row>
    <row r="570" spans="4:54" ht="12.75" customHeight="1" x14ac:dyDescent="0.15">
      <c r="D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V570" s="88"/>
      <c r="AW570" s="88"/>
      <c r="AX570" s="88"/>
      <c r="AY570" s="88"/>
      <c r="AZ570" s="88"/>
      <c r="BA570" s="88"/>
      <c r="BB570" s="88"/>
    </row>
    <row r="571" spans="4:54" ht="12.75" customHeight="1" x14ac:dyDescent="0.15">
      <c r="D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V571" s="88"/>
      <c r="AW571" s="88"/>
      <c r="AX571" s="88"/>
      <c r="AY571" s="88"/>
      <c r="AZ571" s="88"/>
      <c r="BA571" s="88"/>
      <c r="BB571" s="88"/>
    </row>
    <row r="572" spans="4:54" ht="12.75" customHeight="1" x14ac:dyDescent="0.15">
      <c r="D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V572" s="88"/>
      <c r="AW572" s="88"/>
      <c r="AX572" s="88"/>
      <c r="AY572" s="88"/>
      <c r="AZ572" s="88"/>
      <c r="BA572" s="88"/>
      <c r="BB572" s="88"/>
    </row>
    <row r="573" spans="4:54" ht="12.75" customHeight="1" x14ac:dyDescent="0.15">
      <c r="D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V573" s="88"/>
      <c r="AW573" s="88"/>
      <c r="AX573" s="88"/>
      <c r="AY573" s="88"/>
      <c r="AZ573" s="88"/>
      <c r="BA573" s="88"/>
      <c r="BB573" s="88"/>
    </row>
    <row r="574" spans="4:54" ht="12.75" customHeight="1" x14ac:dyDescent="0.15">
      <c r="D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V574" s="88"/>
      <c r="AW574" s="88"/>
      <c r="AX574" s="88"/>
      <c r="AY574" s="88"/>
      <c r="AZ574" s="88"/>
      <c r="BA574" s="88"/>
      <c r="BB574" s="88"/>
    </row>
    <row r="575" spans="4:54" ht="12.75" customHeight="1" x14ac:dyDescent="0.15">
      <c r="D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V575" s="88"/>
      <c r="AW575" s="88"/>
      <c r="AX575" s="88"/>
      <c r="AY575" s="88"/>
      <c r="AZ575" s="88"/>
      <c r="BA575" s="88"/>
      <c r="BB575" s="88"/>
    </row>
    <row r="576" spans="4:54" ht="12.75" customHeight="1" x14ac:dyDescent="0.15">
      <c r="D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V576" s="88"/>
      <c r="AW576" s="88"/>
      <c r="AX576" s="88"/>
      <c r="AY576" s="88"/>
      <c r="AZ576" s="88"/>
      <c r="BA576" s="88"/>
      <c r="BB576" s="88"/>
    </row>
    <row r="577" spans="4:54" ht="12.75" customHeight="1" x14ac:dyDescent="0.15">
      <c r="D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V577" s="88"/>
      <c r="AW577" s="88"/>
      <c r="AX577" s="88"/>
      <c r="AY577" s="88"/>
      <c r="AZ577" s="88"/>
      <c r="BA577" s="88"/>
      <c r="BB577" s="88"/>
    </row>
    <row r="578" spans="4:54" ht="12.75" customHeight="1" x14ac:dyDescent="0.15">
      <c r="D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V578" s="88"/>
      <c r="AW578" s="88"/>
      <c r="AX578" s="88"/>
      <c r="AY578" s="88"/>
      <c r="AZ578" s="88"/>
      <c r="BA578" s="88"/>
      <c r="BB578" s="88"/>
    </row>
    <row r="579" spans="4:54" ht="12.75" customHeight="1" x14ac:dyDescent="0.15">
      <c r="D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V579" s="88"/>
      <c r="AW579" s="88"/>
      <c r="AX579" s="88"/>
      <c r="AY579" s="88"/>
      <c r="AZ579" s="88"/>
      <c r="BA579" s="88"/>
      <c r="BB579" s="88"/>
    </row>
    <row r="580" spans="4:54" ht="12.75" customHeight="1" x14ac:dyDescent="0.15">
      <c r="D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V580" s="88"/>
      <c r="AW580" s="88"/>
      <c r="AX580" s="88"/>
      <c r="AY580" s="88"/>
      <c r="AZ580" s="88"/>
      <c r="BA580" s="88"/>
      <c r="BB580" s="88"/>
    </row>
    <row r="581" spans="4:54" ht="12.75" customHeight="1" x14ac:dyDescent="0.15">
      <c r="D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V581" s="88"/>
      <c r="AW581" s="88"/>
      <c r="AX581" s="88"/>
      <c r="AY581" s="88"/>
      <c r="AZ581" s="88"/>
      <c r="BA581" s="88"/>
      <c r="BB581" s="88"/>
    </row>
    <row r="582" spans="4:54" ht="12.75" customHeight="1" x14ac:dyDescent="0.15">
      <c r="D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V582" s="88"/>
      <c r="AW582" s="88"/>
      <c r="AX582" s="88"/>
      <c r="AY582" s="88"/>
      <c r="AZ582" s="88"/>
      <c r="BA582" s="88"/>
      <c r="BB582" s="88"/>
    </row>
    <row r="583" spans="4:54" ht="12.75" customHeight="1" x14ac:dyDescent="0.15">
      <c r="D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V583" s="88"/>
      <c r="AW583" s="88"/>
      <c r="AX583" s="88"/>
      <c r="AY583" s="88"/>
      <c r="AZ583" s="88"/>
      <c r="BA583" s="88"/>
      <c r="BB583" s="88"/>
    </row>
    <row r="584" spans="4:54" ht="12.75" customHeight="1" x14ac:dyDescent="0.15">
      <c r="D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V584" s="88"/>
      <c r="AW584" s="88"/>
      <c r="AX584" s="88"/>
      <c r="AY584" s="88"/>
      <c r="AZ584" s="88"/>
      <c r="BA584" s="88"/>
      <c r="BB584" s="88"/>
    </row>
    <row r="585" spans="4:54" ht="12.75" customHeight="1" x14ac:dyDescent="0.15">
      <c r="D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V585" s="88"/>
      <c r="AW585" s="88"/>
      <c r="AX585" s="88"/>
      <c r="AY585" s="88"/>
      <c r="AZ585" s="88"/>
      <c r="BA585" s="88"/>
      <c r="BB585" s="88"/>
    </row>
    <row r="586" spans="4:54" ht="12.75" customHeight="1" x14ac:dyDescent="0.15">
      <c r="D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V586" s="88"/>
      <c r="AW586" s="88"/>
      <c r="AX586" s="88"/>
      <c r="AY586" s="88"/>
      <c r="AZ586" s="88"/>
      <c r="BA586" s="88"/>
      <c r="BB586" s="88"/>
    </row>
    <row r="587" spans="4:54" ht="12.75" customHeight="1" x14ac:dyDescent="0.15">
      <c r="D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V587" s="88"/>
      <c r="AW587" s="88"/>
      <c r="AX587" s="88"/>
      <c r="AY587" s="88"/>
      <c r="AZ587" s="88"/>
      <c r="BA587" s="88"/>
      <c r="BB587" s="88"/>
    </row>
    <row r="588" spans="4:54" ht="12.75" customHeight="1" x14ac:dyDescent="0.15">
      <c r="D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V588" s="88"/>
      <c r="AW588" s="88"/>
      <c r="AX588" s="88"/>
      <c r="AY588" s="88"/>
      <c r="AZ588" s="88"/>
      <c r="BA588" s="88"/>
      <c r="BB588" s="88"/>
    </row>
    <row r="589" spans="4:54" ht="12.75" customHeight="1" x14ac:dyDescent="0.15">
      <c r="D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V589" s="88"/>
      <c r="AW589" s="88"/>
      <c r="AX589" s="88"/>
      <c r="AY589" s="88"/>
      <c r="AZ589" s="88"/>
      <c r="BA589" s="88"/>
      <c r="BB589" s="88"/>
    </row>
    <row r="590" spans="4:54" ht="12.75" customHeight="1" x14ac:dyDescent="0.15">
      <c r="D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V590" s="88"/>
      <c r="AW590" s="88"/>
      <c r="AX590" s="88"/>
      <c r="AY590" s="88"/>
      <c r="AZ590" s="88"/>
      <c r="BA590" s="88"/>
      <c r="BB590" s="88"/>
    </row>
    <row r="591" spans="4:54" ht="12.75" customHeight="1" x14ac:dyDescent="0.15">
      <c r="D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V591" s="88"/>
      <c r="AW591" s="88"/>
      <c r="AX591" s="88"/>
      <c r="AY591" s="88"/>
      <c r="AZ591" s="88"/>
      <c r="BA591" s="88"/>
      <c r="BB591" s="88"/>
    </row>
    <row r="592" spans="4:54" ht="12.75" customHeight="1" x14ac:dyDescent="0.15">
      <c r="D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V592" s="88"/>
      <c r="AW592" s="88"/>
      <c r="AX592" s="88"/>
      <c r="AY592" s="88"/>
      <c r="AZ592" s="88"/>
      <c r="BA592" s="88"/>
      <c r="BB592" s="88"/>
    </row>
    <row r="593" spans="4:54" ht="12.75" customHeight="1" x14ac:dyDescent="0.15">
      <c r="D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V593" s="88"/>
      <c r="AW593" s="88"/>
      <c r="AX593" s="88"/>
      <c r="AY593" s="88"/>
      <c r="AZ593" s="88"/>
      <c r="BA593" s="88"/>
      <c r="BB593" s="88"/>
    </row>
    <row r="594" spans="4:54" ht="12.75" customHeight="1" x14ac:dyDescent="0.15">
      <c r="D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V594" s="88"/>
      <c r="AW594" s="88"/>
      <c r="AX594" s="88"/>
      <c r="AY594" s="88"/>
      <c r="AZ594" s="88"/>
      <c r="BA594" s="88"/>
      <c r="BB594" s="88"/>
    </row>
    <row r="595" spans="4:54" ht="12.75" customHeight="1" x14ac:dyDescent="0.15">
      <c r="D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V595" s="88"/>
      <c r="AW595" s="88"/>
      <c r="AX595" s="88"/>
      <c r="AY595" s="88"/>
      <c r="AZ595" s="88"/>
      <c r="BA595" s="88"/>
      <c r="BB595" s="88"/>
    </row>
    <row r="596" spans="4:54" ht="12.75" customHeight="1" x14ac:dyDescent="0.15">
      <c r="D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V596" s="88"/>
      <c r="AW596" s="88"/>
      <c r="AX596" s="88"/>
      <c r="AY596" s="88"/>
      <c r="AZ596" s="88"/>
      <c r="BA596" s="88"/>
      <c r="BB596" s="88"/>
    </row>
    <row r="597" spans="4:54" ht="12.75" customHeight="1" x14ac:dyDescent="0.15">
      <c r="D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V597" s="88"/>
      <c r="AW597" s="88"/>
      <c r="AX597" s="88"/>
      <c r="AY597" s="88"/>
      <c r="AZ597" s="88"/>
      <c r="BA597" s="88"/>
      <c r="BB597" s="88"/>
    </row>
    <row r="598" spans="4:54" ht="12.75" customHeight="1" x14ac:dyDescent="0.15">
      <c r="D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V598" s="88"/>
      <c r="AW598" s="88"/>
      <c r="AX598" s="88"/>
      <c r="AY598" s="88"/>
      <c r="AZ598" s="88"/>
      <c r="BA598" s="88"/>
      <c r="BB598" s="88"/>
    </row>
    <row r="599" spans="4:54" ht="12.75" customHeight="1" x14ac:dyDescent="0.15">
      <c r="D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V599" s="88"/>
      <c r="AW599" s="88"/>
      <c r="AX599" s="88"/>
      <c r="AY599" s="88"/>
      <c r="AZ599" s="88"/>
      <c r="BA599" s="88"/>
      <c r="BB599" s="88"/>
    </row>
    <row r="600" spans="4:54" ht="12.75" customHeight="1" x14ac:dyDescent="0.15">
      <c r="D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V600" s="88"/>
      <c r="AW600" s="88"/>
      <c r="AX600" s="88"/>
      <c r="AY600" s="88"/>
      <c r="AZ600" s="88"/>
      <c r="BA600" s="88"/>
      <c r="BB600" s="88"/>
    </row>
    <row r="601" spans="4:54" ht="12.75" customHeight="1" x14ac:dyDescent="0.15">
      <c r="D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V601" s="88"/>
      <c r="AW601" s="88"/>
      <c r="AX601" s="88"/>
      <c r="AY601" s="88"/>
      <c r="AZ601" s="88"/>
      <c r="BA601" s="88"/>
      <c r="BB601" s="88"/>
    </row>
    <row r="602" spans="4:54" ht="12.75" customHeight="1" x14ac:dyDescent="0.15">
      <c r="D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V602" s="88"/>
      <c r="AW602" s="88"/>
      <c r="AX602" s="88"/>
      <c r="AY602" s="88"/>
      <c r="AZ602" s="88"/>
      <c r="BA602" s="88"/>
      <c r="BB602" s="88"/>
    </row>
    <row r="603" spans="4:54" ht="12.75" customHeight="1" x14ac:dyDescent="0.15">
      <c r="D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V603" s="88"/>
      <c r="AW603" s="88"/>
      <c r="AX603" s="88"/>
      <c r="AY603" s="88"/>
      <c r="AZ603" s="88"/>
      <c r="BA603" s="88"/>
      <c r="BB603" s="88"/>
    </row>
    <row r="604" spans="4:54" ht="12.75" customHeight="1" x14ac:dyDescent="0.15">
      <c r="D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V604" s="88"/>
      <c r="AW604" s="88"/>
      <c r="AX604" s="88"/>
      <c r="AY604" s="88"/>
      <c r="AZ604" s="88"/>
      <c r="BA604" s="88"/>
      <c r="BB604" s="88"/>
    </row>
    <row r="605" spans="4:54" ht="12.75" customHeight="1" x14ac:dyDescent="0.15">
      <c r="D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V605" s="88"/>
      <c r="AW605" s="88"/>
      <c r="AX605" s="88"/>
      <c r="AY605" s="88"/>
      <c r="AZ605" s="88"/>
      <c r="BA605" s="88"/>
      <c r="BB605" s="88"/>
    </row>
    <row r="606" spans="4:54" ht="12.75" customHeight="1" x14ac:dyDescent="0.15">
      <c r="D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V606" s="88"/>
      <c r="AW606" s="88"/>
      <c r="AX606" s="88"/>
      <c r="AY606" s="88"/>
      <c r="AZ606" s="88"/>
      <c r="BA606" s="88"/>
      <c r="BB606" s="88"/>
    </row>
    <row r="607" spans="4:54" ht="12.75" customHeight="1" x14ac:dyDescent="0.15">
      <c r="D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V607" s="88"/>
      <c r="AW607" s="88"/>
      <c r="AX607" s="88"/>
      <c r="AY607" s="88"/>
      <c r="AZ607" s="88"/>
      <c r="BA607" s="88"/>
      <c r="BB607" s="88"/>
    </row>
    <row r="608" spans="4:54" ht="12.75" customHeight="1" x14ac:dyDescent="0.15">
      <c r="D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V608" s="88"/>
      <c r="AW608" s="88"/>
      <c r="AX608" s="88"/>
      <c r="AY608" s="88"/>
      <c r="AZ608" s="88"/>
      <c r="BA608" s="88"/>
      <c r="BB608" s="88"/>
    </row>
    <row r="609" spans="4:54" ht="12.75" customHeight="1" x14ac:dyDescent="0.15">
      <c r="D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V609" s="88"/>
      <c r="AW609" s="88"/>
      <c r="AX609" s="88"/>
      <c r="AY609" s="88"/>
      <c r="AZ609" s="88"/>
      <c r="BA609" s="88"/>
      <c r="BB609" s="88"/>
    </row>
    <row r="610" spans="4:54" ht="12.75" customHeight="1" x14ac:dyDescent="0.15">
      <c r="D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V610" s="88"/>
      <c r="AW610" s="88"/>
      <c r="AX610" s="88"/>
      <c r="AY610" s="88"/>
      <c r="AZ610" s="88"/>
      <c r="BA610" s="88"/>
      <c r="BB610" s="88"/>
    </row>
    <row r="611" spans="4:54" ht="12.75" customHeight="1" x14ac:dyDescent="0.15">
      <c r="D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V611" s="88"/>
      <c r="AW611" s="88"/>
      <c r="AX611" s="88"/>
      <c r="AY611" s="88"/>
      <c r="AZ611" s="88"/>
      <c r="BA611" s="88"/>
      <c r="BB611" s="88"/>
    </row>
    <row r="612" spans="4:54" ht="12.75" customHeight="1" x14ac:dyDescent="0.15">
      <c r="D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V612" s="88"/>
      <c r="AW612" s="88"/>
      <c r="AX612" s="88"/>
      <c r="AY612" s="88"/>
      <c r="AZ612" s="88"/>
      <c r="BA612" s="88"/>
      <c r="BB612" s="88"/>
    </row>
    <row r="613" spans="4:54" ht="12.75" customHeight="1" x14ac:dyDescent="0.15">
      <c r="D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V613" s="88"/>
      <c r="AW613" s="88"/>
      <c r="AX613" s="88"/>
      <c r="AY613" s="88"/>
      <c r="AZ613" s="88"/>
      <c r="BA613" s="88"/>
      <c r="BB613" s="88"/>
    </row>
    <row r="614" spans="4:54" ht="12.75" customHeight="1" x14ac:dyDescent="0.15">
      <c r="D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V614" s="88"/>
      <c r="AW614" s="88"/>
      <c r="AX614" s="88"/>
      <c r="AY614" s="88"/>
      <c r="AZ614" s="88"/>
      <c r="BA614" s="88"/>
      <c r="BB614" s="88"/>
    </row>
    <row r="615" spans="4:54" ht="12.75" customHeight="1" x14ac:dyDescent="0.15">
      <c r="D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V615" s="88"/>
      <c r="AW615" s="88"/>
      <c r="AX615" s="88"/>
      <c r="AY615" s="88"/>
      <c r="AZ615" s="88"/>
      <c r="BA615" s="88"/>
      <c r="BB615" s="88"/>
    </row>
    <row r="616" spans="4:54" ht="12.75" customHeight="1" x14ac:dyDescent="0.15">
      <c r="D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V616" s="88"/>
      <c r="AW616" s="88"/>
      <c r="AX616" s="88"/>
      <c r="AY616" s="88"/>
      <c r="AZ616" s="88"/>
      <c r="BA616" s="88"/>
      <c r="BB616" s="88"/>
    </row>
    <row r="617" spans="4:54" ht="12.75" customHeight="1" x14ac:dyDescent="0.15">
      <c r="D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V617" s="88"/>
      <c r="AW617" s="88"/>
      <c r="AX617" s="88"/>
      <c r="AY617" s="88"/>
      <c r="AZ617" s="88"/>
      <c r="BA617" s="88"/>
      <c r="BB617" s="88"/>
    </row>
    <row r="618" spans="4:54" ht="12.75" customHeight="1" x14ac:dyDescent="0.15">
      <c r="D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V618" s="88"/>
      <c r="AW618" s="88"/>
      <c r="AX618" s="88"/>
      <c r="AY618" s="88"/>
      <c r="AZ618" s="88"/>
      <c r="BA618" s="88"/>
      <c r="BB618" s="88"/>
    </row>
    <row r="619" spans="4:54" ht="12.75" customHeight="1" x14ac:dyDescent="0.15">
      <c r="D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V619" s="88"/>
      <c r="AW619" s="88"/>
      <c r="AX619" s="88"/>
      <c r="AY619" s="88"/>
      <c r="AZ619" s="88"/>
      <c r="BA619" s="88"/>
      <c r="BB619" s="88"/>
    </row>
    <row r="620" spans="4:54" ht="12.75" customHeight="1" x14ac:dyDescent="0.15">
      <c r="D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V620" s="88"/>
      <c r="AW620" s="88"/>
      <c r="AX620" s="88"/>
      <c r="AY620" s="88"/>
      <c r="AZ620" s="88"/>
      <c r="BA620" s="88"/>
      <c r="BB620" s="88"/>
    </row>
    <row r="621" spans="4:54" ht="12.75" customHeight="1" x14ac:dyDescent="0.15">
      <c r="D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V621" s="88"/>
      <c r="AW621" s="88"/>
      <c r="AX621" s="88"/>
      <c r="AY621" s="88"/>
      <c r="AZ621" s="88"/>
      <c r="BA621" s="88"/>
      <c r="BB621" s="88"/>
    </row>
    <row r="622" spans="4:54" ht="12.75" customHeight="1" x14ac:dyDescent="0.15">
      <c r="D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V622" s="88"/>
      <c r="AW622" s="88"/>
      <c r="AX622" s="88"/>
      <c r="AY622" s="88"/>
      <c r="AZ622" s="88"/>
      <c r="BA622" s="88"/>
      <c r="BB622" s="88"/>
    </row>
    <row r="623" spans="4:54" ht="12.75" customHeight="1" x14ac:dyDescent="0.15">
      <c r="D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V623" s="88"/>
      <c r="AW623" s="88"/>
      <c r="AX623" s="88"/>
      <c r="AY623" s="88"/>
      <c r="AZ623" s="88"/>
      <c r="BA623" s="88"/>
      <c r="BB623" s="88"/>
    </row>
    <row r="624" spans="4:54" ht="12.75" customHeight="1" x14ac:dyDescent="0.15">
      <c r="D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V624" s="88"/>
      <c r="AW624" s="88"/>
      <c r="AX624" s="88"/>
      <c r="AY624" s="88"/>
      <c r="AZ624" s="88"/>
      <c r="BA624" s="88"/>
      <c r="BB624" s="88"/>
    </row>
    <row r="625" spans="4:54" ht="12.75" customHeight="1" x14ac:dyDescent="0.15">
      <c r="D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V625" s="88"/>
      <c r="AW625" s="88"/>
      <c r="AX625" s="88"/>
      <c r="AY625" s="88"/>
      <c r="AZ625" s="88"/>
      <c r="BA625" s="88"/>
      <c r="BB625" s="88"/>
    </row>
    <row r="626" spans="4:54" ht="12.75" customHeight="1" x14ac:dyDescent="0.15">
      <c r="D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V626" s="88"/>
      <c r="AW626" s="88"/>
      <c r="AX626" s="88"/>
      <c r="AY626" s="88"/>
      <c r="AZ626" s="88"/>
      <c r="BA626" s="88"/>
      <c r="BB626" s="88"/>
    </row>
    <row r="627" spans="4:54" ht="12.75" customHeight="1" x14ac:dyDescent="0.15">
      <c r="D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V627" s="88"/>
      <c r="AW627" s="88"/>
      <c r="AX627" s="88"/>
      <c r="AY627" s="88"/>
      <c r="AZ627" s="88"/>
      <c r="BA627" s="88"/>
      <c r="BB627" s="88"/>
    </row>
    <row r="628" spans="4:54" ht="12.75" customHeight="1" x14ac:dyDescent="0.15">
      <c r="D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V628" s="88"/>
      <c r="AW628" s="88"/>
      <c r="AX628" s="88"/>
      <c r="AY628" s="88"/>
      <c r="AZ628" s="88"/>
      <c r="BA628" s="88"/>
      <c r="BB628" s="88"/>
    </row>
    <row r="629" spans="4:54" ht="12.75" customHeight="1" x14ac:dyDescent="0.15">
      <c r="D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V629" s="88"/>
      <c r="AW629" s="88"/>
      <c r="AX629" s="88"/>
      <c r="AY629" s="88"/>
      <c r="AZ629" s="88"/>
      <c r="BA629" s="88"/>
      <c r="BB629" s="88"/>
    </row>
    <row r="630" spans="4:54" ht="12.75" customHeight="1" x14ac:dyDescent="0.15">
      <c r="D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V630" s="88"/>
      <c r="AW630" s="88"/>
      <c r="AX630" s="88"/>
      <c r="AY630" s="88"/>
      <c r="AZ630" s="88"/>
      <c r="BA630" s="88"/>
      <c r="BB630" s="88"/>
    </row>
    <row r="631" spans="4:54" ht="12.75" customHeight="1" x14ac:dyDescent="0.15">
      <c r="D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V631" s="88"/>
      <c r="AW631" s="88"/>
      <c r="AX631" s="88"/>
      <c r="AY631" s="88"/>
      <c r="AZ631" s="88"/>
      <c r="BA631" s="88"/>
      <c r="BB631" s="88"/>
    </row>
    <row r="632" spans="4:54" ht="12.75" customHeight="1" x14ac:dyDescent="0.15">
      <c r="D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V632" s="88"/>
      <c r="AW632" s="88"/>
      <c r="AX632" s="88"/>
      <c r="AY632" s="88"/>
      <c r="AZ632" s="88"/>
      <c r="BA632" s="88"/>
      <c r="BB632" s="88"/>
    </row>
    <row r="633" spans="4:54" ht="12.75" customHeight="1" x14ac:dyDescent="0.15">
      <c r="D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V633" s="88"/>
      <c r="AW633" s="88"/>
      <c r="AX633" s="88"/>
      <c r="AY633" s="88"/>
      <c r="AZ633" s="88"/>
      <c r="BA633" s="88"/>
      <c r="BB633" s="88"/>
    </row>
    <row r="634" spans="4:54" ht="12.75" customHeight="1" x14ac:dyDescent="0.15">
      <c r="D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V634" s="88"/>
      <c r="AW634" s="88"/>
      <c r="AX634" s="88"/>
      <c r="AY634" s="88"/>
      <c r="AZ634" s="88"/>
      <c r="BA634" s="88"/>
      <c r="BB634" s="88"/>
    </row>
    <row r="635" spans="4:54" ht="12.75" customHeight="1" x14ac:dyDescent="0.15">
      <c r="D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V635" s="88"/>
      <c r="AW635" s="88"/>
      <c r="AX635" s="88"/>
      <c r="AY635" s="88"/>
      <c r="AZ635" s="88"/>
      <c r="BA635" s="88"/>
      <c r="BB635" s="88"/>
    </row>
    <row r="636" spans="4:54" ht="12.75" customHeight="1" x14ac:dyDescent="0.15">
      <c r="D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V636" s="88"/>
      <c r="AW636" s="88"/>
      <c r="AX636" s="88"/>
      <c r="AY636" s="88"/>
      <c r="AZ636" s="88"/>
      <c r="BA636" s="88"/>
      <c r="BB636" s="88"/>
    </row>
    <row r="637" spans="4:54" ht="12.75" customHeight="1" x14ac:dyDescent="0.15">
      <c r="D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V637" s="88"/>
      <c r="AW637" s="88"/>
      <c r="AX637" s="88"/>
      <c r="AY637" s="88"/>
      <c r="AZ637" s="88"/>
      <c r="BA637" s="88"/>
      <c r="BB637" s="88"/>
    </row>
    <row r="638" spans="4:54" ht="12.75" customHeight="1" x14ac:dyDescent="0.15">
      <c r="D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V638" s="88"/>
      <c r="AW638" s="88"/>
      <c r="AX638" s="88"/>
      <c r="AY638" s="88"/>
      <c r="AZ638" s="88"/>
      <c r="BA638" s="88"/>
      <c r="BB638" s="88"/>
    </row>
    <row r="639" spans="4:54" ht="12.75" customHeight="1" x14ac:dyDescent="0.15">
      <c r="D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V639" s="88"/>
      <c r="AW639" s="88"/>
      <c r="AX639" s="88"/>
      <c r="AY639" s="88"/>
      <c r="AZ639" s="88"/>
      <c r="BA639" s="88"/>
      <c r="BB639" s="88"/>
    </row>
    <row r="640" spans="4:54" ht="12.75" customHeight="1" x14ac:dyDescent="0.15">
      <c r="D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V640" s="88"/>
      <c r="AW640" s="88"/>
      <c r="AX640" s="88"/>
      <c r="AY640" s="88"/>
      <c r="AZ640" s="88"/>
      <c r="BA640" s="88"/>
      <c r="BB640" s="88"/>
    </row>
    <row r="641" spans="4:54" ht="12.75" customHeight="1" x14ac:dyDescent="0.15">
      <c r="D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V641" s="88"/>
      <c r="AW641" s="88"/>
      <c r="AX641" s="88"/>
      <c r="AY641" s="88"/>
      <c r="AZ641" s="88"/>
      <c r="BA641" s="88"/>
      <c r="BB641" s="88"/>
    </row>
    <row r="642" spans="4:54" ht="12.75" customHeight="1" x14ac:dyDescent="0.15">
      <c r="D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V642" s="88"/>
      <c r="AW642" s="88"/>
      <c r="AX642" s="88"/>
      <c r="AY642" s="88"/>
      <c r="AZ642" s="88"/>
      <c r="BA642" s="88"/>
      <c r="BB642" s="88"/>
    </row>
    <row r="643" spans="4:54" ht="12.75" customHeight="1" x14ac:dyDescent="0.15">
      <c r="D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V643" s="88"/>
      <c r="AW643" s="88"/>
      <c r="AX643" s="88"/>
      <c r="AY643" s="88"/>
      <c r="AZ643" s="88"/>
      <c r="BA643" s="88"/>
      <c r="BB643" s="88"/>
    </row>
    <row r="644" spans="4:54" ht="12.75" customHeight="1" x14ac:dyDescent="0.15">
      <c r="D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V644" s="88"/>
      <c r="AW644" s="88"/>
      <c r="AX644" s="88"/>
      <c r="AY644" s="88"/>
      <c r="AZ644" s="88"/>
      <c r="BA644" s="88"/>
      <c r="BB644" s="88"/>
    </row>
    <row r="645" spans="4:54" ht="12.75" customHeight="1" x14ac:dyDescent="0.15">
      <c r="D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V645" s="88"/>
      <c r="AW645" s="88"/>
      <c r="AX645" s="88"/>
      <c r="AY645" s="88"/>
      <c r="AZ645" s="88"/>
      <c r="BA645" s="88"/>
      <c r="BB645" s="88"/>
    </row>
    <row r="646" spans="4:54" ht="12.75" customHeight="1" x14ac:dyDescent="0.15">
      <c r="D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V646" s="88"/>
      <c r="AW646" s="88"/>
      <c r="AX646" s="88"/>
      <c r="AY646" s="88"/>
      <c r="AZ646" s="88"/>
      <c r="BA646" s="88"/>
      <c r="BB646" s="88"/>
    </row>
    <row r="647" spans="4:54" ht="12.75" customHeight="1" x14ac:dyDescent="0.15">
      <c r="D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V647" s="88"/>
      <c r="AW647" s="88"/>
      <c r="AX647" s="88"/>
      <c r="AY647" s="88"/>
      <c r="AZ647" s="88"/>
      <c r="BA647" s="88"/>
      <c r="BB647" s="88"/>
    </row>
    <row r="648" spans="4:54" ht="12.75" customHeight="1" x14ac:dyDescent="0.15">
      <c r="D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V648" s="88"/>
      <c r="AW648" s="88"/>
      <c r="AX648" s="88"/>
      <c r="AY648" s="88"/>
      <c r="AZ648" s="88"/>
      <c r="BA648" s="88"/>
      <c r="BB648" s="88"/>
    </row>
    <row r="649" spans="4:54" ht="12.75" customHeight="1" x14ac:dyDescent="0.15">
      <c r="D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V649" s="88"/>
      <c r="AW649" s="88"/>
      <c r="AX649" s="88"/>
      <c r="AY649" s="88"/>
      <c r="AZ649" s="88"/>
      <c r="BA649" s="88"/>
      <c r="BB649" s="88"/>
    </row>
    <row r="650" spans="4:54" ht="12.75" customHeight="1" x14ac:dyDescent="0.15">
      <c r="D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V650" s="88"/>
      <c r="AW650" s="88"/>
      <c r="AX650" s="88"/>
      <c r="AY650" s="88"/>
      <c r="AZ650" s="88"/>
      <c r="BA650" s="88"/>
      <c r="BB650" s="88"/>
    </row>
    <row r="651" spans="4:54" ht="12.75" customHeight="1" x14ac:dyDescent="0.15">
      <c r="D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V651" s="88"/>
      <c r="AW651" s="88"/>
      <c r="AX651" s="88"/>
      <c r="AY651" s="88"/>
      <c r="AZ651" s="88"/>
      <c r="BA651" s="88"/>
      <c r="BB651" s="88"/>
    </row>
    <row r="652" spans="4:54" ht="12.75" customHeight="1" x14ac:dyDescent="0.15">
      <c r="D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V652" s="88"/>
      <c r="AW652" s="88"/>
      <c r="AX652" s="88"/>
      <c r="AY652" s="88"/>
      <c r="AZ652" s="88"/>
      <c r="BA652" s="88"/>
      <c r="BB652" s="88"/>
    </row>
    <row r="653" spans="4:54" ht="12.75" customHeight="1" x14ac:dyDescent="0.15">
      <c r="D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V653" s="88"/>
      <c r="AW653" s="88"/>
      <c r="AX653" s="88"/>
      <c r="AY653" s="88"/>
      <c r="AZ653" s="88"/>
      <c r="BA653" s="88"/>
      <c r="BB653" s="88"/>
    </row>
    <row r="654" spans="4:54" ht="12.75" customHeight="1" x14ac:dyDescent="0.15">
      <c r="D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V654" s="88"/>
      <c r="AW654" s="88"/>
      <c r="AX654" s="88"/>
      <c r="AY654" s="88"/>
      <c r="AZ654" s="88"/>
      <c r="BA654" s="88"/>
      <c r="BB654" s="88"/>
    </row>
    <row r="655" spans="4:54" ht="12.75" customHeight="1" x14ac:dyDescent="0.15">
      <c r="D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V655" s="88"/>
      <c r="AW655" s="88"/>
      <c r="AX655" s="88"/>
      <c r="AY655" s="88"/>
      <c r="AZ655" s="88"/>
      <c r="BA655" s="88"/>
      <c r="BB655" s="88"/>
    </row>
    <row r="656" spans="4:54" ht="12.75" customHeight="1" x14ac:dyDescent="0.15">
      <c r="D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V656" s="88"/>
      <c r="AW656" s="88"/>
      <c r="AX656" s="88"/>
      <c r="AY656" s="88"/>
      <c r="AZ656" s="88"/>
      <c r="BA656" s="88"/>
      <c r="BB656" s="88"/>
    </row>
    <row r="657" spans="4:54" ht="12.75" customHeight="1" x14ac:dyDescent="0.15">
      <c r="D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V657" s="88"/>
      <c r="AW657" s="88"/>
      <c r="AX657" s="88"/>
      <c r="AY657" s="88"/>
      <c r="AZ657" s="88"/>
      <c r="BA657" s="88"/>
      <c r="BB657" s="88"/>
    </row>
    <row r="658" spans="4:54" ht="12.75" customHeight="1" x14ac:dyDescent="0.15">
      <c r="D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V658" s="88"/>
      <c r="AW658" s="88"/>
      <c r="AX658" s="88"/>
      <c r="AY658" s="88"/>
      <c r="AZ658" s="88"/>
      <c r="BA658" s="88"/>
      <c r="BB658" s="88"/>
    </row>
    <row r="659" spans="4:54" ht="12.75" customHeight="1" x14ac:dyDescent="0.15">
      <c r="D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V659" s="88"/>
      <c r="AW659" s="88"/>
      <c r="AX659" s="88"/>
      <c r="AY659" s="88"/>
      <c r="AZ659" s="88"/>
      <c r="BA659" s="88"/>
      <c r="BB659" s="88"/>
    </row>
    <row r="660" spans="4:54" ht="12.75" customHeight="1" x14ac:dyDescent="0.15">
      <c r="D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V660" s="88"/>
      <c r="AW660" s="88"/>
      <c r="AX660" s="88"/>
      <c r="AY660" s="88"/>
      <c r="AZ660" s="88"/>
      <c r="BA660" s="88"/>
      <c r="BB660" s="88"/>
    </row>
    <row r="661" spans="4:54" ht="12.75" customHeight="1" x14ac:dyDescent="0.15">
      <c r="D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V661" s="88"/>
      <c r="AW661" s="88"/>
      <c r="AX661" s="88"/>
      <c r="AY661" s="88"/>
      <c r="AZ661" s="88"/>
      <c r="BA661" s="88"/>
      <c r="BB661" s="88"/>
    </row>
    <row r="662" spans="4:54" ht="12.75" customHeight="1" x14ac:dyDescent="0.15">
      <c r="D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V662" s="88"/>
      <c r="AW662" s="88"/>
      <c r="AX662" s="88"/>
      <c r="AY662" s="88"/>
      <c r="AZ662" s="88"/>
      <c r="BA662" s="88"/>
      <c r="BB662" s="88"/>
    </row>
    <row r="663" spans="4:54" ht="12.75" customHeight="1" x14ac:dyDescent="0.15">
      <c r="D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V663" s="88"/>
      <c r="AW663" s="88"/>
      <c r="AX663" s="88"/>
      <c r="AY663" s="88"/>
      <c r="AZ663" s="88"/>
      <c r="BA663" s="88"/>
      <c r="BB663" s="88"/>
    </row>
    <row r="664" spans="4:54" ht="12.75" customHeight="1" x14ac:dyDescent="0.15">
      <c r="D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V664" s="88"/>
      <c r="AW664" s="88"/>
      <c r="AX664" s="88"/>
      <c r="AY664" s="88"/>
      <c r="AZ664" s="88"/>
      <c r="BA664" s="88"/>
      <c r="BB664" s="88"/>
    </row>
    <row r="665" spans="4:54" ht="12.75" customHeight="1" x14ac:dyDescent="0.15">
      <c r="D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V665" s="88"/>
      <c r="AW665" s="88"/>
      <c r="AX665" s="88"/>
      <c r="AY665" s="88"/>
      <c r="AZ665" s="88"/>
      <c r="BA665" s="88"/>
      <c r="BB665" s="88"/>
    </row>
    <row r="666" spans="4:54" ht="12.75" customHeight="1" x14ac:dyDescent="0.15">
      <c r="D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V666" s="88"/>
      <c r="AW666" s="88"/>
      <c r="AX666" s="88"/>
      <c r="AY666" s="88"/>
      <c r="AZ666" s="88"/>
      <c r="BA666" s="88"/>
      <c r="BB666" s="88"/>
    </row>
    <row r="667" spans="4:54" ht="12.75" customHeight="1" x14ac:dyDescent="0.15">
      <c r="D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V667" s="88"/>
      <c r="AW667" s="88"/>
      <c r="AX667" s="88"/>
      <c r="AY667" s="88"/>
      <c r="AZ667" s="88"/>
      <c r="BA667" s="88"/>
      <c r="BB667" s="88"/>
    </row>
    <row r="668" spans="4:54" ht="12.75" customHeight="1" x14ac:dyDescent="0.15">
      <c r="D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V668" s="88"/>
      <c r="AW668" s="88"/>
      <c r="AX668" s="88"/>
      <c r="AY668" s="88"/>
      <c r="AZ668" s="88"/>
      <c r="BA668" s="88"/>
      <c r="BB668" s="88"/>
    </row>
    <row r="669" spans="4:54" ht="12.75" customHeight="1" x14ac:dyDescent="0.15">
      <c r="D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V669" s="88"/>
      <c r="AW669" s="88"/>
      <c r="AX669" s="88"/>
      <c r="AY669" s="88"/>
      <c r="AZ669" s="88"/>
      <c r="BA669" s="88"/>
      <c r="BB669" s="88"/>
    </row>
    <row r="670" spans="4:54" ht="12.75" customHeight="1" x14ac:dyDescent="0.15">
      <c r="D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V670" s="88"/>
      <c r="AW670" s="88"/>
      <c r="AX670" s="88"/>
      <c r="AY670" s="88"/>
      <c r="AZ670" s="88"/>
      <c r="BA670" s="88"/>
      <c r="BB670" s="88"/>
    </row>
    <row r="671" spans="4:54" ht="12.75" customHeight="1" x14ac:dyDescent="0.15">
      <c r="D671" s="88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V671" s="88"/>
      <c r="AW671" s="88"/>
      <c r="AX671" s="88"/>
      <c r="AY671" s="88"/>
      <c r="AZ671" s="88"/>
      <c r="BA671" s="88"/>
      <c r="BB671" s="88"/>
    </row>
    <row r="672" spans="4:54" ht="12.75" customHeight="1" x14ac:dyDescent="0.15">
      <c r="D672" s="88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V672" s="88"/>
      <c r="AW672" s="88"/>
      <c r="AX672" s="88"/>
      <c r="AY672" s="88"/>
      <c r="AZ672" s="88"/>
      <c r="BA672" s="88"/>
      <c r="BB672" s="88"/>
    </row>
    <row r="673" spans="4:54" ht="12.75" customHeight="1" x14ac:dyDescent="0.15">
      <c r="D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V673" s="88"/>
      <c r="AW673" s="88"/>
      <c r="AX673" s="88"/>
      <c r="AY673" s="88"/>
      <c r="AZ673" s="88"/>
      <c r="BA673" s="88"/>
      <c r="BB673" s="88"/>
    </row>
    <row r="674" spans="4:54" ht="12.75" customHeight="1" x14ac:dyDescent="0.15">
      <c r="D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V674" s="88"/>
      <c r="AW674" s="88"/>
      <c r="AX674" s="88"/>
      <c r="AY674" s="88"/>
      <c r="AZ674" s="88"/>
      <c r="BA674" s="88"/>
      <c r="BB674" s="88"/>
    </row>
    <row r="675" spans="4:54" ht="12.75" customHeight="1" x14ac:dyDescent="0.15">
      <c r="D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V675" s="88"/>
      <c r="AW675" s="88"/>
      <c r="AX675" s="88"/>
      <c r="AY675" s="88"/>
      <c r="AZ675" s="88"/>
      <c r="BA675" s="88"/>
      <c r="BB675" s="88"/>
    </row>
    <row r="676" spans="4:54" ht="12.75" customHeight="1" x14ac:dyDescent="0.15">
      <c r="D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V676" s="88"/>
      <c r="AW676" s="88"/>
      <c r="AX676" s="88"/>
      <c r="AY676" s="88"/>
      <c r="AZ676" s="88"/>
      <c r="BA676" s="88"/>
      <c r="BB676" s="88"/>
    </row>
    <row r="677" spans="4:54" ht="12.75" customHeight="1" x14ac:dyDescent="0.15">
      <c r="D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V677" s="88"/>
      <c r="AW677" s="88"/>
      <c r="AX677" s="88"/>
      <c r="AY677" s="88"/>
      <c r="AZ677" s="88"/>
      <c r="BA677" s="88"/>
      <c r="BB677" s="88"/>
    </row>
    <row r="678" spans="4:54" ht="12.75" customHeight="1" x14ac:dyDescent="0.15">
      <c r="D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V678" s="88"/>
      <c r="AW678" s="88"/>
      <c r="AX678" s="88"/>
      <c r="AY678" s="88"/>
      <c r="AZ678" s="88"/>
      <c r="BA678" s="88"/>
      <c r="BB678" s="88"/>
    </row>
    <row r="679" spans="4:54" ht="12.75" customHeight="1" x14ac:dyDescent="0.15">
      <c r="D679" s="88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V679" s="88"/>
      <c r="AW679" s="88"/>
      <c r="AX679" s="88"/>
      <c r="AY679" s="88"/>
      <c r="AZ679" s="88"/>
      <c r="BA679" s="88"/>
      <c r="BB679" s="88"/>
    </row>
    <row r="680" spans="4:54" ht="12.75" customHeight="1" x14ac:dyDescent="0.15">
      <c r="D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V680" s="88"/>
      <c r="AW680" s="88"/>
      <c r="AX680" s="88"/>
      <c r="AY680" s="88"/>
      <c r="AZ680" s="88"/>
      <c r="BA680" s="88"/>
      <c r="BB680" s="88"/>
    </row>
    <row r="681" spans="4:54" ht="12.75" customHeight="1" x14ac:dyDescent="0.15">
      <c r="D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V681" s="88"/>
      <c r="AW681" s="88"/>
      <c r="AX681" s="88"/>
      <c r="AY681" s="88"/>
      <c r="AZ681" s="88"/>
      <c r="BA681" s="88"/>
      <c r="BB681" s="88"/>
    </row>
    <row r="682" spans="4:54" ht="12.75" customHeight="1" x14ac:dyDescent="0.15">
      <c r="D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V682" s="88"/>
      <c r="AW682" s="88"/>
      <c r="AX682" s="88"/>
      <c r="AY682" s="88"/>
      <c r="AZ682" s="88"/>
      <c r="BA682" s="88"/>
      <c r="BB682" s="88"/>
    </row>
    <row r="683" spans="4:54" ht="12.75" customHeight="1" x14ac:dyDescent="0.15">
      <c r="D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V683" s="88"/>
      <c r="AW683" s="88"/>
      <c r="AX683" s="88"/>
      <c r="AY683" s="88"/>
      <c r="AZ683" s="88"/>
      <c r="BA683" s="88"/>
      <c r="BB683" s="88"/>
    </row>
    <row r="684" spans="4:54" ht="12.75" customHeight="1" x14ac:dyDescent="0.15">
      <c r="D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V684" s="88"/>
      <c r="AW684" s="88"/>
      <c r="AX684" s="88"/>
      <c r="AY684" s="88"/>
      <c r="AZ684" s="88"/>
      <c r="BA684" s="88"/>
      <c r="BB684" s="88"/>
    </row>
    <row r="685" spans="4:54" ht="12.75" customHeight="1" x14ac:dyDescent="0.15">
      <c r="D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V685" s="88"/>
      <c r="AW685" s="88"/>
      <c r="AX685" s="88"/>
      <c r="AY685" s="88"/>
      <c r="AZ685" s="88"/>
      <c r="BA685" s="88"/>
      <c r="BB685" s="88"/>
    </row>
    <row r="686" spans="4:54" ht="12.75" customHeight="1" x14ac:dyDescent="0.15">
      <c r="D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V686" s="88"/>
      <c r="AW686" s="88"/>
      <c r="AX686" s="88"/>
      <c r="AY686" s="88"/>
      <c r="AZ686" s="88"/>
      <c r="BA686" s="88"/>
      <c r="BB686" s="88"/>
    </row>
    <row r="687" spans="4:54" ht="12.75" customHeight="1" x14ac:dyDescent="0.15">
      <c r="D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V687" s="88"/>
      <c r="AW687" s="88"/>
      <c r="AX687" s="88"/>
      <c r="AY687" s="88"/>
      <c r="AZ687" s="88"/>
      <c r="BA687" s="88"/>
      <c r="BB687" s="88"/>
    </row>
    <row r="688" spans="4:54" ht="12.75" customHeight="1" x14ac:dyDescent="0.15">
      <c r="D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V688" s="88"/>
      <c r="AW688" s="88"/>
      <c r="AX688" s="88"/>
      <c r="AY688" s="88"/>
      <c r="AZ688" s="88"/>
      <c r="BA688" s="88"/>
      <c r="BB688" s="88"/>
    </row>
    <row r="689" spans="4:54" ht="12.75" customHeight="1" x14ac:dyDescent="0.15">
      <c r="D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V689" s="88"/>
      <c r="AW689" s="88"/>
      <c r="AX689" s="88"/>
      <c r="AY689" s="88"/>
      <c r="AZ689" s="88"/>
      <c r="BA689" s="88"/>
      <c r="BB689" s="88"/>
    </row>
    <row r="690" spans="4:54" ht="12.75" customHeight="1" x14ac:dyDescent="0.15">
      <c r="D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V690" s="88"/>
      <c r="AW690" s="88"/>
      <c r="AX690" s="88"/>
      <c r="AY690" s="88"/>
      <c r="AZ690" s="88"/>
      <c r="BA690" s="88"/>
      <c r="BB690" s="88"/>
    </row>
    <row r="691" spans="4:54" ht="12.75" customHeight="1" x14ac:dyDescent="0.15">
      <c r="D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V691" s="88"/>
      <c r="AW691" s="88"/>
      <c r="AX691" s="88"/>
      <c r="AY691" s="88"/>
      <c r="AZ691" s="88"/>
      <c r="BA691" s="88"/>
      <c r="BB691" s="88"/>
    </row>
    <row r="692" spans="4:54" ht="12.75" customHeight="1" x14ac:dyDescent="0.15">
      <c r="D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V692" s="88"/>
      <c r="AW692" s="88"/>
      <c r="AX692" s="88"/>
      <c r="AY692" s="88"/>
      <c r="AZ692" s="88"/>
      <c r="BA692" s="88"/>
      <c r="BB692" s="88"/>
    </row>
    <row r="693" spans="4:54" ht="12.75" customHeight="1" x14ac:dyDescent="0.15">
      <c r="D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V693" s="88"/>
      <c r="AW693" s="88"/>
      <c r="AX693" s="88"/>
      <c r="AY693" s="88"/>
      <c r="AZ693" s="88"/>
      <c r="BA693" s="88"/>
      <c r="BB693" s="88"/>
    </row>
    <row r="694" spans="4:54" ht="12.75" customHeight="1" x14ac:dyDescent="0.15">
      <c r="D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V694" s="88"/>
      <c r="AW694" s="88"/>
      <c r="AX694" s="88"/>
      <c r="AY694" s="88"/>
      <c r="AZ694" s="88"/>
      <c r="BA694" s="88"/>
      <c r="BB694" s="88"/>
    </row>
    <row r="695" spans="4:54" ht="12.75" customHeight="1" x14ac:dyDescent="0.15">
      <c r="D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V695" s="88"/>
      <c r="AW695" s="88"/>
      <c r="AX695" s="88"/>
      <c r="AY695" s="88"/>
      <c r="AZ695" s="88"/>
      <c r="BA695" s="88"/>
      <c r="BB695" s="88"/>
    </row>
    <row r="696" spans="4:54" ht="12.75" customHeight="1" x14ac:dyDescent="0.15">
      <c r="D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V696" s="88"/>
      <c r="AW696" s="88"/>
      <c r="AX696" s="88"/>
      <c r="AY696" s="88"/>
      <c r="AZ696" s="88"/>
      <c r="BA696" s="88"/>
      <c r="BB696" s="88"/>
    </row>
    <row r="697" spans="4:54" ht="12.75" customHeight="1" x14ac:dyDescent="0.15">
      <c r="D697" s="88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V697" s="88"/>
      <c r="AW697" s="88"/>
      <c r="AX697" s="88"/>
      <c r="AY697" s="88"/>
      <c r="AZ697" s="88"/>
      <c r="BA697" s="88"/>
      <c r="BB697" s="88"/>
    </row>
    <row r="698" spans="4:54" ht="12.75" customHeight="1" x14ac:dyDescent="0.15">
      <c r="D698" s="88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V698" s="88"/>
      <c r="AW698" s="88"/>
      <c r="AX698" s="88"/>
      <c r="AY698" s="88"/>
      <c r="AZ698" s="88"/>
      <c r="BA698" s="88"/>
      <c r="BB698" s="88"/>
    </row>
    <row r="699" spans="4:54" ht="12.75" customHeight="1" x14ac:dyDescent="0.15">
      <c r="D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V699" s="88"/>
      <c r="AW699" s="88"/>
      <c r="AX699" s="88"/>
      <c r="AY699" s="88"/>
      <c r="AZ699" s="88"/>
      <c r="BA699" s="88"/>
      <c r="BB699" s="88"/>
    </row>
    <row r="700" spans="4:54" ht="12.75" customHeight="1" x14ac:dyDescent="0.15">
      <c r="D700" s="88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V700" s="88"/>
      <c r="AW700" s="88"/>
      <c r="AX700" s="88"/>
      <c r="AY700" s="88"/>
      <c r="AZ700" s="88"/>
      <c r="BA700" s="88"/>
      <c r="BB700" s="88"/>
    </row>
    <row r="701" spans="4:54" ht="12.75" customHeight="1" x14ac:dyDescent="0.15">
      <c r="D701" s="88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V701" s="88"/>
      <c r="AW701" s="88"/>
      <c r="AX701" s="88"/>
      <c r="AY701" s="88"/>
      <c r="AZ701" s="88"/>
      <c r="BA701" s="88"/>
      <c r="BB701" s="88"/>
    </row>
    <row r="702" spans="4:54" ht="12.75" customHeight="1" x14ac:dyDescent="0.15">
      <c r="D702" s="88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V702" s="88"/>
      <c r="AW702" s="88"/>
      <c r="AX702" s="88"/>
      <c r="AY702" s="88"/>
      <c r="AZ702" s="88"/>
      <c r="BA702" s="88"/>
      <c r="BB702" s="88"/>
    </row>
    <row r="703" spans="4:54" ht="12.75" customHeight="1" x14ac:dyDescent="0.15">
      <c r="D703" s="88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V703" s="88"/>
      <c r="AW703" s="88"/>
      <c r="AX703" s="88"/>
      <c r="AY703" s="88"/>
      <c r="AZ703" s="88"/>
      <c r="BA703" s="88"/>
      <c r="BB703" s="88"/>
    </row>
    <row r="704" spans="4:54" ht="12.75" customHeight="1" x14ac:dyDescent="0.15">
      <c r="D704" s="88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V704" s="88"/>
      <c r="AW704" s="88"/>
      <c r="AX704" s="88"/>
      <c r="AY704" s="88"/>
      <c r="AZ704" s="88"/>
      <c r="BA704" s="88"/>
      <c r="BB704" s="88"/>
    </row>
    <row r="705" spans="4:54" ht="12.75" customHeight="1" x14ac:dyDescent="0.15">
      <c r="D705" s="88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V705" s="88"/>
      <c r="AW705" s="88"/>
      <c r="AX705" s="88"/>
      <c r="AY705" s="88"/>
      <c r="AZ705" s="88"/>
      <c r="BA705" s="88"/>
      <c r="BB705" s="88"/>
    </row>
    <row r="706" spans="4:54" ht="12.75" customHeight="1" x14ac:dyDescent="0.15">
      <c r="D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V706" s="88"/>
      <c r="AW706" s="88"/>
      <c r="AX706" s="88"/>
      <c r="AY706" s="88"/>
      <c r="AZ706" s="88"/>
      <c r="BA706" s="88"/>
      <c r="BB706" s="88"/>
    </row>
    <row r="707" spans="4:54" ht="12.75" customHeight="1" x14ac:dyDescent="0.15">
      <c r="D707" s="88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V707" s="88"/>
      <c r="AW707" s="88"/>
      <c r="AX707" s="88"/>
      <c r="AY707" s="88"/>
      <c r="AZ707" s="88"/>
      <c r="BA707" s="88"/>
      <c r="BB707" s="88"/>
    </row>
    <row r="708" spans="4:54" ht="12.75" customHeight="1" x14ac:dyDescent="0.15">
      <c r="D708" s="88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V708" s="88"/>
      <c r="AW708" s="88"/>
      <c r="AX708" s="88"/>
      <c r="AY708" s="88"/>
      <c r="AZ708" s="88"/>
      <c r="BA708" s="88"/>
      <c r="BB708" s="88"/>
    </row>
    <row r="709" spans="4:54" ht="12.75" customHeight="1" x14ac:dyDescent="0.15">
      <c r="D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V709" s="88"/>
      <c r="AW709" s="88"/>
      <c r="AX709" s="88"/>
      <c r="AY709" s="88"/>
      <c r="AZ709" s="88"/>
      <c r="BA709" s="88"/>
      <c r="BB709" s="88"/>
    </row>
    <row r="710" spans="4:54" ht="12.75" customHeight="1" x14ac:dyDescent="0.15">
      <c r="D710" s="88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V710" s="88"/>
      <c r="AW710" s="88"/>
      <c r="AX710" s="88"/>
      <c r="AY710" s="88"/>
      <c r="AZ710" s="88"/>
      <c r="BA710" s="88"/>
      <c r="BB710" s="88"/>
    </row>
    <row r="711" spans="4:54" ht="12.75" customHeight="1" x14ac:dyDescent="0.15">
      <c r="D711" s="88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V711" s="88"/>
      <c r="AW711" s="88"/>
      <c r="AX711" s="88"/>
      <c r="AY711" s="88"/>
      <c r="AZ711" s="88"/>
      <c r="BA711" s="88"/>
      <c r="BB711" s="88"/>
    </row>
    <row r="712" spans="4:54" ht="12.75" customHeight="1" x14ac:dyDescent="0.15">
      <c r="D712" s="88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V712" s="88"/>
      <c r="AW712" s="88"/>
      <c r="AX712" s="88"/>
      <c r="AY712" s="88"/>
      <c r="AZ712" s="88"/>
      <c r="BA712" s="88"/>
      <c r="BB712" s="88"/>
    </row>
    <row r="713" spans="4:54" ht="12.75" customHeight="1" x14ac:dyDescent="0.15">
      <c r="D713" s="88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V713" s="88"/>
      <c r="AW713" s="88"/>
      <c r="AX713" s="88"/>
      <c r="AY713" s="88"/>
      <c r="AZ713" s="88"/>
      <c r="BA713" s="88"/>
      <c r="BB713" s="88"/>
    </row>
    <row r="714" spans="4:54" ht="12.75" customHeight="1" x14ac:dyDescent="0.15">
      <c r="D714" s="88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V714" s="88"/>
      <c r="AW714" s="88"/>
      <c r="AX714" s="88"/>
      <c r="AY714" s="88"/>
      <c r="AZ714" s="88"/>
      <c r="BA714" s="88"/>
      <c r="BB714" s="88"/>
    </row>
    <row r="715" spans="4:54" ht="12.75" customHeight="1" x14ac:dyDescent="0.15">
      <c r="D715" s="88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V715" s="88"/>
      <c r="AW715" s="88"/>
      <c r="AX715" s="88"/>
      <c r="AY715" s="88"/>
      <c r="AZ715" s="88"/>
      <c r="BA715" s="88"/>
      <c r="BB715" s="88"/>
    </row>
    <row r="716" spans="4:54" ht="12.75" customHeight="1" x14ac:dyDescent="0.15">
      <c r="D716" s="88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V716" s="88"/>
      <c r="AW716" s="88"/>
      <c r="AX716" s="88"/>
      <c r="AY716" s="88"/>
      <c r="AZ716" s="88"/>
      <c r="BA716" s="88"/>
      <c r="BB716" s="88"/>
    </row>
    <row r="717" spans="4:54" ht="12.75" customHeight="1" x14ac:dyDescent="0.15">
      <c r="D717" s="88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V717" s="88"/>
      <c r="AW717" s="88"/>
      <c r="AX717" s="88"/>
      <c r="AY717" s="88"/>
      <c r="AZ717" s="88"/>
      <c r="BA717" s="88"/>
      <c r="BB717" s="88"/>
    </row>
    <row r="718" spans="4:54" ht="12.75" customHeight="1" x14ac:dyDescent="0.15">
      <c r="D718" s="88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V718" s="88"/>
      <c r="AW718" s="88"/>
      <c r="AX718" s="88"/>
      <c r="AY718" s="88"/>
      <c r="AZ718" s="88"/>
      <c r="BA718" s="88"/>
      <c r="BB718" s="88"/>
    </row>
    <row r="719" spans="4:54" ht="12.75" customHeight="1" x14ac:dyDescent="0.15">
      <c r="D719" s="88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V719" s="88"/>
      <c r="AW719" s="88"/>
      <c r="AX719" s="88"/>
      <c r="AY719" s="88"/>
      <c r="AZ719" s="88"/>
      <c r="BA719" s="88"/>
      <c r="BB719" s="88"/>
    </row>
    <row r="720" spans="4:54" ht="12.75" customHeight="1" x14ac:dyDescent="0.15">
      <c r="D720" s="88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V720" s="88"/>
      <c r="AW720" s="88"/>
      <c r="AX720" s="88"/>
      <c r="AY720" s="88"/>
      <c r="AZ720" s="88"/>
      <c r="BA720" s="88"/>
      <c r="BB720" s="88"/>
    </row>
    <row r="721" spans="4:54" ht="12.75" customHeight="1" x14ac:dyDescent="0.15">
      <c r="D721" s="88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V721" s="88"/>
      <c r="AW721" s="88"/>
      <c r="AX721" s="88"/>
      <c r="AY721" s="88"/>
      <c r="AZ721" s="88"/>
      <c r="BA721" s="88"/>
      <c r="BB721" s="88"/>
    </row>
    <row r="722" spans="4:54" ht="12.75" customHeight="1" x14ac:dyDescent="0.15">
      <c r="D722" s="88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V722" s="88"/>
      <c r="AW722" s="88"/>
      <c r="AX722" s="88"/>
      <c r="AY722" s="88"/>
      <c r="AZ722" s="88"/>
      <c r="BA722" s="88"/>
      <c r="BB722" s="88"/>
    </row>
    <row r="723" spans="4:54" ht="12.75" customHeight="1" x14ac:dyDescent="0.15">
      <c r="D723" s="88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V723" s="88"/>
      <c r="AW723" s="88"/>
      <c r="AX723" s="88"/>
      <c r="AY723" s="88"/>
      <c r="AZ723" s="88"/>
      <c r="BA723" s="88"/>
      <c r="BB723" s="88"/>
    </row>
    <row r="724" spans="4:54" ht="12.75" customHeight="1" x14ac:dyDescent="0.15">
      <c r="D724" s="88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V724" s="88"/>
      <c r="AW724" s="88"/>
      <c r="AX724" s="88"/>
      <c r="AY724" s="88"/>
      <c r="AZ724" s="88"/>
      <c r="BA724" s="88"/>
      <c r="BB724" s="88"/>
    </row>
    <row r="725" spans="4:54" ht="12.75" customHeight="1" x14ac:dyDescent="0.15">
      <c r="D725" s="88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V725" s="88"/>
      <c r="AW725" s="88"/>
      <c r="AX725" s="88"/>
      <c r="AY725" s="88"/>
      <c r="AZ725" s="88"/>
      <c r="BA725" s="88"/>
      <c r="BB725" s="88"/>
    </row>
    <row r="726" spans="4:54" ht="12.75" customHeight="1" x14ac:dyDescent="0.15">
      <c r="D726" s="88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V726" s="88"/>
      <c r="AW726" s="88"/>
      <c r="AX726" s="88"/>
      <c r="AY726" s="88"/>
      <c r="AZ726" s="88"/>
      <c r="BA726" s="88"/>
      <c r="BB726" s="88"/>
    </row>
    <row r="727" spans="4:54" ht="12.75" customHeight="1" x14ac:dyDescent="0.15">
      <c r="D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V727" s="88"/>
      <c r="AW727" s="88"/>
      <c r="AX727" s="88"/>
      <c r="AY727" s="88"/>
      <c r="AZ727" s="88"/>
      <c r="BA727" s="88"/>
      <c r="BB727" s="88"/>
    </row>
    <row r="728" spans="4:54" ht="12.75" customHeight="1" x14ac:dyDescent="0.15">
      <c r="D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V728" s="88"/>
      <c r="AW728" s="88"/>
      <c r="AX728" s="88"/>
      <c r="AY728" s="88"/>
      <c r="AZ728" s="88"/>
      <c r="BA728" s="88"/>
      <c r="BB728" s="88"/>
    </row>
    <row r="729" spans="4:54" ht="12.75" customHeight="1" x14ac:dyDescent="0.15">
      <c r="D729" s="88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V729" s="88"/>
      <c r="AW729" s="88"/>
      <c r="AX729" s="88"/>
      <c r="AY729" s="88"/>
      <c r="AZ729" s="88"/>
      <c r="BA729" s="88"/>
      <c r="BB729" s="88"/>
    </row>
    <row r="730" spans="4:54" ht="12.75" customHeight="1" x14ac:dyDescent="0.15">
      <c r="D730" s="88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V730" s="88"/>
      <c r="AW730" s="88"/>
      <c r="AX730" s="88"/>
      <c r="AY730" s="88"/>
      <c r="AZ730" s="88"/>
      <c r="BA730" s="88"/>
      <c r="BB730" s="88"/>
    </row>
    <row r="731" spans="4:54" ht="12.75" customHeight="1" x14ac:dyDescent="0.15">
      <c r="D731" s="88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V731" s="88"/>
      <c r="AW731" s="88"/>
      <c r="AX731" s="88"/>
      <c r="AY731" s="88"/>
      <c r="AZ731" s="88"/>
      <c r="BA731" s="88"/>
      <c r="BB731" s="88"/>
    </row>
    <row r="732" spans="4:54" ht="12.75" customHeight="1" x14ac:dyDescent="0.15">
      <c r="D732" s="88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V732" s="88"/>
      <c r="AW732" s="88"/>
      <c r="AX732" s="88"/>
      <c r="AY732" s="88"/>
      <c r="AZ732" s="88"/>
      <c r="BA732" s="88"/>
      <c r="BB732" s="88"/>
    </row>
    <row r="733" spans="4:54" ht="12.75" customHeight="1" x14ac:dyDescent="0.15">
      <c r="D733" s="88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V733" s="88"/>
      <c r="AW733" s="88"/>
      <c r="AX733" s="88"/>
      <c r="AY733" s="88"/>
      <c r="AZ733" s="88"/>
      <c r="BA733" s="88"/>
      <c r="BB733" s="88"/>
    </row>
    <row r="734" spans="4:54" ht="12.75" customHeight="1" x14ac:dyDescent="0.15">
      <c r="D734" s="88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V734" s="88"/>
      <c r="AW734" s="88"/>
      <c r="AX734" s="88"/>
      <c r="AY734" s="88"/>
      <c r="AZ734" s="88"/>
      <c r="BA734" s="88"/>
      <c r="BB734" s="88"/>
    </row>
    <row r="735" spans="4:54" ht="12.75" customHeight="1" x14ac:dyDescent="0.15">
      <c r="D735" s="88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V735" s="88"/>
      <c r="AW735" s="88"/>
      <c r="AX735" s="88"/>
      <c r="AY735" s="88"/>
      <c r="AZ735" s="88"/>
      <c r="BA735" s="88"/>
      <c r="BB735" s="88"/>
    </row>
    <row r="736" spans="4:54" ht="12.75" customHeight="1" x14ac:dyDescent="0.15">
      <c r="D736" s="88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V736" s="88"/>
      <c r="AW736" s="88"/>
      <c r="AX736" s="88"/>
      <c r="AY736" s="88"/>
      <c r="AZ736" s="88"/>
      <c r="BA736" s="88"/>
      <c r="BB736" s="88"/>
    </row>
    <row r="737" spans="4:54" ht="12.75" customHeight="1" x14ac:dyDescent="0.15">
      <c r="D737" s="88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V737" s="88"/>
      <c r="AW737" s="88"/>
      <c r="AX737" s="88"/>
      <c r="AY737" s="88"/>
      <c r="AZ737" s="88"/>
      <c r="BA737" s="88"/>
      <c r="BB737" s="88"/>
    </row>
    <row r="738" spans="4:54" ht="12.75" customHeight="1" x14ac:dyDescent="0.15">
      <c r="D738" s="88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V738" s="88"/>
      <c r="AW738" s="88"/>
      <c r="AX738" s="88"/>
      <c r="AY738" s="88"/>
      <c r="AZ738" s="88"/>
      <c r="BA738" s="88"/>
      <c r="BB738" s="88"/>
    </row>
    <row r="739" spans="4:54" ht="12.75" customHeight="1" x14ac:dyDescent="0.15">
      <c r="D739" s="88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V739" s="88"/>
      <c r="AW739" s="88"/>
      <c r="AX739" s="88"/>
      <c r="AY739" s="88"/>
      <c r="AZ739" s="88"/>
      <c r="BA739" s="88"/>
      <c r="BB739" s="88"/>
    </row>
    <row r="740" spans="4:54" ht="12.75" customHeight="1" x14ac:dyDescent="0.15">
      <c r="D740" s="88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V740" s="88"/>
      <c r="AW740" s="88"/>
      <c r="AX740" s="88"/>
      <c r="AY740" s="88"/>
      <c r="AZ740" s="88"/>
      <c r="BA740" s="88"/>
      <c r="BB740" s="88"/>
    </row>
    <row r="741" spans="4:54" ht="12.75" customHeight="1" x14ac:dyDescent="0.15">
      <c r="D741" s="88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V741" s="88"/>
      <c r="AW741" s="88"/>
      <c r="AX741" s="88"/>
      <c r="AY741" s="88"/>
      <c r="AZ741" s="88"/>
      <c r="BA741" s="88"/>
      <c r="BB741" s="88"/>
    </row>
    <row r="742" spans="4:54" ht="12.75" customHeight="1" x14ac:dyDescent="0.15">
      <c r="D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V742" s="88"/>
      <c r="AW742" s="88"/>
      <c r="AX742" s="88"/>
      <c r="AY742" s="88"/>
      <c r="AZ742" s="88"/>
      <c r="BA742" s="88"/>
      <c r="BB742" s="88"/>
    </row>
    <row r="743" spans="4:54" ht="12.75" customHeight="1" x14ac:dyDescent="0.15">
      <c r="D743" s="88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V743" s="88"/>
      <c r="AW743" s="88"/>
      <c r="AX743" s="88"/>
      <c r="AY743" s="88"/>
      <c r="AZ743" s="88"/>
      <c r="BA743" s="88"/>
      <c r="BB743" s="88"/>
    </row>
    <row r="744" spans="4:54" ht="12.75" customHeight="1" x14ac:dyDescent="0.15">
      <c r="D744" s="88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V744" s="88"/>
      <c r="AW744" s="88"/>
      <c r="AX744" s="88"/>
      <c r="AY744" s="88"/>
      <c r="AZ744" s="88"/>
      <c r="BA744" s="88"/>
      <c r="BB744" s="88"/>
    </row>
    <row r="745" spans="4:54" ht="12.75" customHeight="1" x14ac:dyDescent="0.15">
      <c r="D745" s="88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V745" s="88"/>
      <c r="AW745" s="88"/>
      <c r="AX745" s="88"/>
      <c r="AY745" s="88"/>
      <c r="AZ745" s="88"/>
      <c r="BA745" s="88"/>
      <c r="BB745" s="88"/>
    </row>
    <row r="746" spans="4:54" ht="12.75" customHeight="1" x14ac:dyDescent="0.15">
      <c r="D746" s="88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V746" s="88"/>
      <c r="AW746" s="88"/>
      <c r="AX746" s="88"/>
      <c r="AY746" s="88"/>
      <c r="AZ746" s="88"/>
      <c r="BA746" s="88"/>
      <c r="BB746" s="88"/>
    </row>
    <row r="747" spans="4:54" ht="12.75" customHeight="1" x14ac:dyDescent="0.15">
      <c r="D747" s="88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V747" s="88"/>
      <c r="AW747" s="88"/>
      <c r="AX747" s="88"/>
      <c r="AY747" s="88"/>
      <c r="AZ747" s="88"/>
      <c r="BA747" s="88"/>
      <c r="BB747" s="88"/>
    </row>
    <row r="748" spans="4:54" ht="12.75" customHeight="1" x14ac:dyDescent="0.15">
      <c r="D748" s="88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V748" s="88"/>
      <c r="AW748" s="88"/>
      <c r="AX748" s="88"/>
      <c r="AY748" s="88"/>
      <c r="AZ748" s="88"/>
      <c r="BA748" s="88"/>
      <c r="BB748" s="88"/>
    </row>
    <row r="749" spans="4:54" ht="12.75" customHeight="1" x14ac:dyDescent="0.15">
      <c r="D749" s="88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V749" s="88"/>
      <c r="AW749" s="88"/>
      <c r="AX749" s="88"/>
      <c r="AY749" s="88"/>
      <c r="AZ749" s="88"/>
      <c r="BA749" s="88"/>
      <c r="BB749" s="88"/>
    </row>
    <row r="750" spans="4:54" ht="12.75" customHeight="1" x14ac:dyDescent="0.15">
      <c r="D750" s="88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V750" s="88"/>
      <c r="AW750" s="88"/>
      <c r="AX750" s="88"/>
      <c r="AY750" s="88"/>
      <c r="AZ750" s="88"/>
      <c r="BA750" s="88"/>
      <c r="BB750" s="88"/>
    </row>
    <row r="751" spans="4:54" ht="12.75" customHeight="1" x14ac:dyDescent="0.15">
      <c r="D751" s="88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V751" s="88"/>
      <c r="AW751" s="88"/>
      <c r="AX751" s="88"/>
      <c r="AY751" s="88"/>
      <c r="AZ751" s="88"/>
      <c r="BA751" s="88"/>
      <c r="BB751" s="88"/>
    </row>
    <row r="752" spans="4:54" ht="12.75" customHeight="1" x14ac:dyDescent="0.15">
      <c r="D752" s="88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V752" s="88"/>
      <c r="AW752" s="88"/>
      <c r="AX752" s="88"/>
      <c r="AY752" s="88"/>
      <c r="AZ752" s="88"/>
      <c r="BA752" s="88"/>
      <c r="BB752" s="88"/>
    </row>
    <row r="753" spans="4:54" ht="12.75" customHeight="1" x14ac:dyDescent="0.15">
      <c r="D753" s="88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V753" s="88"/>
      <c r="AW753" s="88"/>
      <c r="AX753" s="88"/>
      <c r="AY753" s="88"/>
      <c r="AZ753" s="88"/>
      <c r="BA753" s="88"/>
      <c r="BB753" s="88"/>
    </row>
    <row r="754" spans="4:54" ht="12.75" customHeight="1" x14ac:dyDescent="0.15">
      <c r="D754" s="88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V754" s="88"/>
      <c r="AW754" s="88"/>
      <c r="AX754" s="88"/>
      <c r="AY754" s="88"/>
      <c r="AZ754" s="88"/>
      <c r="BA754" s="88"/>
      <c r="BB754" s="88"/>
    </row>
    <row r="755" spans="4:54" ht="12.75" customHeight="1" x14ac:dyDescent="0.15">
      <c r="D755" s="88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V755" s="88"/>
      <c r="AW755" s="88"/>
      <c r="AX755" s="88"/>
      <c r="AY755" s="88"/>
      <c r="AZ755" s="88"/>
      <c r="BA755" s="88"/>
      <c r="BB755" s="88"/>
    </row>
    <row r="756" spans="4:54" ht="12.75" customHeight="1" x14ac:dyDescent="0.15">
      <c r="D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V756" s="88"/>
      <c r="AW756" s="88"/>
      <c r="AX756" s="88"/>
      <c r="AY756" s="88"/>
      <c r="AZ756" s="88"/>
      <c r="BA756" s="88"/>
      <c r="BB756" s="88"/>
    </row>
    <row r="757" spans="4:54" ht="12.75" customHeight="1" x14ac:dyDescent="0.15">
      <c r="D757" s="88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V757" s="88"/>
      <c r="AW757" s="88"/>
      <c r="AX757" s="88"/>
      <c r="AY757" s="88"/>
      <c r="AZ757" s="88"/>
      <c r="BA757" s="88"/>
      <c r="BB757" s="88"/>
    </row>
    <row r="758" spans="4:54" ht="12.75" customHeight="1" x14ac:dyDescent="0.15">
      <c r="D758" s="88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V758" s="88"/>
      <c r="AW758" s="88"/>
      <c r="AX758" s="88"/>
      <c r="AY758" s="88"/>
      <c r="AZ758" s="88"/>
      <c r="BA758" s="88"/>
      <c r="BB758" s="88"/>
    </row>
    <row r="759" spans="4:54" ht="12.75" customHeight="1" x14ac:dyDescent="0.15">
      <c r="D759" s="88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V759" s="88"/>
      <c r="AW759" s="88"/>
      <c r="AX759" s="88"/>
      <c r="AY759" s="88"/>
      <c r="AZ759" s="88"/>
      <c r="BA759" s="88"/>
      <c r="BB759" s="88"/>
    </row>
    <row r="760" spans="4:54" ht="12.75" customHeight="1" x14ac:dyDescent="0.15">
      <c r="D760" s="88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V760" s="88"/>
      <c r="AW760" s="88"/>
      <c r="AX760" s="88"/>
      <c r="AY760" s="88"/>
      <c r="AZ760" s="88"/>
      <c r="BA760" s="88"/>
      <c r="BB760" s="88"/>
    </row>
    <row r="761" spans="4:54" ht="12.75" customHeight="1" x14ac:dyDescent="0.15">
      <c r="D761" s="88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V761" s="88"/>
      <c r="AW761" s="88"/>
      <c r="AX761" s="88"/>
      <c r="AY761" s="88"/>
      <c r="AZ761" s="88"/>
      <c r="BA761" s="88"/>
      <c r="BB761" s="88"/>
    </row>
    <row r="762" spans="4:54" ht="12.75" customHeight="1" x14ac:dyDescent="0.15">
      <c r="D762" s="88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V762" s="88"/>
      <c r="AW762" s="88"/>
      <c r="AX762" s="88"/>
      <c r="AY762" s="88"/>
      <c r="AZ762" s="88"/>
      <c r="BA762" s="88"/>
      <c r="BB762" s="88"/>
    </row>
    <row r="763" spans="4:54" ht="12.75" customHeight="1" x14ac:dyDescent="0.15">
      <c r="D763" s="88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V763" s="88"/>
      <c r="AW763" s="88"/>
      <c r="AX763" s="88"/>
      <c r="AY763" s="88"/>
      <c r="AZ763" s="88"/>
      <c r="BA763" s="88"/>
      <c r="BB763" s="88"/>
    </row>
    <row r="764" spans="4:54" ht="12.75" customHeight="1" x14ac:dyDescent="0.15">
      <c r="D764" s="88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V764" s="88"/>
      <c r="AW764" s="88"/>
      <c r="AX764" s="88"/>
      <c r="AY764" s="88"/>
      <c r="AZ764" s="88"/>
      <c r="BA764" s="88"/>
      <c r="BB764" s="88"/>
    </row>
    <row r="765" spans="4:54" ht="12.75" customHeight="1" x14ac:dyDescent="0.15">
      <c r="D765" s="88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V765" s="88"/>
      <c r="AW765" s="88"/>
      <c r="AX765" s="88"/>
      <c r="AY765" s="88"/>
      <c r="AZ765" s="88"/>
      <c r="BA765" s="88"/>
      <c r="BB765" s="88"/>
    </row>
    <row r="766" spans="4:54" ht="12.75" customHeight="1" x14ac:dyDescent="0.15">
      <c r="D766" s="88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V766" s="88"/>
      <c r="AW766" s="88"/>
      <c r="AX766" s="88"/>
      <c r="AY766" s="88"/>
      <c r="AZ766" s="88"/>
      <c r="BA766" s="88"/>
      <c r="BB766" s="88"/>
    </row>
    <row r="767" spans="4:54" ht="12.75" customHeight="1" x14ac:dyDescent="0.15">
      <c r="D767" s="88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V767" s="88"/>
      <c r="AW767" s="88"/>
      <c r="AX767" s="88"/>
      <c r="AY767" s="88"/>
      <c r="AZ767" s="88"/>
      <c r="BA767" s="88"/>
      <c r="BB767" s="88"/>
    </row>
    <row r="768" spans="4:54" ht="12.75" customHeight="1" x14ac:dyDescent="0.15">
      <c r="D768" s="88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V768" s="88"/>
      <c r="AW768" s="88"/>
      <c r="AX768" s="88"/>
      <c r="AY768" s="88"/>
      <c r="AZ768" s="88"/>
      <c r="BA768" s="88"/>
      <c r="BB768" s="88"/>
    </row>
    <row r="769" spans="4:54" ht="12.75" customHeight="1" x14ac:dyDescent="0.15">
      <c r="D769" s="88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V769" s="88"/>
      <c r="AW769" s="88"/>
      <c r="AX769" s="88"/>
      <c r="AY769" s="88"/>
      <c r="AZ769" s="88"/>
      <c r="BA769" s="88"/>
      <c r="BB769" s="88"/>
    </row>
    <row r="770" spans="4:54" ht="12.75" customHeight="1" x14ac:dyDescent="0.15">
      <c r="D770" s="88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V770" s="88"/>
      <c r="AW770" s="88"/>
      <c r="AX770" s="88"/>
      <c r="AY770" s="88"/>
      <c r="AZ770" s="88"/>
      <c r="BA770" s="88"/>
      <c r="BB770" s="88"/>
    </row>
    <row r="771" spans="4:54" ht="12.75" customHeight="1" x14ac:dyDescent="0.15">
      <c r="D771" s="88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V771" s="88"/>
      <c r="AW771" s="88"/>
      <c r="AX771" s="88"/>
      <c r="AY771" s="88"/>
      <c r="AZ771" s="88"/>
      <c r="BA771" s="88"/>
      <c r="BB771" s="88"/>
    </row>
    <row r="772" spans="4:54" ht="12.75" customHeight="1" x14ac:dyDescent="0.15">
      <c r="D772" s="88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V772" s="88"/>
      <c r="AW772" s="88"/>
      <c r="AX772" s="88"/>
      <c r="AY772" s="88"/>
      <c r="AZ772" s="88"/>
      <c r="BA772" s="88"/>
      <c r="BB772" s="88"/>
    </row>
    <row r="773" spans="4:54" ht="12.75" customHeight="1" x14ac:dyDescent="0.15">
      <c r="D773" s="88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V773" s="88"/>
      <c r="AW773" s="88"/>
      <c r="AX773" s="88"/>
      <c r="AY773" s="88"/>
      <c r="AZ773" s="88"/>
      <c r="BA773" s="88"/>
      <c r="BB773" s="88"/>
    </row>
    <row r="774" spans="4:54" ht="12.75" customHeight="1" x14ac:dyDescent="0.15">
      <c r="D774" s="88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V774" s="88"/>
      <c r="AW774" s="88"/>
      <c r="AX774" s="88"/>
      <c r="AY774" s="88"/>
      <c r="AZ774" s="88"/>
      <c r="BA774" s="88"/>
      <c r="BB774" s="88"/>
    </row>
    <row r="775" spans="4:54" ht="12.75" customHeight="1" x14ac:dyDescent="0.15">
      <c r="D775" s="88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V775" s="88"/>
      <c r="AW775" s="88"/>
      <c r="AX775" s="88"/>
      <c r="AY775" s="88"/>
      <c r="AZ775" s="88"/>
      <c r="BA775" s="88"/>
      <c r="BB775" s="88"/>
    </row>
    <row r="776" spans="4:54" ht="12.75" customHeight="1" x14ac:dyDescent="0.15">
      <c r="D776" s="88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V776" s="88"/>
      <c r="AW776" s="88"/>
      <c r="AX776" s="88"/>
      <c r="AY776" s="88"/>
      <c r="AZ776" s="88"/>
      <c r="BA776" s="88"/>
      <c r="BB776" s="88"/>
    </row>
    <row r="777" spans="4:54" ht="12.75" customHeight="1" x14ac:dyDescent="0.15">
      <c r="D777" s="88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V777" s="88"/>
      <c r="AW777" s="88"/>
      <c r="AX777" s="88"/>
      <c r="AY777" s="88"/>
      <c r="AZ777" s="88"/>
      <c r="BA777" s="88"/>
      <c r="BB777" s="88"/>
    </row>
    <row r="778" spans="4:54" ht="12.75" customHeight="1" x14ac:dyDescent="0.15">
      <c r="D778" s="88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V778" s="88"/>
      <c r="AW778" s="88"/>
      <c r="AX778" s="88"/>
      <c r="AY778" s="88"/>
      <c r="AZ778" s="88"/>
      <c r="BA778" s="88"/>
      <c r="BB778" s="88"/>
    </row>
    <row r="779" spans="4:54" ht="12.75" customHeight="1" x14ac:dyDescent="0.15">
      <c r="D779" s="88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V779" s="88"/>
      <c r="AW779" s="88"/>
      <c r="AX779" s="88"/>
      <c r="AY779" s="88"/>
      <c r="AZ779" s="88"/>
      <c r="BA779" s="88"/>
      <c r="BB779" s="88"/>
    </row>
    <row r="780" spans="4:54" ht="12.75" customHeight="1" x14ac:dyDescent="0.15">
      <c r="D780" s="88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V780" s="88"/>
      <c r="AW780" s="88"/>
      <c r="AX780" s="88"/>
      <c r="AY780" s="88"/>
      <c r="AZ780" s="88"/>
      <c r="BA780" s="88"/>
      <c r="BB780" s="88"/>
    </row>
    <row r="781" spans="4:54" ht="12.75" customHeight="1" x14ac:dyDescent="0.15">
      <c r="D781" s="88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V781" s="88"/>
      <c r="AW781" s="88"/>
      <c r="AX781" s="88"/>
      <c r="AY781" s="88"/>
      <c r="AZ781" s="88"/>
      <c r="BA781" s="88"/>
      <c r="BB781" s="88"/>
    </row>
    <row r="782" spans="4:54" ht="12.75" customHeight="1" x14ac:dyDescent="0.15">
      <c r="D782" s="88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V782" s="88"/>
      <c r="AW782" s="88"/>
      <c r="AX782" s="88"/>
      <c r="AY782" s="88"/>
      <c r="AZ782" s="88"/>
      <c r="BA782" s="88"/>
      <c r="BB782" s="88"/>
    </row>
    <row r="783" spans="4:54" ht="12.75" customHeight="1" x14ac:dyDescent="0.15">
      <c r="D783" s="88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V783" s="88"/>
      <c r="AW783" s="88"/>
      <c r="AX783" s="88"/>
      <c r="AY783" s="88"/>
      <c r="AZ783" s="88"/>
      <c r="BA783" s="88"/>
      <c r="BB783" s="88"/>
    </row>
    <row r="784" spans="4:54" ht="12.75" customHeight="1" x14ac:dyDescent="0.15">
      <c r="D784" s="88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V784" s="88"/>
      <c r="AW784" s="88"/>
      <c r="AX784" s="88"/>
      <c r="AY784" s="88"/>
      <c r="AZ784" s="88"/>
      <c r="BA784" s="88"/>
      <c r="BB784" s="88"/>
    </row>
    <row r="785" spans="4:54" ht="12.75" customHeight="1" x14ac:dyDescent="0.15">
      <c r="D785" s="88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V785" s="88"/>
      <c r="AW785" s="88"/>
      <c r="AX785" s="88"/>
      <c r="AY785" s="88"/>
      <c r="AZ785" s="88"/>
      <c r="BA785" s="88"/>
      <c r="BB785" s="88"/>
    </row>
    <row r="786" spans="4:54" ht="12.75" customHeight="1" x14ac:dyDescent="0.15">
      <c r="D786" s="88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V786" s="88"/>
      <c r="AW786" s="88"/>
      <c r="AX786" s="88"/>
      <c r="AY786" s="88"/>
      <c r="AZ786" s="88"/>
      <c r="BA786" s="88"/>
      <c r="BB786" s="88"/>
    </row>
    <row r="787" spans="4:54" ht="12.75" customHeight="1" x14ac:dyDescent="0.15">
      <c r="D787" s="88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V787" s="88"/>
      <c r="AW787" s="88"/>
      <c r="AX787" s="88"/>
      <c r="AY787" s="88"/>
      <c r="AZ787" s="88"/>
      <c r="BA787" s="88"/>
      <c r="BB787" s="88"/>
    </row>
    <row r="788" spans="4:54" ht="12.75" customHeight="1" x14ac:dyDescent="0.15">
      <c r="D788" s="88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V788" s="88"/>
      <c r="AW788" s="88"/>
      <c r="AX788" s="88"/>
      <c r="AY788" s="88"/>
      <c r="AZ788" s="88"/>
      <c r="BA788" s="88"/>
      <c r="BB788" s="88"/>
    </row>
    <row r="789" spans="4:54" ht="12.75" customHeight="1" x14ac:dyDescent="0.15">
      <c r="D789" s="88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V789" s="88"/>
      <c r="AW789" s="88"/>
      <c r="AX789" s="88"/>
      <c r="AY789" s="88"/>
      <c r="AZ789" s="88"/>
      <c r="BA789" s="88"/>
      <c r="BB789" s="88"/>
    </row>
    <row r="790" spans="4:54" ht="12.75" customHeight="1" x14ac:dyDescent="0.15">
      <c r="D790" s="88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V790" s="88"/>
      <c r="AW790" s="88"/>
      <c r="AX790" s="88"/>
      <c r="AY790" s="88"/>
      <c r="AZ790" s="88"/>
      <c r="BA790" s="88"/>
      <c r="BB790" s="88"/>
    </row>
    <row r="791" spans="4:54" ht="12.75" customHeight="1" x14ac:dyDescent="0.15">
      <c r="D791" s="88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V791" s="88"/>
      <c r="AW791" s="88"/>
      <c r="AX791" s="88"/>
      <c r="AY791" s="88"/>
      <c r="AZ791" s="88"/>
      <c r="BA791" s="88"/>
      <c r="BB791" s="88"/>
    </row>
    <row r="792" spans="4:54" ht="12.75" customHeight="1" x14ac:dyDescent="0.15">
      <c r="D792" s="88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V792" s="88"/>
      <c r="AW792" s="88"/>
      <c r="AX792" s="88"/>
      <c r="AY792" s="88"/>
      <c r="AZ792" s="88"/>
      <c r="BA792" s="88"/>
      <c r="BB792" s="88"/>
    </row>
    <row r="793" spans="4:54" ht="12.75" customHeight="1" x14ac:dyDescent="0.15">
      <c r="D793" s="88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V793" s="88"/>
      <c r="AW793" s="88"/>
      <c r="AX793" s="88"/>
      <c r="AY793" s="88"/>
      <c r="AZ793" s="88"/>
      <c r="BA793" s="88"/>
      <c r="BB793" s="88"/>
    </row>
    <row r="794" spans="4:54" ht="12.75" customHeight="1" x14ac:dyDescent="0.15">
      <c r="D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V794" s="88"/>
      <c r="AW794" s="88"/>
      <c r="AX794" s="88"/>
      <c r="AY794" s="88"/>
      <c r="AZ794" s="88"/>
      <c r="BA794" s="88"/>
      <c r="BB794" s="88"/>
    </row>
    <row r="795" spans="4:54" ht="12.75" customHeight="1" x14ac:dyDescent="0.15">
      <c r="D795" s="88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V795" s="88"/>
      <c r="AW795" s="88"/>
      <c r="AX795" s="88"/>
      <c r="AY795" s="88"/>
      <c r="AZ795" s="88"/>
      <c r="BA795" s="88"/>
      <c r="BB795" s="88"/>
    </row>
    <row r="796" spans="4:54" ht="12.75" customHeight="1" x14ac:dyDescent="0.15">
      <c r="D796" s="88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V796" s="88"/>
      <c r="AW796" s="88"/>
      <c r="AX796" s="88"/>
      <c r="AY796" s="88"/>
      <c r="AZ796" s="88"/>
      <c r="BA796" s="88"/>
      <c r="BB796" s="88"/>
    </row>
    <row r="797" spans="4:54" ht="12.75" customHeight="1" x14ac:dyDescent="0.15">
      <c r="D797" s="88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V797" s="88"/>
      <c r="AW797" s="88"/>
      <c r="AX797" s="88"/>
      <c r="AY797" s="88"/>
      <c r="AZ797" s="88"/>
      <c r="BA797" s="88"/>
      <c r="BB797" s="88"/>
    </row>
    <row r="798" spans="4:54" ht="12.75" customHeight="1" x14ac:dyDescent="0.15">
      <c r="D798" s="88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V798" s="88"/>
      <c r="AW798" s="88"/>
      <c r="AX798" s="88"/>
      <c r="AY798" s="88"/>
      <c r="AZ798" s="88"/>
      <c r="BA798" s="88"/>
      <c r="BB798" s="88"/>
    </row>
    <row r="799" spans="4:54" ht="12.75" customHeight="1" x14ac:dyDescent="0.15">
      <c r="D799" s="88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V799" s="88"/>
      <c r="AW799" s="88"/>
      <c r="AX799" s="88"/>
      <c r="AY799" s="88"/>
      <c r="AZ799" s="88"/>
      <c r="BA799" s="88"/>
      <c r="BB799" s="88"/>
    </row>
    <row r="800" spans="4:54" ht="12.75" customHeight="1" x14ac:dyDescent="0.15">
      <c r="D800" s="88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V800" s="88"/>
      <c r="AW800" s="88"/>
      <c r="AX800" s="88"/>
      <c r="AY800" s="88"/>
      <c r="AZ800" s="88"/>
      <c r="BA800" s="88"/>
      <c r="BB800" s="88"/>
    </row>
    <row r="801" spans="4:54" ht="12.75" customHeight="1" x14ac:dyDescent="0.15">
      <c r="D801" s="88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V801" s="88"/>
      <c r="AW801" s="88"/>
      <c r="AX801" s="88"/>
      <c r="AY801" s="88"/>
      <c r="AZ801" s="88"/>
      <c r="BA801" s="88"/>
      <c r="BB801" s="88"/>
    </row>
    <row r="802" spans="4:54" ht="12.75" customHeight="1" x14ac:dyDescent="0.15">
      <c r="D802" s="88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V802" s="88"/>
      <c r="AW802" s="88"/>
      <c r="AX802" s="88"/>
      <c r="AY802" s="88"/>
      <c r="AZ802" s="88"/>
      <c r="BA802" s="88"/>
      <c r="BB802" s="88"/>
    </row>
    <row r="803" spans="4:54" ht="12.75" customHeight="1" x14ac:dyDescent="0.15">
      <c r="D803" s="88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V803" s="88"/>
      <c r="AW803" s="88"/>
      <c r="AX803" s="88"/>
      <c r="AY803" s="88"/>
      <c r="AZ803" s="88"/>
      <c r="BA803" s="88"/>
      <c r="BB803" s="88"/>
    </row>
    <row r="804" spans="4:54" ht="12.75" customHeight="1" x14ac:dyDescent="0.15">
      <c r="D804" s="88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V804" s="88"/>
      <c r="AW804" s="88"/>
      <c r="AX804" s="88"/>
      <c r="AY804" s="88"/>
      <c r="AZ804" s="88"/>
      <c r="BA804" s="88"/>
      <c r="BB804" s="88"/>
    </row>
    <row r="805" spans="4:54" ht="12.75" customHeight="1" x14ac:dyDescent="0.15">
      <c r="D805" s="88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V805" s="88"/>
      <c r="AW805" s="88"/>
      <c r="AX805" s="88"/>
      <c r="AY805" s="88"/>
      <c r="AZ805" s="88"/>
      <c r="BA805" s="88"/>
      <c r="BB805" s="88"/>
    </row>
    <row r="806" spans="4:54" ht="12.75" customHeight="1" x14ac:dyDescent="0.15">
      <c r="D806" s="88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V806" s="88"/>
      <c r="AW806" s="88"/>
      <c r="AX806" s="88"/>
      <c r="AY806" s="88"/>
      <c r="AZ806" s="88"/>
      <c r="BA806" s="88"/>
      <c r="BB806" s="88"/>
    </row>
    <row r="807" spans="4:54" ht="12.75" customHeight="1" x14ac:dyDescent="0.15">
      <c r="D807" s="88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V807" s="88"/>
      <c r="AW807" s="88"/>
      <c r="AX807" s="88"/>
      <c r="AY807" s="88"/>
      <c r="AZ807" s="88"/>
      <c r="BA807" s="88"/>
      <c r="BB807" s="88"/>
    </row>
    <row r="808" spans="4:54" ht="12.75" customHeight="1" x14ac:dyDescent="0.15">
      <c r="D808" s="88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V808" s="88"/>
      <c r="AW808" s="88"/>
      <c r="AX808" s="88"/>
      <c r="AY808" s="88"/>
      <c r="AZ808" s="88"/>
      <c r="BA808" s="88"/>
      <c r="BB808" s="88"/>
    </row>
    <row r="809" spans="4:54" ht="12.75" customHeight="1" x14ac:dyDescent="0.15">
      <c r="D809" s="88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V809" s="88"/>
      <c r="AW809" s="88"/>
      <c r="AX809" s="88"/>
      <c r="AY809" s="88"/>
      <c r="AZ809" s="88"/>
      <c r="BA809" s="88"/>
      <c r="BB809" s="88"/>
    </row>
    <row r="810" spans="4:54" ht="12.75" customHeight="1" x14ac:dyDescent="0.15">
      <c r="D810" s="88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V810" s="88"/>
      <c r="AW810" s="88"/>
      <c r="AX810" s="88"/>
      <c r="AY810" s="88"/>
      <c r="AZ810" s="88"/>
      <c r="BA810" s="88"/>
      <c r="BB810" s="88"/>
    </row>
    <row r="811" spans="4:54" ht="12.75" customHeight="1" x14ac:dyDescent="0.15">
      <c r="D811" s="88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V811" s="88"/>
      <c r="AW811" s="88"/>
      <c r="AX811" s="88"/>
      <c r="AY811" s="88"/>
      <c r="AZ811" s="88"/>
      <c r="BA811" s="88"/>
      <c r="BB811" s="88"/>
    </row>
    <row r="812" spans="4:54" ht="12.75" customHeight="1" x14ac:dyDescent="0.15">
      <c r="D812" s="88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V812" s="88"/>
      <c r="AW812" s="88"/>
      <c r="AX812" s="88"/>
      <c r="AY812" s="88"/>
      <c r="AZ812" s="88"/>
      <c r="BA812" s="88"/>
      <c r="BB812" s="88"/>
    </row>
    <row r="813" spans="4:54" ht="12.75" customHeight="1" x14ac:dyDescent="0.15">
      <c r="D813" s="88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V813" s="88"/>
      <c r="AW813" s="88"/>
      <c r="AX813" s="88"/>
      <c r="AY813" s="88"/>
      <c r="AZ813" s="88"/>
      <c r="BA813" s="88"/>
      <c r="BB813" s="88"/>
    </row>
    <row r="814" spans="4:54" ht="12.75" customHeight="1" x14ac:dyDescent="0.15">
      <c r="D814" s="88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V814" s="88"/>
      <c r="AW814" s="88"/>
      <c r="AX814" s="88"/>
      <c r="AY814" s="88"/>
      <c r="AZ814" s="88"/>
      <c r="BA814" s="88"/>
      <c r="BB814" s="88"/>
    </row>
    <row r="815" spans="4:54" ht="12.75" customHeight="1" x14ac:dyDescent="0.15">
      <c r="D815" s="88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V815" s="88"/>
      <c r="AW815" s="88"/>
      <c r="AX815" s="88"/>
      <c r="AY815" s="88"/>
      <c r="AZ815" s="88"/>
      <c r="BA815" s="88"/>
      <c r="BB815" s="88"/>
    </row>
    <row r="816" spans="4:54" ht="12.75" customHeight="1" x14ac:dyDescent="0.15">
      <c r="D816" s="88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V816" s="88"/>
      <c r="AW816" s="88"/>
      <c r="AX816" s="88"/>
      <c r="AY816" s="88"/>
      <c r="AZ816" s="88"/>
      <c r="BA816" s="88"/>
      <c r="BB816" s="88"/>
    </row>
    <row r="817" spans="4:54" ht="12.75" customHeight="1" x14ac:dyDescent="0.15">
      <c r="D817" s="88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V817" s="88"/>
      <c r="AW817" s="88"/>
      <c r="AX817" s="88"/>
      <c r="AY817" s="88"/>
      <c r="AZ817" s="88"/>
      <c r="BA817" s="88"/>
      <c r="BB817" s="88"/>
    </row>
    <row r="818" spans="4:54" ht="12.75" customHeight="1" x14ac:dyDescent="0.15">
      <c r="D818" s="88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V818" s="88"/>
      <c r="AW818" s="88"/>
      <c r="AX818" s="88"/>
      <c r="AY818" s="88"/>
      <c r="AZ818" s="88"/>
      <c r="BA818" s="88"/>
      <c r="BB818" s="88"/>
    </row>
    <row r="819" spans="4:54" ht="12.75" customHeight="1" x14ac:dyDescent="0.15">
      <c r="D819" s="88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V819" s="88"/>
      <c r="AW819" s="88"/>
      <c r="AX819" s="88"/>
      <c r="AY819" s="88"/>
      <c r="AZ819" s="88"/>
      <c r="BA819" s="88"/>
      <c r="BB819" s="88"/>
    </row>
    <row r="820" spans="4:54" ht="12.75" customHeight="1" x14ac:dyDescent="0.15">
      <c r="D820" s="88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V820" s="88"/>
      <c r="AW820" s="88"/>
      <c r="AX820" s="88"/>
      <c r="AY820" s="88"/>
      <c r="AZ820" s="88"/>
      <c r="BA820" s="88"/>
      <c r="BB820" s="88"/>
    </row>
    <row r="821" spans="4:54" ht="12.75" customHeight="1" x14ac:dyDescent="0.15">
      <c r="D821" s="88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V821" s="88"/>
      <c r="AW821" s="88"/>
      <c r="AX821" s="88"/>
      <c r="AY821" s="88"/>
      <c r="AZ821" s="88"/>
      <c r="BA821" s="88"/>
      <c r="BB821" s="88"/>
    </row>
    <row r="822" spans="4:54" ht="12.75" customHeight="1" x14ac:dyDescent="0.15">
      <c r="D822" s="88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V822" s="88"/>
      <c r="AW822" s="88"/>
      <c r="AX822" s="88"/>
      <c r="AY822" s="88"/>
      <c r="AZ822" s="88"/>
      <c r="BA822" s="88"/>
      <c r="BB822" s="88"/>
    </row>
    <row r="823" spans="4:54" ht="12.75" customHeight="1" x14ac:dyDescent="0.15">
      <c r="D823" s="88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V823" s="88"/>
      <c r="AW823" s="88"/>
      <c r="AX823" s="88"/>
      <c r="AY823" s="88"/>
      <c r="AZ823" s="88"/>
      <c r="BA823" s="88"/>
      <c r="BB823" s="88"/>
    </row>
    <row r="824" spans="4:54" ht="12.75" customHeight="1" x14ac:dyDescent="0.15">
      <c r="D824" s="88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V824" s="88"/>
      <c r="AW824" s="88"/>
      <c r="AX824" s="88"/>
      <c r="AY824" s="88"/>
      <c r="AZ824" s="88"/>
      <c r="BA824" s="88"/>
      <c r="BB824" s="88"/>
    </row>
    <row r="825" spans="4:54" ht="12.75" customHeight="1" x14ac:dyDescent="0.15">
      <c r="D825" s="88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V825" s="88"/>
      <c r="AW825" s="88"/>
      <c r="AX825" s="88"/>
      <c r="AY825" s="88"/>
      <c r="AZ825" s="88"/>
      <c r="BA825" s="88"/>
      <c r="BB825" s="88"/>
    </row>
    <row r="826" spans="4:54" ht="12.75" customHeight="1" x14ac:dyDescent="0.15">
      <c r="D826" s="88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V826" s="88"/>
      <c r="AW826" s="88"/>
      <c r="AX826" s="88"/>
      <c r="AY826" s="88"/>
      <c r="AZ826" s="88"/>
      <c r="BA826" s="88"/>
      <c r="BB826" s="88"/>
    </row>
    <row r="827" spans="4:54" ht="12.75" customHeight="1" x14ac:dyDescent="0.15">
      <c r="D827" s="88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V827" s="88"/>
      <c r="AW827" s="88"/>
      <c r="AX827" s="88"/>
      <c r="AY827" s="88"/>
      <c r="AZ827" s="88"/>
      <c r="BA827" s="88"/>
      <c r="BB827" s="88"/>
    </row>
    <row r="828" spans="4:54" ht="12.75" customHeight="1" x14ac:dyDescent="0.15">
      <c r="D828" s="88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V828" s="88"/>
      <c r="AW828" s="88"/>
      <c r="AX828" s="88"/>
      <c r="AY828" s="88"/>
      <c r="AZ828" s="88"/>
      <c r="BA828" s="88"/>
      <c r="BB828" s="88"/>
    </row>
    <row r="829" spans="4:54" ht="12.75" customHeight="1" x14ac:dyDescent="0.15">
      <c r="D829" s="88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V829" s="88"/>
      <c r="AW829" s="88"/>
      <c r="AX829" s="88"/>
      <c r="AY829" s="88"/>
      <c r="AZ829" s="88"/>
      <c r="BA829" s="88"/>
      <c r="BB829" s="88"/>
    </row>
    <row r="830" spans="4:54" ht="12.75" customHeight="1" x14ac:dyDescent="0.15">
      <c r="D830" s="88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V830" s="88"/>
      <c r="AW830" s="88"/>
      <c r="AX830" s="88"/>
      <c r="AY830" s="88"/>
      <c r="AZ830" s="88"/>
      <c r="BA830" s="88"/>
      <c r="BB830" s="88"/>
    </row>
    <row r="831" spans="4:54" ht="12.75" customHeight="1" x14ac:dyDescent="0.15">
      <c r="D831" s="88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V831" s="88"/>
      <c r="AW831" s="88"/>
      <c r="AX831" s="88"/>
      <c r="AY831" s="88"/>
      <c r="AZ831" s="88"/>
      <c r="BA831" s="88"/>
      <c r="BB831" s="88"/>
    </row>
    <row r="832" spans="4:54" ht="12.75" customHeight="1" x14ac:dyDescent="0.15">
      <c r="D832" s="88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V832" s="88"/>
      <c r="AW832" s="88"/>
      <c r="AX832" s="88"/>
      <c r="AY832" s="88"/>
      <c r="AZ832" s="88"/>
      <c r="BA832" s="88"/>
      <c r="BB832" s="88"/>
    </row>
    <row r="833" spans="4:54" ht="12.75" customHeight="1" x14ac:dyDescent="0.15">
      <c r="D833" s="88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V833" s="88"/>
      <c r="AW833" s="88"/>
      <c r="AX833" s="88"/>
      <c r="AY833" s="88"/>
      <c r="AZ833" s="88"/>
      <c r="BA833" s="88"/>
      <c r="BB833" s="88"/>
    </row>
    <row r="834" spans="4:54" ht="12.75" customHeight="1" x14ac:dyDescent="0.15">
      <c r="D834" s="88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V834" s="88"/>
      <c r="AW834" s="88"/>
      <c r="AX834" s="88"/>
      <c r="AY834" s="88"/>
      <c r="AZ834" s="88"/>
      <c r="BA834" s="88"/>
      <c r="BB834" s="88"/>
    </row>
    <row r="835" spans="4:54" ht="12.75" customHeight="1" x14ac:dyDescent="0.15">
      <c r="D835" s="88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V835" s="88"/>
      <c r="AW835" s="88"/>
      <c r="AX835" s="88"/>
      <c r="AY835" s="88"/>
      <c r="AZ835" s="88"/>
      <c r="BA835" s="88"/>
      <c r="BB835" s="88"/>
    </row>
    <row r="836" spans="4:54" ht="12.75" customHeight="1" x14ac:dyDescent="0.15">
      <c r="D836" s="88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V836" s="88"/>
      <c r="AW836" s="88"/>
      <c r="AX836" s="88"/>
      <c r="AY836" s="88"/>
      <c r="AZ836" s="88"/>
      <c r="BA836" s="88"/>
      <c r="BB836" s="88"/>
    </row>
    <row r="837" spans="4:54" ht="12.75" customHeight="1" x14ac:dyDescent="0.15">
      <c r="D837" s="88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V837" s="88"/>
      <c r="AW837" s="88"/>
      <c r="AX837" s="88"/>
      <c r="AY837" s="88"/>
      <c r="AZ837" s="88"/>
      <c r="BA837" s="88"/>
      <c r="BB837" s="88"/>
    </row>
    <row r="838" spans="4:54" ht="12.75" customHeight="1" x14ac:dyDescent="0.15">
      <c r="D838" s="88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V838" s="88"/>
      <c r="AW838" s="88"/>
      <c r="AX838" s="88"/>
      <c r="AY838" s="88"/>
      <c r="AZ838" s="88"/>
      <c r="BA838" s="88"/>
      <c r="BB838" s="88"/>
    </row>
    <row r="839" spans="4:54" ht="12.75" customHeight="1" x14ac:dyDescent="0.15">
      <c r="D839" s="88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V839" s="88"/>
      <c r="AW839" s="88"/>
      <c r="AX839" s="88"/>
      <c r="AY839" s="88"/>
      <c r="AZ839" s="88"/>
      <c r="BA839" s="88"/>
      <c r="BB839" s="88"/>
    </row>
    <row r="840" spans="4:54" ht="12.75" customHeight="1" x14ac:dyDescent="0.15">
      <c r="D840" s="88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V840" s="88"/>
      <c r="AW840" s="88"/>
      <c r="AX840" s="88"/>
      <c r="AY840" s="88"/>
      <c r="AZ840" s="88"/>
      <c r="BA840" s="88"/>
      <c r="BB840" s="88"/>
    </row>
    <row r="841" spans="4:54" ht="12.75" customHeight="1" x14ac:dyDescent="0.15">
      <c r="D841" s="88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V841" s="88"/>
      <c r="AW841" s="88"/>
      <c r="AX841" s="88"/>
      <c r="AY841" s="88"/>
      <c r="AZ841" s="88"/>
      <c r="BA841" s="88"/>
      <c r="BB841" s="88"/>
    </row>
    <row r="842" spans="4:54" ht="12.75" customHeight="1" x14ac:dyDescent="0.15">
      <c r="D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V842" s="88"/>
      <c r="AW842" s="88"/>
      <c r="AX842" s="88"/>
      <c r="AY842" s="88"/>
      <c r="AZ842" s="88"/>
      <c r="BA842" s="88"/>
      <c r="BB842" s="88"/>
    </row>
    <row r="843" spans="4:54" ht="12.75" customHeight="1" x14ac:dyDescent="0.15">
      <c r="D843" s="88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V843" s="88"/>
      <c r="AW843" s="88"/>
      <c r="AX843" s="88"/>
      <c r="AY843" s="88"/>
      <c r="AZ843" s="88"/>
      <c r="BA843" s="88"/>
      <c r="BB843" s="88"/>
    </row>
    <row r="844" spans="4:54" ht="12.75" customHeight="1" x14ac:dyDescent="0.15">
      <c r="D844" s="88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V844" s="88"/>
      <c r="AW844" s="88"/>
      <c r="AX844" s="88"/>
      <c r="AY844" s="88"/>
      <c r="AZ844" s="88"/>
      <c r="BA844" s="88"/>
      <c r="BB844" s="88"/>
    </row>
    <row r="845" spans="4:54" ht="12.75" customHeight="1" x14ac:dyDescent="0.15">
      <c r="D845" s="88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V845" s="88"/>
      <c r="AW845" s="88"/>
      <c r="AX845" s="88"/>
      <c r="AY845" s="88"/>
      <c r="AZ845" s="88"/>
      <c r="BA845" s="88"/>
      <c r="BB845" s="88"/>
    </row>
    <row r="846" spans="4:54" ht="12.75" customHeight="1" x14ac:dyDescent="0.15">
      <c r="D846" s="88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V846" s="88"/>
      <c r="AW846" s="88"/>
      <c r="AX846" s="88"/>
      <c r="AY846" s="88"/>
      <c r="AZ846" s="88"/>
      <c r="BA846" s="88"/>
      <c r="BB846" s="88"/>
    </row>
    <row r="847" spans="4:54" ht="12.75" customHeight="1" x14ac:dyDescent="0.15">
      <c r="D847" s="88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V847" s="88"/>
      <c r="AW847" s="88"/>
      <c r="AX847" s="88"/>
      <c r="AY847" s="88"/>
      <c r="AZ847" s="88"/>
      <c r="BA847" s="88"/>
      <c r="BB847" s="88"/>
    </row>
    <row r="848" spans="4:54" ht="12.75" customHeight="1" x14ac:dyDescent="0.15">
      <c r="D848" s="88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V848" s="88"/>
      <c r="AW848" s="88"/>
      <c r="AX848" s="88"/>
      <c r="AY848" s="88"/>
      <c r="AZ848" s="88"/>
      <c r="BA848" s="88"/>
      <c r="BB848" s="88"/>
    </row>
    <row r="849" spans="4:54" ht="12.75" customHeight="1" x14ac:dyDescent="0.15">
      <c r="D849" s="88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V849" s="88"/>
      <c r="AW849" s="88"/>
      <c r="AX849" s="88"/>
      <c r="AY849" s="88"/>
      <c r="AZ849" s="88"/>
      <c r="BA849" s="88"/>
      <c r="BB849" s="88"/>
    </row>
    <row r="850" spans="4:54" ht="12.75" customHeight="1" x14ac:dyDescent="0.15">
      <c r="D850" s="88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V850" s="88"/>
      <c r="AW850" s="88"/>
      <c r="AX850" s="88"/>
      <c r="AY850" s="88"/>
      <c r="AZ850" s="88"/>
      <c r="BA850" s="88"/>
      <c r="BB850" s="88"/>
    </row>
    <row r="851" spans="4:54" ht="12.75" customHeight="1" x14ac:dyDescent="0.15">
      <c r="D851" s="88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V851" s="88"/>
      <c r="AW851" s="88"/>
      <c r="AX851" s="88"/>
      <c r="AY851" s="88"/>
      <c r="AZ851" s="88"/>
      <c r="BA851" s="88"/>
      <c r="BB851" s="88"/>
    </row>
    <row r="852" spans="4:54" ht="12.75" customHeight="1" x14ac:dyDescent="0.15">
      <c r="D852" s="88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V852" s="88"/>
      <c r="AW852" s="88"/>
      <c r="AX852" s="88"/>
      <c r="AY852" s="88"/>
      <c r="AZ852" s="88"/>
      <c r="BA852" s="88"/>
      <c r="BB852" s="88"/>
    </row>
    <row r="853" spans="4:54" ht="12.75" customHeight="1" x14ac:dyDescent="0.15">
      <c r="D853" s="88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V853" s="88"/>
      <c r="AW853" s="88"/>
      <c r="AX853" s="88"/>
      <c r="AY853" s="88"/>
      <c r="AZ853" s="88"/>
      <c r="BA853" s="88"/>
      <c r="BB853" s="88"/>
    </row>
    <row r="854" spans="4:54" ht="12.75" customHeight="1" x14ac:dyDescent="0.15">
      <c r="D854" s="88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V854" s="88"/>
      <c r="AW854" s="88"/>
      <c r="AX854" s="88"/>
      <c r="AY854" s="88"/>
      <c r="AZ854" s="88"/>
      <c r="BA854" s="88"/>
      <c r="BB854" s="88"/>
    </row>
    <row r="855" spans="4:54" ht="12.75" customHeight="1" x14ac:dyDescent="0.15">
      <c r="D855" s="88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V855" s="88"/>
      <c r="AW855" s="88"/>
      <c r="AX855" s="88"/>
      <c r="AY855" s="88"/>
      <c r="AZ855" s="88"/>
      <c r="BA855" s="88"/>
      <c r="BB855" s="88"/>
    </row>
    <row r="856" spans="4:54" ht="12.75" customHeight="1" x14ac:dyDescent="0.15">
      <c r="D856" s="88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V856" s="88"/>
      <c r="AW856" s="88"/>
      <c r="AX856" s="88"/>
      <c r="AY856" s="88"/>
      <c r="AZ856" s="88"/>
      <c r="BA856" s="88"/>
      <c r="BB856" s="88"/>
    </row>
    <row r="857" spans="4:54" ht="12.75" customHeight="1" x14ac:dyDescent="0.15">
      <c r="D857" s="88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V857" s="88"/>
      <c r="AW857" s="88"/>
      <c r="AX857" s="88"/>
      <c r="AY857" s="88"/>
      <c r="AZ857" s="88"/>
      <c r="BA857" s="88"/>
      <c r="BB857" s="88"/>
    </row>
    <row r="858" spans="4:54" ht="12.75" customHeight="1" x14ac:dyDescent="0.15">
      <c r="D858" s="88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V858" s="88"/>
      <c r="AW858" s="88"/>
      <c r="AX858" s="88"/>
      <c r="AY858" s="88"/>
      <c r="AZ858" s="88"/>
      <c r="BA858" s="88"/>
      <c r="BB858" s="88"/>
    </row>
    <row r="859" spans="4:54" ht="12.75" customHeight="1" x14ac:dyDescent="0.15">
      <c r="D859" s="88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V859" s="88"/>
      <c r="AW859" s="88"/>
      <c r="AX859" s="88"/>
      <c r="AY859" s="88"/>
      <c r="AZ859" s="88"/>
      <c r="BA859" s="88"/>
      <c r="BB859" s="88"/>
    </row>
    <row r="860" spans="4:54" ht="12.75" customHeight="1" x14ac:dyDescent="0.15">
      <c r="D860" s="88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V860" s="88"/>
      <c r="AW860" s="88"/>
      <c r="AX860" s="88"/>
      <c r="AY860" s="88"/>
      <c r="AZ860" s="88"/>
      <c r="BA860" s="88"/>
      <c r="BB860" s="88"/>
    </row>
    <row r="861" spans="4:54" ht="12.75" customHeight="1" x14ac:dyDescent="0.15">
      <c r="D861" s="88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V861" s="88"/>
      <c r="AW861" s="88"/>
      <c r="AX861" s="88"/>
      <c r="AY861" s="88"/>
      <c r="AZ861" s="88"/>
      <c r="BA861" s="88"/>
      <c r="BB861" s="88"/>
    </row>
    <row r="862" spans="4:54" ht="12.75" customHeight="1" x14ac:dyDescent="0.15">
      <c r="D862" s="88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V862" s="88"/>
      <c r="AW862" s="88"/>
      <c r="AX862" s="88"/>
      <c r="AY862" s="88"/>
      <c r="AZ862" s="88"/>
      <c r="BA862" s="88"/>
      <c r="BB862" s="88"/>
    </row>
    <row r="863" spans="4:54" ht="12.75" customHeight="1" x14ac:dyDescent="0.15">
      <c r="D863" s="88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V863" s="88"/>
      <c r="AW863" s="88"/>
      <c r="AX863" s="88"/>
      <c r="AY863" s="88"/>
      <c r="AZ863" s="88"/>
      <c r="BA863" s="88"/>
      <c r="BB863" s="88"/>
    </row>
    <row r="864" spans="4:54" ht="12.75" customHeight="1" x14ac:dyDescent="0.15">
      <c r="D864" s="88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V864" s="88"/>
      <c r="AW864" s="88"/>
      <c r="AX864" s="88"/>
      <c r="AY864" s="88"/>
      <c r="AZ864" s="88"/>
      <c r="BA864" s="88"/>
      <c r="BB864" s="88"/>
    </row>
    <row r="865" spans="4:54" ht="12.75" customHeight="1" x14ac:dyDescent="0.15">
      <c r="D865" s="88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V865" s="88"/>
      <c r="AW865" s="88"/>
      <c r="AX865" s="88"/>
      <c r="AY865" s="88"/>
      <c r="AZ865" s="88"/>
      <c r="BA865" s="88"/>
      <c r="BB865" s="88"/>
    </row>
    <row r="866" spans="4:54" ht="12.75" customHeight="1" x14ac:dyDescent="0.15">
      <c r="D866" s="88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V866" s="88"/>
      <c r="AW866" s="88"/>
      <c r="AX866" s="88"/>
      <c r="AY866" s="88"/>
      <c r="AZ866" s="88"/>
      <c r="BA866" s="88"/>
      <c r="BB866" s="88"/>
    </row>
    <row r="867" spans="4:54" ht="12.75" customHeight="1" x14ac:dyDescent="0.15">
      <c r="D867" s="88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V867" s="88"/>
      <c r="AW867" s="88"/>
      <c r="AX867" s="88"/>
      <c r="AY867" s="88"/>
      <c r="AZ867" s="88"/>
      <c r="BA867" s="88"/>
      <c r="BB867" s="88"/>
    </row>
    <row r="868" spans="4:54" ht="12.75" customHeight="1" x14ac:dyDescent="0.15">
      <c r="D868" s="88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V868" s="88"/>
      <c r="AW868" s="88"/>
      <c r="AX868" s="88"/>
      <c r="AY868" s="88"/>
      <c r="AZ868" s="88"/>
      <c r="BA868" s="88"/>
      <c r="BB868" s="88"/>
    </row>
    <row r="869" spans="4:54" ht="12.75" customHeight="1" x14ac:dyDescent="0.15">
      <c r="D869" s="88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V869" s="88"/>
      <c r="AW869" s="88"/>
      <c r="AX869" s="88"/>
      <c r="AY869" s="88"/>
      <c r="AZ869" s="88"/>
      <c r="BA869" s="88"/>
      <c r="BB869" s="88"/>
    </row>
    <row r="870" spans="4:54" ht="12.75" customHeight="1" x14ac:dyDescent="0.15">
      <c r="D870" s="88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V870" s="88"/>
      <c r="AW870" s="88"/>
      <c r="AX870" s="88"/>
      <c r="AY870" s="88"/>
      <c r="AZ870" s="88"/>
      <c r="BA870" s="88"/>
      <c r="BB870" s="88"/>
    </row>
    <row r="871" spans="4:54" ht="12.75" customHeight="1" x14ac:dyDescent="0.15">
      <c r="D871" s="88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V871" s="88"/>
      <c r="AW871" s="88"/>
      <c r="AX871" s="88"/>
      <c r="AY871" s="88"/>
      <c r="AZ871" s="88"/>
      <c r="BA871" s="88"/>
      <c r="BB871" s="88"/>
    </row>
    <row r="872" spans="4:54" ht="12.75" customHeight="1" x14ac:dyDescent="0.15">
      <c r="D872" s="88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V872" s="88"/>
      <c r="AW872" s="88"/>
      <c r="AX872" s="88"/>
      <c r="AY872" s="88"/>
      <c r="AZ872" s="88"/>
      <c r="BA872" s="88"/>
      <c r="BB872" s="88"/>
    </row>
    <row r="873" spans="4:54" ht="12.75" customHeight="1" x14ac:dyDescent="0.15">
      <c r="D873" s="88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V873" s="88"/>
      <c r="AW873" s="88"/>
      <c r="AX873" s="88"/>
      <c r="AY873" s="88"/>
      <c r="AZ873" s="88"/>
      <c r="BA873" s="88"/>
      <c r="BB873" s="88"/>
    </row>
    <row r="874" spans="4:54" ht="12.75" customHeight="1" x14ac:dyDescent="0.15">
      <c r="D874" s="88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V874" s="88"/>
      <c r="AW874" s="88"/>
      <c r="AX874" s="88"/>
      <c r="AY874" s="88"/>
      <c r="AZ874" s="88"/>
      <c r="BA874" s="88"/>
      <c r="BB874" s="88"/>
    </row>
    <row r="875" spans="4:54" ht="12.75" customHeight="1" x14ac:dyDescent="0.15">
      <c r="D875" s="88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V875" s="88"/>
      <c r="AW875" s="88"/>
      <c r="AX875" s="88"/>
      <c r="AY875" s="88"/>
      <c r="AZ875" s="88"/>
      <c r="BA875" s="88"/>
      <c r="BB875" s="88"/>
    </row>
    <row r="876" spans="4:54" ht="12.75" customHeight="1" x14ac:dyDescent="0.15">
      <c r="D876" s="88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V876" s="88"/>
      <c r="AW876" s="88"/>
      <c r="AX876" s="88"/>
      <c r="AY876" s="88"/>
      <c r="AZ876" s="88"/>
      <c r="BA876" s="88"/>
      <c r="BB876" s="88"/>
    </row>
    <row r="877" spans="4:54" ht="12.75" customHeight="1" x14ac:dyDescent="0.15">
      <c r="D877" s="88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V877" s="88"/>
      <c r="AW877" s="88"/>
      <c r="AX877" s="88"/>
      <c r="AY877" s="88"/>
      <c r="AZ877" s="88"/>
      <c r="BA877" s="88"/>
      <c r="BB877" s="88"/>
    </row>
    <row r="878" spans="4:54" ht="12.75" customHeight="1" x14ac:dyDescent="0.15">
      <c r="D878" s="88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V878" s="88"/>
      <c r="AW878" s="88"/>
      <c r="AX878" s="88"/>
      <c r="AY878" s="88"/>
      <c r="AZ878" s="88"/>
      <c r="BA878" s="88"/>
      <c r="BB878" s="88"/>
    </row>
    <row r="879" spans="4:54" ht="12.75" customHeight="1" x14ac:dyDescent="0.15">
      <c r="D879" s="88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V879" s="88"/>
      <c r="AW879" s="88"/>
      <c r="AX879" s="88"/>
      <c r="AY879" s="88"/>
      <c r="AZ879" s="88"/>
      <c r="BA879" s="88"/>
      <c r="BB879" s="88"/>
    </row>
    <row r="880" spans="4:54" ht="12.75" customHeight="1" x14ac:dyDescent="0.15">
      <c r="D880" s="88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V880" s="88"/>
      <c r="AW880" s="88"/>
      <c r="AX880" s="88"/>
      <c r="AY880" s="88"/>
      <c r="AZ880" s="88"/>
      <c r="BA880" s="88"/>
      <c r="BB880" s="88"/>
    </row>
    <row r="881" spans="4:54" ht="12.75" customHeight="1" x14ac:dyDescent="0.15">
      <c r="D881" s="88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V881" s="88"/>
      <c r="AW881" s="88"/>
      <c r="AX881" s="88"/>
      <c r="AY881" s="88"/>
      <c r="AZ881" s="88"/>
      <c r="BA881" s="88"/>
      <c r="BB881" s="88"/>
    </row>
    <row r="882" spans="4:54" ht="12.75" customHeight="1" x14ac:dyDescent="0.15">
      <c r="D882" s="88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V882" s="88"/>
      <c r="AW882" s="88"/>
      <c r="AX882" s="88"/>
      <c r="AY882" s="88"/>
      <c r="AZ882" s="88"/>
      <c r="BA882" s="88"/>
      <c r="BB882" s="88"/>
    </row>
    <row r="883" spans="4:54" ht="12.75" customHeight="1" x14ac:dyDescent="0.15">
      <c r="D883" s="88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V883" s="88"/>
      <c r="AW883" s="88"/>
      <c r="AX883" s="88"/>
      <c r="AY883" s="88"/>
      <c r="AZ883" s="88"/>
      <c r="BA883" s="88"/>
      <c r="BB883" s="88"/>
    </row>
    <row r="884" spans="4:54" ht="12.75" customHeight="1" x14ac:dyDescent="0.15">
      <c r="D884" s="88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V884" s="88"/>
      <c r="AW884" s="88"/>
      <c r="AX884" s="88"/>
      <c r="AY884" s="88"/>
      <c r="AZ884" s="88"/>
      <c r="BA884" s="88"/>
      <c r="BB884" s="88"/>
    </row>
    <row r="885" spans="4:54" ht="12.75" customHeight="1" x14ac:dyDescent="0.15">
      <c r="D885" s="88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V885" s="88"/>
      <c r="AW885" s="88"/>
      <c r="AX885" s="88"/>
      <c r="AY885" s="88"/>
      <c r="AZ885" s="88"/>
      <c r="BA885" s="88"/>
      <c r="BB885" s="88"/>
    </row>
    <row r="886" spans="4:54" ht="12.75" customHeight="1" x14ac:dyDescent="0.15">
      <c r="D886" s="88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V886" s="88"/>
      <c r="AW886" s="88"/>
      <c r="AX886" s="88"/>
      <c r="AY886" s="88"/>
      <c r="AZ886" s="88"/>
      <c r="BA886" s="88"/>
      <c r="BB886" s="88"/>
    </row>
    <row r="887" spans="4:54" ht="12.75" customHeight="1" x14ac:dyDescent="0.15">
      <c r="D887" s="88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V887" s="88"/>
      <c r="AW887" s="88"/>
      <c r="AX887" s="88"/>
      <c r="AY887" s="88"/>
      <c r="AZ887" s="88"/>
      <c r="BA887" s="88"/>
      <c r="BB887" s="88"/>
    </row>
    <row r="888" spans="4:54" ht="12.75" customHeight="1" x14ac:dyDescent="0.15">
      <c r="D888" s="88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V888" s="88"/>
      <c r="AW888" s="88"/>
      <c r="AX888" s="88"/>
      <c r="AY888" s="88"/>
      <c r="AZ888" s="88"/>
      <c r="BA888" s="88"/>
      <c r="BB888" s="88"/>
    </row>
    <row r="889" spans="4:54" ht="12.75" customHeight="1" x14ac:dyDescent="0.15">
      <c r="D889" s="88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V889" s="88"/>
      <c r="AW889" s="88"/>
      <c r="AX889" s="88"/>
      <c r="AY889" s="88"/>
      <c r="AZ889" s="88"/>
      <c r="BA889" s="88"/>
      <c r="BB889" s="88"/>
    </row>
    <row r="890" spans="4:54" ht="12.75" customHeight="1" x14ac:dyDescent="0.15">
      <c r="D890" s="88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V890" s="88"/>
      <c r="AW890" s="88"/>
      <c r="AX890" s="88"/>
      <c r="AY890" s="88"/>
      <c r="AZ890" s="88"/>
      <c r="BA890" s="88"/>
      <c r="BB890" s="88"/>
    </row>
    <row r="891" spans="4:54" ht="12.75" customHeight="1" x14ac:dyDescent="0.15">
      <c r="D891" s="88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V891" s="88"/>
      <c r="AW891" s="88"/>
      <c r="AX891" s="88"/>
      <c r="AY891" s="88"/>
      <c r="AZ891" s="88"/>
      <c r="BA891" s="88"/>
      <c r="BB891" s="88"/>
    </row>
    <row r="892" spans="4:54" ht="12.75" customHeight="1" x14ac:dyDescent="0.15">
      <c r="D892" s="88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V892" s="88"/>
      <c r="AW892" s="88"/>
      <c r="AX892" s="88"/>
      <c r="AY892" s="88"/>
      <c r="AZ892" s="88"/>
      <c r="BA892" s="88"/>
      <c r="BB892" s="88"/>
    </row>
    <row r="893" spans="4:54" ht="12.75" customHeight="1" x14ac:dyDescent="0.15">
      <c r="D893" s="88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V893" s="88"/>
      <c r="AW893" s="88"/>
      <c r="AX893" s="88"/>
      <c r="AY893" s="88"/>
      <c r="AZ893" s="88"/>
      <c r="BA893" s="88"/>
      <c r="BB893" s="88"/>
    </row>
    <row r="894" spans="4:54" ht="12.75" customHeight="1" x14ac:dyDescent="0.15">
      <c r="D894" s="88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V894" s="88"/>
      <c r="AW894" s="88"/>
      <c r="AX894" s="88"/>
      <c r="AY894" s="88"/>
      <c r="AZ894" s="88"/>
      <c r="BA894" s="88"/>
      <c r="BB894" s="88"/>
    </row>
    <row r="895" spans="4:54" ht="12.75" customHeight="1" x14ac:dyDescent="0.15">
      <c r="D895" s="88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V895" s="88"/>
      <c r="AW895" s="88"/>
      <c r="AX895" s="88"/>
      <c r="AY895" s="88"/>
      <c r="AZ895" s="88"/>
      <c r="BA895" s="88"/>
      <c r="BB895" s="88"/>
    </row>
    <row r="896" spans="4:54" ht="12.75" customHeight="1" x14ac:dyDescent="0.15">
      <c r="D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V896" s="88"/>
      <c r="AW896" s="88"/>
      <c r="AX896" s="88"/>
      <c r="AY896" s="88"/>
      <c r="AZ896" s="88"/>
      <c r="BA896" s="88"/>
      <c r="BB896" s="88"/>
    </row>
    <row r="897" spans="4:54" ht="12.75" customHeight="1" x14ac:dyDescent="0.15">
      <c r="D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V897" s="88"/>
      <c r="AW897" s="88"/>
      <c r="AX897" s="88"/>
      <c r="AY897" s="88"/>
      <c r="AZ897" s="88"/>
      <c r="BA897" s="88"/>
      <c r="BB897" s="88"/>
    </row>
    <row r="898" spans="4:54" ht="12.75" customHeight="1" x14ac:dyDescent="0.15">
      <c r="D898" s="88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V898" s="88"/>
      <c r="AW898" s="88"/>
      <c r="AX898" s="88"/>
      <c r="AY898" s="88"/>
      <c r="AZ898" s="88"/>
      <c r="BA898" s="88"/>
      <c r="BB898" s="88"/>
    </row>
    <row r="899" spans="4:54" ht="12.75" customHeight="1" x14ac:dyDescent="0.15">
      <c r="D899" s="88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V899" s="88"/>
      <c r="AW899" s="88"/>
      <c r="AX899" s="88"/>
      <c r="AY899" s="88"/>
      <c r="AZ899" s="88"/>
      <c r="BA899" s="88"/>
      <c r="BB899" s="88"/>
    </row>
    <row r="900" spans="4:54" ht="12.75" customHeight="1" x14ac:dyDescent="0.15">
      <c r="D900" s="88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V900" s="88"/>
      <c r="AW900" s="88"/>
      <c r="AX900" s="88"/>
      <c r="AY900" s="88"/>
      <c r="AZ900" s="88"/>
      <c r="BA900" s="88"/>
      <c r="BB900" s="88"/>
    </row>
    <row r="901" spans="4:54" ht="12.75" customHeight="1" x14ac:dyDescent="0.15">
      <c r="D901" s="88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V901" s="88"/>
      <c r="AW901" s="88"/>
      <c r="AX901" s="88"/>
      <c r="AY901" s="88"/>
      <c r="AZ901" s="88"/>
      <c r="BA901" s="88"/>
      <c r="BB901" s="88"/>
    </row>
    <row r="902" spans="4:54" ht="12.75" customHeight="1" x14ac:dyDescent="0.15">
      <c r="D902" s="88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V902" s="88"/>
      <c r="AW902" s="88"/>
      <c r="AX902" s="88"/>
      <c r="AY902" s="88"/>
      <c r="AZ902" s="88"/>
      <c r="BA902" s="88"/>
      <c r="BB902" s="88"/>
    </row>
    <row r="903" spans="4:54" ht="12.75" customHeight="1" x14ac:dyDescent="0.15">
      <c r="D903" s="88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V903" s="88"/>
      <c r="AW903" s="88"/>
      <c r="AX903" s="88"/>
      <c r="AY903" s="88"/>
      <c r="AZ903" s="88"/>
      <c r="BA903" s="88"/>
      <c r="BB903" s="88"/>
    </row>
    <row r="904" spans="4:54" ht="12.75" customHeight="1" x14ac:dyDescent="0.15">
      <c r="D904" s="88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V904" s="88"/>
      <c r="AW904" s="88"/>
      <c r="AX904" s="88"/>
      <c r="AY904" s="88"/>
      <c r="AZ904" s="88"/>
      <c r="BA904" s="88"/>
      <c r="BB904" s="88"/>
    </row>
    <row r="905" spans="4:54" ht="12.75" customHeight="1" x14ac:dyDescent="0.15">
      <c r="D905" s="88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V905" s="88"/>
      <c r="AW905" s="88"/>
      <c r="AX905" s="88"/>
      <c r="AY905" s="88"/>
      <c r="AZ905" s="88"/>
      <c r="BA905" s="88"/>
      <c r="BB905" s="88"/>
    </row>
    <row r="906" spans="4:54" ht="12.75" customHeight="1" x14ac:dyDescent="0.15">
      <c r="D906" s="88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V906" s="88"/>
      <c r="AW906" s="88"/>
      <c r="AX906" s="88"/>
      <c r="AY906" s="88"/>
      <c r="AZ906" s="88"/>
      <c r="BA906" s="88"/>
      <c r="BB906" s="88"/>
    </row>
    <row r="907" spans="4:54" ht="12.75" customHeight="1" x14ac:dyDescent="0.15">
      <c r="D907" s="88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V907" s="88"/>
      <c r="AW907" s="88"/>
      <c r="AX907" s="88"/>
      <c r="AY907" s="88"/>
      <c r="AZ907" s="88"/>
      <c r="BA907" s="88"/>
      <c r="BB907" s="88"/>
    </row>
    <row r="908" spans="4:54" ht="12.75" customHeight="1" x14ac:dyDescent="0.15">
      <c r="D908" s="88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V908" s="88"/>
      <c r="AW908" s="88"/>
      <c r="AX908" s="88"/>
      <c r="AY908" s="88"/>
      <c r="AZ908" s="88"/>
      <c r="BA908" s="88"/>
      <c r="BB908" s="88"/>
    </row>
    <row r="909" spans="4:54" ht="12.75" customHeight="1" x14ac:dyDescent="0.15">
      <c r="D909" s="88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V909" s="88"/>
      <c r="AW909" s="88"/>
      <c r="AX909" s="88"/>
      <c r="AY909" s="88"/>
      <c r="AZ909" s="88"/>
      <c r="BA909" s="88"/>
      <c r="BB909" s="88"/>
    </row>
    <row r="910" spans="4:54" ht="12.75" customHeight="1" x14ac:dyDescent="0.15">
      <c r="D910" s="88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V910" s="88"/>
      <c r="AW910" s="88"/>
      <c r="AX910" s="88"/>
      <c r="AY910" s="88"/>
      <c r="AZ910" s="88"/>
      <c r="BA910" s="88"/>
      <c r="BB910" s="88"/>
    </row>
    <row r="911" spans="4:54" ht="12.75" customHeight="1" x14ac:dyDescent="0.15">
      <c r="D911" s="88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V911" s="88"/>
      <c r="AW911" s="88"/>
      <c r="AX911" s="88"/>
      <c r="AY911" s="88"/>
      <c r="AZ911" s="88"/>
      <c r="BA911" s="88"/>
      <c r="BB911" s="88"/>
    </row>
    <row r="912" spans="4:54" ht="12.75" customHeight="1" x14ac:dyDescent="0.15">
      <c r="D912" s="88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V912" s="88"/>
      <c r="AW912" s="88"/>
      <c r="AX912" s="88"/>
      <c r="AY912" s="88"/>
      <c r="AZ912" s="88"/>
      <c r="BA912" s="88"/>
      <c r="BB912" s="88"/>
    </row>
    <row r="913" spans="4:54" ht="12.75" customHeight="1" x14ac:dyDescent="0.15">
      <c r="D913" s="88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V913" s="88"/>
      <c r="AW913" s="88"/>
      <c r="AX913" s="88"/>
      <c r="AY913" s="88"/>
      <c r="AZ913" s="88"/>
      <c r="BA913" s="88"/>
      <c r="BB913" s="88"/>
    </row>
    <row r="914" spans="4:54" ht="12.75" customHeight="1" x14ac:dyDescent="0.15">
      <c r="D914" s="88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V914" s="88"/>
      <c r="AW914" s="88"/>
      <c r="AX914" s="88"/>
      <c r="AY914" s="88"/>
      <c r="AZ914" s="88"/>
      <c r="BA914" s="88"/>
      <c r="BB914" s="88"/>
    </row>
    <row r="915" spans="4:54" ht="12.75" customHeight="1" x14ac:dyDescent="0.15">
      <c r="D915" s="88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V915" s="88"/>
      <c r="AW915" s="88"/>
      <c r="AX915" s="88"/>
      <c r="AY915" s="88"/>
      <c r="AZ915" s="88"/>
      <c r="BA915" s="88"/>
      <c r="BB915" s="88"/>
    </row>
    <row r="916" spans="4:54" ht="12.75" customHeight="1" x14ac:dyDescent="0.15">
      <c r="D916" s="88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V916" s="88"/>
      <c r="AW916" s="88"/>
      <c r="AX916" s="88"/>
      <c r="AY916" s="88"/>
      <c r="AZ916" s="88"/>
      <c r="BA916" s="88"/>
      <c r="BB916" s="88"/>
    </row>
    <row r="917" spans="4:54" ht="12.75" customHeight="1" x14ac:dyDescent="0.15">
      <c r="D917" s="88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V917" s="88"/>
      <c r="AW917" s="88"/>
      <c r="AX917" s="88"/>
      <c r="AY917" s="88"/>
      <c r="AZ917" s="88"/>
      <c r="BA917" s="88"/>
      <c r="BB917" s="88"/>
    </row>
    <row r="918" spans="4:54" ht="12.75" customHeight="1" x14ac:dyDescent="0.15">
      <c r="D918" s="88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V918" s="88"/>
      <c r="AW918" s="88"/>
      <c r="AX918" s="88"/>
      <c r="AY918" s="88"/>
      <c r="AZ918" s="88"/>
      <c r="BA918" s="88"/>
      <c r="BB918" s="88"/>
    </row>
    <row r="919" spans="4:54" ht="12.75" customHeight="1" x14ac:dyDescent="0.15">
      <c r="D919" s="88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V919" s="88"/>
      <c r="AW919" s="88"/>
      <c r="AX919" s="88"/>
      <c r="AY919" s="88"/>
      <c r="AZ919" s="88"/>
      <c r="BA919" s="88"/>
      <c r="BB919" s="88"/>
    </row>
    <row r="920" spans="4:54" ht="12.75" customHeight="1" x14ac:dyDescent="0.15">
      <c r="D920" s="88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V920" s="88"/>
      <c r="AW920" s="88"/>
      <c r="AX920" s="88"/>
      <c r="AY920" s="88"/>
      <c r="AZ920" s="88"/>
      <c r="BA920" s="88"/>
      <c r="BB920" s="88"/>
    </row>
    <row r="921" spans="4:54" ht="12.75" customHeight="1" x14ac:dyDescent="0.15">
      <c r="D921" s="88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V921" s="88"/>
      <c r="AW921" s="88"/>
      <c r="AX921" s="88"/>
      <c r="AY921" s="88"/>
      <c r="AZ921" s="88"/>
      <c r="BA921" s="88"/>
      <c r="BB921" s="88"/>
    </row>
    <row r="922" spans="4:54" ht="12.75" customHeight="1" x14ac:dyDescent="0.15">
      <c r="D922" s="88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V922" s="88"/>
      <c r="AW922" s="88"/>
      <c r="AX922" s="88"/>
      <c r="AY922" s="88"/>
      <c r="AZ922" s="88"/>
      <c r="BA922" s="88"/>
      <c r="BB922" s="88"/>
    </row>
    <row r="923" spans="4:54" ht="12.75" customHeight="1" x14ac:dyDescent="0.15">
      <c r="D923" s="88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V923" s="88"/>
      <c r="AW923" s="88"/>
      <c r="AX923" s="88"/>
      <c r="AY923" s="88"/>
      <c r="AZ923" s="88"/>
      <c r="BA923" s="88"/>
      <c r="BB923" s="88"/>
    </row>
    <row r="924" spans="4:54" ht="12.75" customHeight="1" x14ac:dyDescent="0.15">
      <c r="D924" s="88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V924" s="88"/>
      <c r="AW924" s="88"/>
      <c r="AX924" s="88"/>
      <c r="AY924" s="88"/>
      <c r="AZ924" s="88"/>
      <c r="BA924" s="88"/>
      <c r="BB924" s="88"/>
    </row>
    <row r="925" spans="4:54" ht="12.75" customHeight="1" x14ac:dyDescent="0.15">
      <c r="D925" s="88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V925" s="88"/>
      <c r="AW925" s="88"/>
      <c r="AX925" s="88"/>
      <c r="AY925" s="88"/>
      <c r="AZ925" s="88"/>
      <c r="BA925" s="88"/>
      <c r="BB925" s="88"/>
    </row>
    <row r="926" spans="4:54" ht="12.75" customHeight="1" x14ac:dyDescent="0.15">
      <c r="D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V926" s="88"/>
      <c r="AW926" s="88"/>
      <c r="AX926" s="88"/>
      <c r="AY926" s="88"/>
      <c r="AZ926" s="88"/>
      <c r="BA926" s="88"/>
      <c r="BB926" s="88"/>
    </row>
    <row r="927" spans="4:54" ht="12.75" customHeight="1" x14ac:dyDescent="0.15">
      <c r="D927" s="88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V927" s="88"/>
      <c r="AW927" s="88"/>
      <c r="AX927" s="88"/>
      <c r="AY927" s="88"/>
      <c r="AZ927" s="88"/>
      <c r="BA927" s="88"/>
      <c r="BB927" s="88"/>
    </row>
    <row r="928" spans="4:54" ht="12.75" customHeight="1" x14ac:dyDescent="0.15">
      <c r="D928" s="88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V928" s="88"/>
      <c r="AW928" s="88"/>
      <c r="AX928" s="88"/>
      <c r="AY928" s="88"/>
      <c r="AZ928" s="88"/>
      <c r="BA928" s="88"/>
      <c r="BB928" s="88"/>
    </row>
    <row r="929" spans="4:54" ht="12.75" customHeight="1" x14ac:dyDescent="0.15">
      <c r="D929" s="88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V929" s="88"/>
      <c r="AW929" s="88"/>
      <c r="AX929" s="88"/>
      <c r="AY929" s="88"/>
      <c r="AZ929" s="88"/>
      <c r="BA929" s="88"/>
      <c r="BB929" s="88"/>
    </row>
    <row r="930" spans="4:54" ht="12.75" customHeight="1" x14ac:dyDescent="0.15">
      <c r="D930" s="88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V930" s="88"/>
      <c r="AW930" s="88"/>
      <c r="AX930" s="88"/>
      <c r="AY930" s="88"/>
      <c r="AZ930" s="88"/>
      <c r="BA930" s="88"/>
      <c r="BB930" s="88"/>
    </row>
    <row r="931" spans="4:54" ht="12.75" customHeight="1" x14ac:dyDescent="0.15">
      <c r="D931" s="88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V931" s="88"/>
      <c r="AW931" s="88"/>
      <c r="AX931" s="88"/>
      <c r="AY931" s="88"/>
      <c r="AZ931" s="88"/>
      <c r="BA931" s="88"/>
      <c r="BB931" s="88"/>
    </row>
    <row r="932" spans="4:54" ht="12.75" customHeight="1" x14ac:dyDescent="0.15">
      <c r="D932" s="88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V932" s="88"/>
      <c r="AW932" s="88"/>
      <c r="AX932" s="88"/>
      <c r="AY932" s="88"/>
      <c r="AZ932" s="88"/>
      <c r="BA932" s="88"/>
      <c r="BB932" s="88"/>
    </row>
    <row r="933" spans="4:54" ht="12.75" customHeight="1" x14ac:dyDescent="0.15">
      <c r="D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V933" s="88"/>
      <c r="AW933" s="88"/>
      <c r="AX933" s="88"/>
      <c r="AY933" s="88"/>
      <c r="AZ933" s="88"/>
      <c r="BA933" s="88"/>
      <c r="BB933" s="88"/>
    </row>
    <row r="934" spans="4:54" ht="12.75" customHeight="1" x14ac:dyDescent="0.15">
      <c r="D934" s="88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V934" s="88"/>
      <c r="AW934" s="88"/>
      <c r="AX934" s="88"/>
      <c r="AY934" s="88"/>
      <c r="AZ934" s="88"/>
      <c r="BA934" s="88"/>
      <c r="BB934" s="88"/>
    </row>
    <row r="935" spans="4:54" ht="12.75" customHeight="1" x14ac:dyDescent="0.15">
      <c r="D935" s="88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V935" s="88"/>
      <c r="AW935" s="88"/>
      <c r="AX935" s="88"/>
      <c r="AY935" s="88"/>
      <c r="AZ935" s="88"/>
      <c r="BA935" s="88"/>
      <c r="BB935" s="88"/>
    </row>
    <row r="936" spans="4:54" ht="12.75" customHeight="1" x14ac:dyDescent="0.15">
      <c r="D936" s="88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V936" s="88"/>
      <c r="AW936" s="88"/>
      <c r="AX936" s="88"/>
      <c r="AY936" s="88"/>
      <c r="AZ936" s="88"/>
      <c r="BA936" s="88"/>
      <c r="BB936" s="88"/>
    </row>
    <row r="937" spans="4:54" ht="12.75" customHeight="1" x14ac:dyDescent="0.15">
      <c r="D937" s="88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V937" s="88"/>
      <c r="AW937" s="88"/>
      <c r="AX937" s="88"/>
      <c r="AY937" s="88"/>
      <c r="AZ937" s="88"/>
      <c r="BA937" s="88"/>
      <c r="BB937" s="88"/>
    </row>
    <row r="938" spans="4:54" ht="12.75" customHeight="1" x14ac:dyDescent="0.15">
      <c r="D938" s="88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V938" s="88"/>
      <c r="AW938" s="88"/>
      <c r="AX938" s="88"/>
      <c r="AY938" s="88"/>
      <c r="AZ938" s="88"/>
      <c r="BA938" s="88"/>
      <c r="BB938" s="88"/>
    </row>
    <row r="939" spans="4:54" ht="12.75" customHeight="1" x14ac:dyDescent="0.15">
      <c r="D939" s="88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V939" s="88"/>
      <c r="AW939" s="88"/>
      <c r="AX939" s="88"/>
      <c r="AY939" s="88"/>
      <c r="AZ939" s="88"/>
      <c r="BA939" s="88"/>
      <c r="BB939" s="88"/>
    </row>
    <row r="940" spans="4:54" ht="12.75" customHeight="1" x14ac:dyDescent="0.15">
      <c r="D940" s="88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V940" s="88"/>
      <c r="AW940" s="88"/>
      <c r="AX940" s="88"/>
      <c r="AY940" s="88"/>
      <c r="AZ940" s="88"/>
      <c r="BA940" s="88"/>
      <c r="BB940" s="88"/>
    </row>
    <row r="941" spans="4:54" ht="12.75" customHeight="1" x14ac:dyDescent="0.15">
      <c r="D941" s="88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V941" s="88"/>
      <c r="AW941" s="88"/>
      <c r="AX941" s="88"/>
      <c r="AY941" s="88"/>
      <c r="AZ941" s="88"/>
      <c r="BA941" s="88"/>
      <c r="BB941" s="88"/>
    </row>
    <row r="942" spans="4:54" ht="12.75" customHeight="1" x14ac:dyDescent="0.15">
      <c r="D942" s="88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V942" s="88"/>
      <c r="AW942" s="88"/>
      <c r="AX942" s="88"/>
      <c r="AY942" s="88"/>
      <c r="AZ942" s="88"/>
      <c r="BA942" s="88"/>
      <c r="BB942" s="88"/>
    </row>
    <row r="943" spans="4:54" ht="12.75" customHeight="1" x14ac:dyDescent="0.15">
      <c r="D943" s="88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V943" s="88"/>
      <c r="AW943" s="88"/>
      <c r="AX943" s="88"/>
      <c r="AY943" s="88"/>
      <c r="AZ943" s="88"/>
      <c r="BA943" s="88"/>
      <c r="BB943" s="88"/>
    </row>
    <row r="944" spans="4:54" ht="12.75" customHeight="1" x14ac:dyDescent="0.15">
      <c r="D944" s="88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V944" s="88"/>
      <c r="AW944" s="88"/>
      <c r="AX944" s="88"/>
      <c r="AY944" s="88"/>
      <c r="AZ944" s="88"/>
      <c r="BA944" s="88"/>
      <c r="BB944" s="88"/>
    </row>
    <row r="945" spans="4:54" ht="12.75" customHeight="1" x14ac:dyDescent="0.15">
      <c r="D945" s="88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V945" s="88"/>
      <c r="AW945" s="88"/>
      <c r="AX945" s="88"/>
      <c r="AY945" s="88"/>
      <c r="AZ945" s="88"/>
      <c r="BA945" s="88"/>
      <c r="BB945" s="88"/>
    </row>
    <row r="946" spans="4:54" ht="12.75" customHeight="1" x14ac:dyDescent="0.15">
      <c r="D946" s="88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V946" s="88"/>
      <c r="AW946" s="88"/>
      <c r="AX946" s="88"/>
      <c r="AY946" s="88"/>
      <c r="AZ946" s="88"/>
      <c r="BA946" s="88"/>
      <c r="BB946" s="88"/>
    </row>
    <row r="947" spans="4:54" ht="12.75" customHeight="1" x14ac:dyDescent="0.15">
      <c r="D947" s="88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V947" s="88"/>
      <c r="AW947" s="88"/>
      <c r="AX947" s="88"/>
      <c r="AY947" s="88"/>
      <c r="AZ947" s="88"/>
      <c r="BA947" s="88"/>
      <c r="BB947" s="88"/>
    </row>
    <row r="948" spans="4:54" ht="12.75" customHeight="1" x14ac:dyDescent="0.15">
      <c r="D948" s="88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V948" s="88"/>
      <c r="AW948" s="88"/>
      <c r="AX948" s="88"/>
      <c r="AY948" s="88"/>
      <c r="AZ948" s="88"/>
      <c r="BA948" s="88"/>
      <c r="BB948" s="88"/>
    </row>
    <row r="949" spans="4:54" ht="12.75" customHeight="1" x14ac:dyDescent="0.15">
      <c r="D949" s="88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V949" s="88"/>
      <c r="AW949" s="88"/>
      <c r="AX949" s="88"/>
      <c r="AY949" s="88"/>
      <c r="AZ949" s="88"/>
      <c r="BA949" s="88"/>
      <c r="BB949" s="88"/>
    </row>
    <row r="950" spans="4:54" ht="12.75" customHeight="1" x14ac:dyDescent="0.15">
      <c r="D950" s="88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V950" s="88"/>
      <c r="AW950" s="88"/>
      <c r="AX950" s="88"/>
      <c r="AY950" s="88"/>
      <c r="AZ950" s="88"/>
      <c r="BA950" s="88"/>
      <c r="BB950" s="88"/>
    </row>
    <row r="951" spans="4:54" ht="12.75" customHeight="1" x14ac:dyDescent="0.15">
      <c r="D951" s="88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V951" s="88"/>
      <c r="AW951" s="88"/>
      <c r="AX951" s="88"/>
      <c r="AY951" s="88"/>
      <c r="AZ951" s="88"/>
      <c r="BA951" s="88"/>
      <c r="BB951" s="88"/>
    </row>
    <row r="952" spans="4:54" ht="12.75" customHeight="1" x14ac:dyDescent="0.15">
      <c r="D952" s="88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V952" s="88"/>
      <c r="AW952" s="88"/>
      <c r="AX952" s="88"/>
      <c r="AY952" s="88"/>
      <c r="AZ952" s="88"/>
      <c r="BA952" s="88"/>
      <c r="BB952" s="88"/>
    </row>
    <row r="953" spans="4:54" ht="12.75" customHeight="1" x14ac:dyDescent="0.15">
      <c r="D953" s="88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V953" s="88"/>
      <c r="AW953" s="88"/>
      <c r="AX953" s="88"/>
      <c r="AY953" s="88"/>
      <c r="AZ953" s="88"/>
      <c r="BA953" s="88"/>
      <c r="BB953" s="88"/>
    </row>
    <row r="954" spans="4:54" ht="12.75" customHeight="1" x14ac:dyDescent="0.15">
      <c r="D954" s="88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V954" s="88"/>
      <c r="AW954" s="88"/>
      <c r="AX954" s="88"/>
      <c r="AY954" s="88"/>
      <c r="AZ954" s="88"/>
      <c r="BA954" s="88"/>
      <c r="BB954" s="88"/>
    </row>
    <row r="955" spans="4:54" ht="12.75" customHeight="1" x14ac:dyDescent="0.15">
      <c r="D955" s="88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V955" s="88"/>
      <c r="AW955" s="88"/>
      <c r="AX955" s="88"/>
      <c r="AY955" s="88"/>
      <c r="AZ955" s="88"/>
      <c r="BA955" s="88"/>
      <c r="BB955" s="88"/>
    </row>
    <row r="956" spans="4:54" ht="12.75" customHeight="1" x14ac:dyDescent="0.15">
      <c r="D956" s="88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V956" s="88"/>
      <c r="AW956" s="88"/>
      <c r="AX956" s="88"/>
      <c r="AY956" s="88"/>
      <c r="AZ956" s="88"/>
      <c r="BA956" s="88"/>
      <c r="BB956" s="88"/>
    </row>
    <row r="957" spans="4:54" ht="12.75" customHeight="1" x14ac:dyDescent="0.15">
      <c r="D957" s="88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V957" s="88"/>
      <c r="AW957" s="88"/>
      <c r="AX957" s="88"/>
      <c r="AY957" s="88"/>
      <c r="AZ957" s="88"/>
      <c r="BA957" s="88"/>
      <c r="BB957" s="88"/>
    </row>
    <row r="958" spans="4:54" ht="12.75" customHeight="1" x14ac:dyDescent="0.15">
      <c r="D958" s="88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V958" s="88"/>
      <c r="AW958" s="88"/>
      <c r="AX958" s="88"/>
      <c r="AY958" s="88"/>
      <c r="AZ958" s="88"/>
      <c r="BA958" s="88"/>
      <c r="BB958" s="88"/>
    </row>
    <row r="959" spans="4:54" ht="12.75" customHeight="1" x14ac:dyDescent="0.15">
      <c r="D959" s="88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V959" s="88"/>
      <c r="AW959" s="88"/>
      <c r="AX959" s="88"/>
      <c r="AY959" s="88"/>
      <c r="AZ959" s="88"/>
      <c r="BA959" s="88"/>
      <c r="BB959" s="88"/>
    </row>
    <row r="960" spans="4:54" ht="12.75" customHeight="1" x14ac:dyDescent="0.15">
      <c r="D960" s="88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V960" s="88"/>
      <c r="AW960" s="88"/>
      <c r="AX960" s="88"/>
      <c r="AY960" s="88"/>
      <c r="AZ960" s="88"/>
      <c r="BA960" s="88"/>
      <c r="BB960" s="88"/>
    </row>
    <row r="961" spans="4:54" ht="12.75" customHeight="1" x14ac:dyDescent="0.15">
      <c r="D961" s="88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V961" s="88"/>
      <c r="AW961" s="88"/>
      <c r="AX961" s="88"/>
      <c r="AY961" s="88"/>
      <c r="AZ961" s="88"/>
      <c r="BA961" s="88"/>
      <c r="BB961" s="88"/>
    </row>
    <row r="962" spans="4:54" ht="12.75" customHeight="1" x14ac:dyDescent="0.15">
      <c r="D962" s="88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V962" s="88"/>
      <c r="AW962" s="88"/>
      <c r="AX962" s="88"/>
      <c r="AY962" s="88"/>
      <c r="AZ962" s="88"/>
      <c r="BA962" s="88"/>
      <c r="BB962" s="88"/>
    </row>
    <row r="963" spans="4:54" ht="12.75" customHeight="1" x14ac:dyDescent="0.15">
      <c r="D963" s="88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V963" s="88"/>
      <c r="AW963" s="88"/>
      <c r="AX963" s="88"/>
      <c r="AY963" s="88"/>
      <c r="AZ963" s="88"/>
      <c r="BA963" s="88"/>
      <c r="BB963" s="88"/>
    </row>
    <row r="964" spans="4:54" ht="12.75" customHeight="1" x14ac:dyDescent="0.15">
      <c r="D964" s="88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V964" s="88"/>
      <c r="AW964" s="88"/>
      <c r="AX964" s="88"/>
      <c r="AY964" s="88"/>
      <c r="AZ964" s="88"/>
      <c r="BA964" s="88"/>
      <c r="BB964" s="88"/>
    </row>
    <row r="965" spans="4:54" ht="12.75" customHeight="1" x14ac:dyDescent="0.15">
      <c r="D965" s="88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V965" s="88"/>
      <c r="AW965" s="88"/>
      <c r="AX965" s="88"/>
      <c r="AY965" s="88"/>
      <c r="AZ965" s="88"/>
      <c r="BA965" s="88"/>
      <c r="BB965" s="88"/>
    </row>
    <row r="966" spans="4:54" ht="12.75" customHeight="1" x14ac:dyDescent="0.15">
      <c r="D966" s="88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V966" s="88"/>
      <c r="AW966" s="88"/>
      <c r="AX966" s="88"/>
      <c r="AY966" s="88"/>
      <c r="AZ966" s="88"/>
      <c r="BA966" s="88"/>
      <c r="BB966" s="88"/>
    </row>
    <row r="967" spans="4:54" ht="12.75" customHeight="1" x14ac:dyDescent="0.15">
      <c r="D967" s="88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V967" s="88"/>
      <c r="AW967" s="88"/>
      <c r="AX967" s="88"/>
      <c r="AY967" s="88"/>
      <c r="AZ967" s="88"/>
      <c r="BA967" s="88"/>
      <c r="BB967" s="88"/>
    </row>
    <row r="968" spans="4:54" ht="12.75" customHeight="1" x14ac:dyDescent="0.15">
      <c r="D968" s="88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V968" s="88"/>
      <c r="AW968" s="88"/>
      <c r="AX968" s="88"/>
      <c r="AY968" s="88"/>
      <c r="AZ968" s="88"/>
      <c r="BA968" s="88"/>
      <c r="BB968" s="88"/>
    </row>
    <row r="969" spans="4:54" ht="12.75" customHeight="1" x14ac:dyDescent="0.15">
      <c r="D969" s="88"/>
      <c r="AF969" s="88"/>
      <c r="AG969" s="88"/>
      <c r="AH969" s="88"/>
      <c r="AI969" s="88"/>
      <c r="AJ969" s="88"/>
      <c r="AK969" s="88"/>
      <c r="AL969" s="88"/>
      <c r="AM969" s="88"/>
      <c r="AN969" s="88"/>
      <c r="AO969" s="88"/>
      <c r="AP969" s="88"/>
      <c r="AV969" s="88"/>
      <c r="AW969" s="88"/>
      <c r="AX969" s="88"/>
      <c r="AY969" s="88"/>
      <c r="AZ969" s="88"/>
      <c r="BA969" s="88"/>
      <c r="BB969" s="88"/>
    </row>
    <row r="970" spans="4:54" ht="12.75" customHeight="1" x14ac:dyDescent="0.15">
      <c r="D970" s="88"/>
      <c r="AF970" s="88"/>
      <c r="AG970" s="88"/>
      <c r="AH970" s="88"/>
      <c r="AI970" s="88"/>
      <c r="AJ970" s="88"/>
      <c r="AK970" s="88"/>
      <c r="AL970" s="88"/>
      <c r="AM970" s="88"/>
      <c r="AN970" s="88"/>
      <c r="AO970" s="88"/>
      <c r="AP970" s="88"/>
      <c r="AV970" s="88"/>
      <c r="AW970" s="88"/>
      <c r="AX970" s="88"/>
      <c r="AY970" s="88"/>
      <c r="AZ970" s="88"/>
      <c r="BA970" s="88"/>
      <c r="BB970" s="88"/>
    </row>
    <row r="971" spans="4:54" ht="12.75" customHeight="1" x14ac:dyDescent="0.15">
      <c r="D971" s="88"/>
      <c r="AF971" s="88"/>
      <c r="AG971" s="88"/>
      <c r="AH971" s="88"/>
      <c r="AI971" s="88"/>
      <c r="AJ971" s="88"/>
      <c r="AK971" s="88"/>
      <c r="AL971" s="88"/>
      <c r="AM971" s="88"/>
      <c r="AN971" s="88"/>
      <c r="AO971" s="88"/>
      <c r="AP971" s="88"/>
      <c r="AV971" s="88"/>
      <c r="AW971" s="88"/>
      <c r="AX971" s="88"/>
      <c r="AY971" s="88"/>
      <c r="AZ971" s="88"/>
      <c r="BA971" s="88"/>
      <c r="BB971" s="88"/>
    </row>
    <row r="972" spans="4:54" ht="12.75" customHeight="1" x14ac:dyDescent="0.15">
      <c r="D972" s="88"/>
      <c r="AF972" s="88"/>
      <c r="AG972" s="88"/>
      <c r="AH972" s="88"/>
      <c r="AI972" s="88"/>
      <c r="AJ972" s="88"/>
      <c r="AK972" s="88"/>
      <c r="AL972" s="88"/>
      <c r="AM972" s="88"/>
      <c r="AN972" s="88"/>
      <c r="AO972" s="88"/>
      <c r="AP972" s="88"/>
      <c r="AV972" s="88"/>
      <c r="AW972" s="88"/>
      <c r="AX972" s="88"/>
      <c r="AY972" s="88"/>
      <c r="AZ972" s="88"/>
      <c r="BA972" s="88"/>
      <c r="BB972" s="88"/>
    </row>
    <row r="973" spans="4:54" ht="12.75" customHeight="1" x14ac:dyDescent="0.15">
      <c r="D973" s="88"/>
      <c r="AF973" s="88"/>
      <c r="AG973" s="88"/>
      <c r="AH973" s="88"/>
      <c r="AI973" s="88"/>
      <c r="AJ973" s="88"/>
      <c r="AK973" s="88"/>
      <c r="AL973" s="88"/>
      <c r="AM973" s="88"/>
      <c r="AN973" s="88"/>
      <c r="AO973" s="88"/>
      <c r="AP973" s="88"/>
      <c r="AV973" s="88"/>
      <c r="AW973" s="88"/>
      <c r="AX973" s="88"/>
      <c r="AY973" s="88"/>
      <c r="AZ973" s="88"/>
      <c r="BA973" s="88"/>
      <c r="BB973" s="88"/>
    </row>
    <row r="974" spans="4:54" ht="12.75" customHeight="1" x14ac:dyDescent="0.15">
      <c r="D974" s="88"/>
      <c r="AF974" s="88"/>
      <c r="AG974" s="88"/>
      <c r="AH974" s="88"/>
      <c r="AI974" s="88"/>
      <c r="AJ974" s="88"/>
      <c r="AK974" s="88"/>
      <c r="AL974" s="88"/>
      <c r="AM974" s="88"/>
      <c r="AN974" s="88"/>
      <c r="AO974" s="88"/>
      <c r="AP974" s="88"/>
      <c r="AV974" s="88"/>
      <c r="AW974" s="88"/>
      <c r="AX974" s="88"/>
      <c r="AY974" s="88"/>
      <c r="AZ974" s="88"/>
      <c r="BA974" s="88"/>
      <c r="BB974" s="88"/>
    </row>
    <row r="975" spans="4:54" ht="12.75" customHeight="1" x14ac:dyDescent="0.15">
      <c r="D975" s="88"/>
      <c r="AF975" s="88"/>
      <c r="AG975" s="88"/>
      <c r="AH975" s="88"/>
      <c r="AI975" s="88"/>
      <c r="AJ975" s="88"/>
      <c r="AK975" s="88"/>
      <c r="AL975" s="88"/>
      <c r="AM975" s="88"/>
      <c r="AN975" s="88"/>
      <c r="AO975" s="88"/>
      <c r="AP975" s="88"/>
      <c r="AV975" s="88"/>
      <c r="AW975" s="88"/>
      <c r="AX975" s="88"/>
      <c r="AY975" s="88"/>
      <c r="AZ975" s="88"/>
      <c r="BA975" s="88"/>
      <c r="BB975" s="88"/>
    </row>
    <row r="976" spans="4:54" ht="12.75" customHeight="1" x14ac:dyDescent="0.15">
      <c r="D976" s="88"/>
      <c r="AF976" s="88"/>
      <c r="AG976" s="88"/>
      <c r="AH976" s="88"/>
      <c r="AI976" s="88"/>
      <c r="AJ976" s="88"/>
      <c r="AK976" s="88"/>
      <c r="AL976" s="88"/>
      <c r="AM976" s="88"/>
      <c r="AN976" s="88"/>
      <c r="AO976" s="88"/>
      <c r="AP976" s="88"/>
      <c r="AV976" s="88"/>
      <c r="AW976" s="88"/>
      <c r="AX976" s="88"/>
      <c r="AY976" s="88"/>
      <c r="AZ976" s="88"/>
      <c r="BA976" s="88"/>
      <c r="BB976" s="88"/>
    </row>
    <row r="977" spans="4:54" ht="12.75" customHeight="1" x14ac:dyDescent="0.15">
      <c r="D977" s="88"/>
      <c r="AF977" s="88"/>
      <c r="AG977" s="88"/>
      <c r="AH977" s="88"/>
      <c r="AI977" s="88"/>
      <c r="AJ977" s="88"/>
      <c r="AK977" s="88"/>
      <c r="AL977" s="88"/>
      <c r="AM977" s="88"/>
      <c r="AN977" s="88"/>
      <c r="AO977" s="88"/>
      <c r="AP977" s="88"/>
      <c r="AV977" s="88"/>
      <c r="AW977" s="88"/>
      <c r="AX977" s="88"/>
      <c r="AY977" s="88"/>
      <c r="AZ977" s="88"/>
      <c r="BA977" s="88"/>
      <c r="BB977" s="88"/>
    </row>
    <row r="978" spans="4:54" ht="12.75" customHeight="1" x14ac:dyDescent="0.15">
      <c r="D978" s="88"/>
      <c r="AF978" s="88"/>
      <c r="AG978" s="88"/>
      <c r="AH978" s="88"/>
      <c r="AI978" s="88"/>
      <c r="AJ978" s="88"/>
      <c r="AK978" s="88"/>
      <c r="AL978" s="88"/>
      <c r="AM978" s="88"/>
      <c r="AN978" s="88"/>
      <c r="AO978" s="88"/>
      <c r="AP978" s="88"/>
      <c r="AV978" s="88"/>
      <c r="AW978" s="88"/>
      <c r="AX978" s="88"/>
      <c r="AY978" s="88"/>
      <c r="AZ978" s="88"/>
      <c r="BA978" s="88"/>
      <c r="BB978" s="88"/>
    </row>
    <row r="979" spans="4:54" ht="12.75" customHeight="1" x14ac:dyDescent="0.15">
      <c r="D979" s="88"/>
      <c r="AF979" s="88"/>
      <c r="AG979" s="88"/>
      <c r="AH979" s="88"/>
      <c r="AI979" s="88"/>
      <c r="AJ979" s="88"/>
      <c r="AK979" s="88"/>
      <c r="AL979" s="88"/>
      <c r="AM979" s="88"/>
      <c r="AN979" s="88"/>
      <c r="AO979" s="88"/>
      <c r="AP979" s="88"/>
      <c r="AV979" s="88"/>
      <c r="AW979" s="88"/>
      <c r="AX979" s="88"/>
      <c r="AY979" s="88"/>
      <c r="AZ979" s="88"/>
      <c r="BA979" s="88"/>
      <c r="BB979" s="88"/>
    </row>
    <row r="980" spans="4:54" ht="12.75" customHeight="1" x14ac:dyDescent="0.15">
      <c r="D980" s="88"/>
      <c r="AF980" s="88"/>
      <c r="AG980" s="88"/>
      <c r="AH980" s="88"/>
      <c r="AI980" s="88"/>
      <c r="AJ980" s="88"/>
      <c r="AK980" s="88"/>
      <c r="AL980" s="88"/>
      <c r="AM980" s="88"/>
      <c r="AN980" s="88"/>
      <c r="AO980" s="88"/>
      <c r="AP980" s="88"/>
      <c r="AV980" s="88"/>
      <c r="AW980" s="88"/>
      <c r="AX980" s="88"/>
      <c r="AY980" s="88"/>
      <c r="AZ980" s="88"/>
      <c r="BA980" s="88"/>
      <c r="BB980" s="88"/>
    </row>
    <row r="981" spans="4:54" ht="12.75" customHeight="1" x14ac:dyDescent="0.15">
      <c r="D981" s="88"/>
      <c r="AF981" s="88"/>
      <c r="AG981" s="88"/>
      <c r="AH981" s="88"/>
      <c r="AI981" s="88"/>
      <c r="AJ981" s="88"/>
      <c r="AK981" s="88"/>
      <c r="AL981" s="88"/>
      <c r="AM981" s="88"/>
      <c r="AN981" s="88"/>
      <c r="AO981" s="88"/>
      <c r="AP981" s="88"/>
      <c r="AV981" s="88"/>
      <c r="AW981" s="88"/>
      <c r="AX981" s="88"/>
      <c r="AY981" s="88"/>
      <c r="AZ981" s="88"/>
      <c r="BA981" s="88"/>
      <c r="BB981" s="88"/>
    </row>
    <row r="982" spans="4:54" ht="12.75" customHeight="1" x14ac:dyDescent="0.15">
      <c r="D982" s="88"/>
      <c r="AF982" s="88"/>
      <c r="AG982" s="88"/>
      <c r="AH982" s="88"/>
      <c r="AI982" s="88"/>
      <c r="AJ982" s="88"/>
      <c r="AK982" s="88"/>
      <c r="AL982" s="88"/>
      <c r="AM982" s="88"/>
      <c r="AN982" s="88"/>
      <c r="AO982" s="88"/>
      <c r="AP982" s="88"/>
      <c r="AV982" s="88"/>
      <c r="AW982" s="88"/>
      <c r="AX982" s="88"/>
      <c r="AY982" s="88"/>
      <c r="AZ982" s="88"/>
      <c r="BA982" s="88"/>
      <c r="BB982" s="88"/>
    </row>
    <row r="983" spans="4:54" ht="12.75" customHeight="1" x14ac:dyDescent="0.15">
      <c r="D983" s="88"/>
      <c r="AF983" s="88"/>
      <c r="AG983" s="88"/>
      <c r="AH983" s="88"/>
      <c r="AI983" s="88"/>
      <c r="AJ983" s="88"/>
      <c r="AK983" s="88"/>
      <c r="AL983" s="88"/>
      <c r="AM983" s="88"/>
      <c r="AN983" s="88"/>
      <c r="AO983" s="88"/>
      <c r="AP983" s="88"/>
      <c r="AV983" s="88"/>
      <c r="AW983" s="88"/>
      <c r="AX983" s="88"/>
      <c r="AY983" s="88"/>
      <c r="AZ983" s="88"/>
      <c r="BA983" s="88"/>
      <c r="BB983" s="88"/>
    </row>
    <row r="984" spans="4:54" ht="12.75" customHeight="1" x14ac:dyDescent="0.15">
      <c r="D984" s="88"/>
      <c r="AF984" s="88"/>
      <c r="AG984" s="88"/>
      <c r="AH984" s="88"/>
      <c r="AI984" s="88"/>
      <c r="AJ984" s="88"/>
      <c r="AK984" s="88"/>
      <c r="AL984" s="88"/>
      <c r="AM984" s="88"/>
      <c r="AN984" s="88"/>
      <c r="AO984" s="88"/>
      <c r="AP984" s="88"/>
      <c r="AV984" s="88"/>
      <c r="AW984" s="88"/>
      <c r="AX984" s="88"/>
      <c r="AY984" s="88"/>
      <c r="AZ984" s="88"/>
      <c r="BA984" s="88"/>
      <c r="BB984" s="88"/>
    </row>
    <row r="985" spans="4:54" ht="12.75" customHeight="1" x14ac:dyDescent="0.15">
      <c r="D985" s="88"/>
      <c r="AF985" s="88"/>
      <c r="AG985" s="88"/>
      <c r="AH985" s="88"/>
      <c r="AI985" s="88"/>
      <c r="AJ985" s="88"/>
      <c r="AK985" s="88"/>
      <c r="AL985" s="88"/>
      <c r="AM985" s="88"/>
      <c r="AN985" s="88"/>
      <c r="AO985" s="88"/>
      <c r="AP985" s="88"/>
      <c r="AV985" s="88"/>
      <c r="AW985" s="88"/>
      <c r="AX985" s="88"/>
      <c r="AY985" s="88"/>
      <c r="AZ985" s="88"/>
      <c r="BA985" s="88"/>
      <c r="BB985" s="88"/>
    </row>
    <row r="986" spans="4:54" ht="12.75" customHeight="1" x14ac:dyDescent="0.15">
      <c r="D986" s="88"/>
      <c r="AF986" s="88"/>
      <c r="AG986" s="88"/>
      <c r="AH986" s="88"/>
      <c r="AI986" s="88"/>
      <c r="AJ986" s="88"/>
      <c r="AK986" s="88"/>
      <c r="AL986" s="88"/>
      <c r="AM986" s="88"/>
      <c r="AN986" s="88"/>
      <c r="AO986" s="88"/>
      <c r="AP986" s="88"/>
      <c r="AV986" s="88"/>
      <c r="AW986" s="88"/>
      <c r="AX986" s="88"/>
      <c r="AY986" s="88"/>
      <c r="AZ986" s="88"/>
      <c r="BA986" s="88"/>
      <c r="BB986" s="88"/>
    </row>
    <row r="987" spans="4:54" ht="12.75" customHeight="1" x14ac:dyDescent="0.15">
      <c r="D987" s="88"/>
      <c r="AF987" s="88"/>
      <c r="AG987" s="88"/>
      <c r="AH987" s="88"/>
      <c r="AI987" s="88"/>
      <c r="AJ987" s="88"/>
      <c r="AK987" s="88"/>
      <c r="AL987" s="88"/>
      <c r="AM987" s="88"/>
      <c r="AN987" s="88"/>
      <c r="AO987" s="88"/>
      <c r="AP987" s="88"/>
      <c r="AV987" s="88"/>
      <c r="AW987" s="88"/>
      <c r="AX987" s="88"/>
      <c r="AY987" s="88"/>
      <c r="AZ987" s="88"/>
      <c r="BA987" s="88"/>
      <c r="BB987" s="88"/>
    </row>
    <row r="988" spans="4:54" ht="12.75" customHeight="1" x14ac:dyDescent="0.15">
      <c r="D988" s="88"/>
      <c r="AF988" s="88"/>
      <c r="AG988" s="88"/>
      <c r="AH988" s="88"/>
      <c r="AI988" s="88"/>
      <c r="AJ988" s="88"/>
      <c r="AK988" s="88"/>
      <c r="AL988" s="88"/>
      <c r="AM988" s="88"/>
      <c r="AN988" s="88"/>
      <c r="AO988" s="88"/>
      <c r="AP988" s="88"/>
      <c r="AV988" s="88"/>
      <c r="AW988" s="88"/>
      <c r="AX988" s="88"/>
      <c r="AY988" s="88"/>
      <c r="AZ988" s="88"/>
      <c r="BA988" s="88"/>
      <c r="BB988" s="88"/>
    </row>
    <row r="989" spans="4:54" ht="12.75" customHeight="1" x14ac:dyDescent="0.15">
      <c r="D989" s="88"/>
      <c r="AF989" s="88"/>
      <c r="AG989" s="88"/>
      <c r="AH989" s="88"/>
      <c r="AI989" s="88"/>
      <c r="AJ989" s="88"/>
      <c r="AK989" s="88"/>
      <c r="AL989" s="88"/>
      <c r="AM989" s="88"/>
      <c r="AN989" s="88"/>
      <c r="AO989" s="88"/>
      <c r="AP989" s="88"/>
      <c r="AV989" s="88"/>
      <c r="AW989" s="88"/>
      <c r="AX989" s="88"/>
      <c r="AY989" s="88"/>
      <c r="AZ989" s="88"/>
      <c r="BA989" s="88"/>
      <c r="BB989" s="88"/>
    </row>
    <row r="990" spans="4:54" ht="12.75" customHeight="1" x14ac:dyDescent="0.15">
      <c r="D990" s="88"/>
      <c r="AF990" s="88"/>
      <c r="AG990" s="88"/>
      <c r="AH990" s="88"/>
      <c r="AI990" s="88"/>
      <c r="AJ990" s="88"/>
      <c r="AK990" s="88"/>
      <c r="AL990" s="88"/>
      <c r="AM990" s="88"/>
      <c r="AN990" s="88"/>
      <c r="AO990" s="88"/>
      <c r="AP990" s="88"/>
      <c r="AV990" s="88"/>
      <c r="AW990" s="88"/>
      <c r="AX990" s="88"/>
      <c r="AY990" s="88"/>
      <c r="AZ990" s="88"/>
      <c r="BA990" s="88"/>
      <c r="BB990" s="88"/>
    </row>
    <row r="991" spans="4:54" ht="12.75" customHeight="1" x14ac:dyDescent="0.15">
      <c r="D991" s="88"/>
      <c r="AF991" s="88"/>
      <c r="AG991" s="88"/>
      <c r="AH991" s="88"/>
      <c r="AI991" s="88"/>
      <c r="AJ991" s="88"/>
      <c r="AK991" s="88"/>
      <c r="AL991" s="88"/>
      <c r="AM991" s="88"/>
      <c r="AN991" s="88"/>
      <c r="AO991" s="88"/>
      <c r="AP991" s="88"/>
      <c r="AV991" s="88"/>
      <c r="AW991" s="88"/>
      <c r="AX991" s="88"/>
      <c r="AY991" s="88"/>
      <c r="AZ991" s="88"/>
      <c r="BA991" s="88"/>
      <c r="BB991" s="88"/>
    </row>
    <row r="992" spans="4:54" ht="12.75" customHeight="1" x14ac:dyDescent="0.15">
      <c r="D992" s="88"/>
      <c r="AF992" s="88"/>
      <c r="AG992" s="88"/>
      <c r="AH992" s="88"/>
      <c r="AI992" s="88"/>
      <c r="AJ992" s="88"/>
      <c r="AK992" s="88"/>
      <c r="AL992" s="88"/>
      <c r="AM992" s="88"/>
      <c r="AN992" s="88"/>
      <c r="AO992" s="88"/>
      <c r="AP992" s="88"/>
      <c r="AV992" s="88"/>
      <c r="AW992" s="88"/>
      <c r="AX992" s="88"/>
      <c r="AY992" s="88"/>
      <c r="AZ992" s="88"/>
      <c r="BA992" s="88"/>
      <c r="BB992" s="88"/>
    </row>
    <row r="993" spans="4:54" ht="12.75" customHeight="1" x14ac:dyDescent="0.15">
      <c r="D993" s="88"/>
      <c r="AF993" s="88"/>
      <c r="AG993" s="88"/>
      <c r="AH993" s="88"/>
      <c r="AI993" s="88"/>
      <c r="AJ993" s="88"/>
      <c r="AK993" s="88"/>
      <c r="AL993" s="88"/>
      <c r="AM993" s="88"/>
      <c r="AN993" s="88"/>
      <c r="AO993" s="88"/>
      <c r="AP993" s="88"/>
      <c r="AV993" s="88"/>
      <c r="AW993" s="88"/>
      <c r="AX993" s="88"/>
      <c r="AY993" s="88"/>
      <c r="AZ993" s="88"/>
      <c r="BA993" s="88"/>
      <c r="BB993" s="88"/>
    </row>
    <row r="994" spans="4:54" ht="12.75" customHeight="1" x14ac:dyDescent="0.15">
      <c r="D994" s="88"/>
      <c r="AF994" s="88"/>
      <c r="AG994" s="88"/>
      <c r="AH994" s="88"/>
      <c r="AI994" s="88"/>
      <c r="AJ994" s="88"/>
      <c r="AK994" s="88"/>
      <c r="AL994" s="88"/>
      <c r="AM994" s="88"/>
      <c r="AN994" s="88"/>
      <c r="AO994" s="88"/>
      <c r="AP994" s="88"/>
      <c r="AV994" s="88"/>
      <c r="AW994" s="88"/>
      <c r="AX994" s="88"/>
      <c r="AY994" s="88"/>
      <c r="AZ994" s="88"/>
      <c r="BA994" s="88"/>
      <c r="BB994" s="88"/>
    </row>
    <row r="995" spans="4:54" ht="12.75" customHeight="1" x14ac:dyDescent="0.15">
      <c r="D995" s="88"/>
      <c r="AF995" s="88"/>
      <c r="AG995" s="88"/>
      <c r="AH995" s="88"/>
      <c r="AI995" s="88"/>
      <c r="AJ995" s="88"/>
      <c r="AK995" s="88"/>
      <c r="AL995" s="88"/>
      <c r="AM995" s="88"/>
      <c r="AN995" s="88"/>
      <c r="AO995" s="88"/>
      <c r="AP995" s="88"/>
      <c r="AV995" s="88"/>
      <c r="AW995" s="88"/>
      <c r="AX995" s="88"/>
      <c r="AY995" s="88"/>
      <c r="AZ995" s="88"/>
      <c r="BA995" s="88"/>
      <c r="BB995" s="88"/>
    </row>
    <row r="996" spans="4:54" ht="12.75" customHeight="1" x14ac:dyDescent="0.15">
      <c r="D996" s="88"/>
      <c r="AF996" s="88"/>
      <c r="AG996" s="88"/>
      <c r="AH996" s="88"/>
      <c r="AI996" s="88"/>
      <c r="AJ996" s="88"/>
      <c r="AK996" s="88"/>
      <c r="AL996" s="88"/>
      <c r="AM996" s="88"/>
      <c r="AN996" s="88"/>
      <c r="AO996" s="88"/>
      <c r="AP996" s="88"/>
      <c r="AV996" s="88"/>
      <c r="AW996" s="88"/>
      <c r="AX996" s="88"/>
      <c r="AY996" s="88"/>
      <c r="AZ996" s="88"/>
      <c r="BA996" s="88"/>
      <c r="BB996" s="88"/>
    </row>
    <row r="997" spans="4:54" ht="12.75" customHeight="1" x14ac:dyDescent="0.15">
      <c r="D997" s="88"/>
      <c r="AF997" s="88"/>
      <c r="AG997" s="88"/>
      <c r="AH997" s="88"/>
      <c r="AI997" s="88"/>
      <c r="AJ997" s="88"/>
      <c r="AK997" s="88"/>
      <c r="AL997" s="88"/>
      <c r="AM997" s="88"/>
      <c r="AN997" s="88"/>
      <c r="AO997" s="88"/>
      <c r="AP997" s="88"/>
      <c r="AV997" s="88"/>
      <c r="AW997" s="88"/>
      <c r="AX997" s="88"/>
      <c r="AY997" s="88"/>
      <c r="AZ997" s="88"/>
      <c r="BA997" s="88"/>
      <c r="BB997" s="88"/>
    </row>
    <row r="998" spans="4:54" ht="12.75" customHeight="1" x14ac:dyDescent="0.15">
      <c r="D998" s="88"/>
      <c r="AF998" s="88"/>
      <c r="AG998" s="88"/>
      <c r="AH998" s="88"/>
      <c r="AI998" s="88"/>
      <c r="AJ998" s="88"/>
      <c r="AK998" s="88"/>
      <c r="AL998" s="88"/>
      <c r="AM998" s="88"/>
      <c r="AN998" s="88"/>
      <c r="AO998" s="88"/>
      <c r="AP998" s="88"/>
      <c r="AV998" s="88"/>
      <c r="AW998" s="88"/>
      <c r="AX998" s="88"/>
      <c r="AY998" s="88"/>
      <c r="AZ998" s="88"/>
      <c r="BA998" s="88"/>
      <c r="BB998" s="88"/>
    </row>
    <row r="999" spans="4:54" ht="12.75" customHeight="1" x14ac:dyDescent="0.15">
      <c r="D999" s="88"/>
      <c r="AF999" s="88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V999" s="88"/>
      <c r="AW999" s="88"/>
      <c r="AX999" s="88"/>
      <c r="AY999" s="88"/>
      <c r="AZ999" s="88"/>
      <c r="BA999" s="88"/>
      <c r="BB999" s="88"/>
    </row>
    <row r="1000" spans="4:54" ht="12.75" customHeight="1" x14ac:dyDescent="0.15">
      <c r="D1000" s="88"/>
      <c r="AF1000" s="88"/>
      <c r="AG1000" s="88"/>
      <c r="AH1000" s="88"/>
      <c r="AI1000" s="88"/>
      <c r="AJ1000" s="88"/>
      <c r="AK1000" s="88"/>
      <c r="AL1000" s="88"/>
      <c r="AM1000" s="88"/>
      <c r="AN1000" s="88"/>
      <c r="AO1000" s="88"/>
      <c r="AP1000" s="88"/>
      <c r="AV1000" s="88"/>
      <c r="AW1000" s="88"/>
      <c r="AX1000" s="88"/>
      <c r="AY1000" s="88"/>
      <c r="AZ1000" s="88"/>
      <c r="BA1000" s="88"/>
      <c r="BB1000" s="88"/>
    </row>
    <row r="1001" spans="4:54" ht="12.75" customHeight="1" x14ac:dyDescent="0.15">
      <c r="D1001" s="88"/>
      <c r="AF1001" s="88"/>
      <c r="AG1001" s="88"/>
      <c r="AH1001" s="88"/>
      <c r="AI1001" s="88"/>
      <c r="AJ1001" s="88"/>
      <c r="AK1001" s="88"/>
      <c r="AL1001" s="88"/>
      <c r="AM1001" s="88"/>
      <c r="AN1001" s="88"/>
      <c r="AO1001" s="88"/>
      <c r="AP1001" s="88"/>
      <c r="AV1001" s="88"/>
      <c r="AW1001" s="88"/>
      <c r="AX1001" s="88"/>
      <c r="AY1001" s="88"/>
      <c r="AZ1001" s="88"/>
      <c r="BA1001" s="88"/>
      <c r="BB1001" s="88"/>
    </row>
    <row r="1002" spans="4:54" ht="12.75" customHeight="1" x14ac:dyDescent="0.15">
      <c r="D1002" s="88"/>
      <c r="AF1002" s="88"/>
      <c r="AG1002" s="88"/>
      <c r="AH1002" s="88"/>
      <c r="AI1002" s="88"/>
      <c r="AJ1002" s="88"/>
      <c r="AK1002" s="88"/>
      <c r="AL1002" s="88"/>
      <c r="AM1002" s="88"/>
      <c r="AN1002" s="88"/>
      <c r="AO1002" s="88"/>
      <c r="AP1002" s="88"/>
      <c r="AV1002" s="88"/>
      <c r="AW1002" s="88"/>
      <c r="AX1002" s="88"/>
      <c r="AY1002" s="88"/>
      <c r="AZ1002" s="88"/>
      <c r="BA1002" s="88"/>
      <c r="BB1002" s="88"/>
    </row>
  </sheetData>
  <conditionalFormatting sqref="AF2:AF63">
    <cfRule type="cellIs" dxfId="15" priority="4" operator="equal">
      <formula>"no"</formula>
    </cfRule>
  </conditionalFormatting>
  <conditionalFormatting sqref="AG2:AG63">
    <cfRule type="containsBlanks" dxfId="14" priority="3">
      <formula>LEN(TRIM(AG2))=0</formula>
    </cfRule>
    <cfRule type="cellIs" dxfId="13" priority="7" operator="equal">
      <formula>"No"</formula>
    </cfRule>
  </conditionalFormatting>
  <conditionalFormatting sqref="AH2:AH68">
    <cfRule type="cellIs" dxfId="12" priority="1" operator="lessThan">
      <formula>2</formula>
    </cfRule>
  </conditionalFormatting>
  <conditionalFormatting sqref="AJ2:AJ66">
    <cfRule type="cellIs" dxfId="11" priority="9" operator="lessThan">
      <formula>-240</formula>
    </cfRule>
  </conditionalFormatting>
  <conditionalFormatting sqref="AK1 AK67:AK1002">
    <cfRule type="cellIs" dxfId="10" priority="2" operator="equal">
      <formula>"No"</formula>
    </cfRule>
  </conditionalFormatting>
  <conditionalFormatting sqref="AL2:AM63">
    <cfRule type="cellIs" dxfId="9" priority="5" operator="lessThan">
      <formula>-240</formula>
    </cfRule>
  </conditionalFormatting>
  <conditionalFormatting sqref="AN2:AN63">
    <cfRule type="cellIs" dxfId="8" priority="6" operator="lessThan">
      <formula>2</formula>
    </cfRule>
  </conditionalFormatting>
  <conditionalFormatting sqref="AV1:BB74">
    <cfRule type="cellIs" dxfId="7" priority="10" operator="equal">
      <formula>"No"</formula>
    </cfRule>
  </conditionalFormatting>
  <conditionalFormatting sqref="AZ2:AZ74">
    <cfRule type="cellIs" dxfId="6" priority="13" operator="lessThan">
      <formula>"-$240"</formula>
    </cfRule>
  </conditionalFormatting>
  <conditionalFormatting sqref="BA1:BA74">
    <cfRule type="cellIs" dxfId="5" priority="11" operator="notEqual">
      <formula>"2+"</formula>
    </cfRule>
  </conditionalFormatting>
  <conditionalFormatting sqref="BB1:BB74">
    <cfRule type="notContainsBlanks" dxfId="4" priority="12">
      <formula>LEN(TRIM(BB1))&gt;0</formula>
    </cfRule>
  </conditionalFormatting>
  <printOptions gridLines="1"/>
  <pageMargins left="0.7" right="0.7" top="0.75" bottom="0.75" header="0" footer="0"/>
  <pageSetup fitToWidth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1021"/>
  <sheetViews>
    <sheetView tabSelected="1" workbookViewId="0">
      <pane xSplit="4" ySplit="1" topLeftCell="E2" activePane="bottomRight" state="frozen"/>
      <selection pane="bottomLeft" activeCell="A2" sqref="A2"/>
      <selection pane="topRight" activeCell="E1" sqref="E1"/>
      <selection pane="bottomRight" activeCell="E2" sqref="E2"/>
    </sheetView>
  </sheetViews>
  <sheetFormatPr defaultColWidth="12.67578125" defaultRowHeight="15" customHeight="1" outlineLevelCol="2" x14ac:dyDescent="0.15"/>
  <cols>
    <col min="1" max="1" width="10.65234375" customWidth="1"/>
    <col min="2" max="2" width="4.3125" customWidth="1"/>
    <col min="3" max="3" width="12.9453125" customWidth="1"/>
    <col min="4" max="4" width="31.82421875" customWidth="1"/>
    <col min="5" max="5" width="6.875" hidden="1" customWidth="1" outlineLevel="2"/>
    <col min="6" max="6" width="12.13671875" hidden="1" customWidth="1" outlineLevel="2"/>
    <col min="7" max="7" width="25.484375" hidden="1" customWidth="1" outlineLevel="2"/>
    <col min="8" max="8" width="7.4140625" customWidth="1" outlineLevel="1" collapsed="1"/>
    <col min="9" max="9" width="12.9453125" hidden="1" customWidth="1" outlineLevel="2"/>
    <col min="10" max="10" width="7.4140625" hidden="1" customWidth="1" outlineLevel="2"/>
    <col min="11" max="11" width="13.078125" hidden="1" customWidth="1" outlineLevel="2"/>
    <col min="12" max="12" width="7.4140625" hidden="1" customWidth="1" outlineLevel="2"/>
    <col min="13" max="13" width="13.078125" hidden="1" customWidth="1" outlineLevel="2"/>
    <col min="14" max="14" width="7.4140625" customWidth="1" outlineLevel="1" collapsed="1"/>
    <col min="15" max="15" width="11.4609375" customWidth="1" outlineLevel="2"/>
    <col min="16" max="16" width="7.28125" customWidth="1" outlineLevel="2"/>
    <col min="17" max="17" width="12.67578125" customWidth="1" outlineLevel="2"/>
    <col min="18" max="18" width="7.01171875" customWidth="1" outlineLevel="2"/>
    <col min="19" max="19" width="12.9453125" customWidth="1" outlineLevel="2"/>
    <col min="20" max="20" width="8.4921875" customWidth="1" outlineLevel="1"/>
    <col min="21" max="21" width="12.26953125" hidden="1" customWidth="1" outlineLevel="2"/>
    <col min="22" max="22" width="7.14453125" hidden="1" customWidth="1" outlineLevel="2"/>
    <col min="23" max="23" width="13.078125" hidden="1" customWidth="1" outlineLevel="2"/>
    <col min="24" max="24" width="7.28125" hidden="1" customWidth="1" outlineLevel="2"/>
    <col min="25" max="25" width="13.34765625" hidden="1" customWidth="1" outlineLevel="2"/>
    <col min="26" max="26" width="7.4140625" customWidth="1" outlineLevel="1" collapsed="1"/>
    <col min="27" max="27" width="12.9453125" hidden="1" customWidth="1" outlineLevel="2"/>
    <col min="28" max="28" width="7.68359375" hidden="1" customWidth="1" outlineLevel="2"/>
    <col min="29" max="29" width="13.484375" hidden="1" customWidth="1" outlineLevel="2"/>
    <col min="30" max="30" width="7.68359375" hidden="1" customWidth="1" outlineLevel="2"/>
    <col min="31" max="31" width="13.34765625" hidden="1" customWidth="1" outlineLevel="2"/>
    <col min="32" max="32" width="16.5859375" customWidth="1"/>
    <col min="33" max="33" width="14.83203125" customWidth="1" outlineLevel="1"/>
    <col min="34" max="36" width="16.31640625" customWidth="1" outlineLevel="1"/>
    <col min="37" max="37" width="16.44921875" customWidth="1" outlineLevel="1"/>
    <col min="38" max="38" width="16.31640625" customWidth="1" outlineLevel="1"/>
    <col min="39" max="40" width="16.44921875" customWidth="1" outlineLevel="1"/>
    <col min="41" max="41" width="19.28125" customWidth="1" outlineLevel="1"/>
    <col min="42" max="42" width="19.28125" customWidth="1"/>
    <col min="43" max="43" width="16.44921875" customWidth="1" outlineLevel="1"/>
    <col min="44" max="44" width="10.921875" customWidth="1" outlineLevel="1"/>
    <col min="45" max="45" width="9.4375" customWidth="1" outlineLevel="1"/>
    <col min="46" max="46" width="11.59375" customWidth="1" outlineLevel="1"/>
    <col min="47" max="47" width="9.03515625" customWidth="1" outlineLevel="1"/>
    <col min="48" max="49" width="7.01171875" customWidth="1"/>
    <col min="50" max="52" width="11.59375" customWidth="1" outlineLevel="1"/>
    <col min="53" max="53" width="14.29296875" customWidth="1" outlineLevel="1"/>
    <col min="54" max="54" width="15.640625" customWidth="1"/>
    <col min="55" max="56" width="9.3046875" customWidth="1"/>
    <col min="57" max="58" width="8.62890625" customWidth="1"/>
    <col min="59" max="59" width="12.40625" customWidth="1"/>
  </cols>
  <sheetData>
    <row r="1" spans="1:59" ht="12.75" customHeight="1" x14ac:dyDescent="0.15">
      <c r="A1" s="10" t="s">
        <v>0</v>
      </c>
      <c r="B1" s="13" t="s">
        <v>2</v>
      </c>
      <c r="C1" s="13" t="s">
        <v>5</v>
      </c>
      <c r="D1" s="15" t="s">
        <v>7</v>
      </c>
      <c r="E1" s="17" t="s">
        <v>33</v>
      </c>
      <c r="F1" s="17" t="s">
        <v>35</v>
      </c>
      <c r="G1" s="13" t="s">
        <v>38</v>
      </c>
      <c r="H1" s="13" t="s">
        <v>11</v>
      </c>
      <c r="I1" s="13" t="s">
        <v>12</v>
      </c>
      <c r="J1" s="13" t="s">
        <v>13</v>
      </c>
      <c r="K1" s="13" t="s">
        <v>14</v>
      </c>
      <c r="L1" s="13" t="s">
        <v>15</v>
      </c>
      <c r="M1" s="13" t="s">
        <v>16</v>
      </c>
      <c r="N1" s="13" t="s">
        <v>17</v>
      </c>
      <c r="O1" s="13" t="s">
        <v>18</v>
      </c>
      <c r="P1" s="13" t="s">
        <v>19</v>
      </c>
      <c r="Q1" s="23" t="s">
        <v>20</v>
      </c>
      <c r="R1" s="13" t="s">
        <v>21</v>
      </c>
      <c r="S1" s="13" t="s">
        <v>22</v>
      </c>
      <c r="T1" s="13" t="s">
        <v>23</v>
      </c>
      <c r="U1" s="13" t="s">
        <v>24</v>
      </c>
      <c r="V1" s="13" t="s">
        <v>25</v>
      </c>
      <c r="W1" s="13" t="s">
        <v>27</v>
      </c>
      <c r="X1" s="13" t="s">
        <v>29</v>
      </c>
      <c r="Y1" s="13" t="s">
        <v>31</v>
      </c>
      <c r="Z1" s="13" t="s">
        <v>32</v>
      </c>
      <c r="AA1" s="13" t="s">
        <v>37</v>
      </c>
      <c r="AB1" s="13" t="s">
        <v>39</v>
      </c>
      <c r="AC1" s="20" t="s">
        <v>41</v>
      </c>
      <c r="AD1" s="13" t="s">
        <v>44</v>
      </c>
      <c r="AE1" s="13" t="s">
        <v>46</v>
      </c>
      <c r="AF1" s="28" t="s">
        <v>51</v>
      </c>
      <c r="AG1" s="28" t="s">
        <v>54</v>
      </c>
      <c r="AH1" s="28" t="s">
        <v>50</v>
      </c>
      <c r="AI1" s="28" t="s">
        <v>52</v>
      </c>
      <c r="AJ1" s="28" t="s">
        <v>53</v>
      </c>
      <c r="AK1" s="35" t="s">
        <v>55</v>
      </c>
      <c r="AL1" s="38" t="s">
        <v>56</v>
      </c>
      <c r="AM1" s="38" t="s">
        <v>57</v>
      </c>
      <c r="AN1" s="40" t="s">
        <v>59</v>
      </c>
      <c r="AO1" s="28" t="s">
        <v>60</v>
      </c>
      <c r="AP1" s="28" t="s">
        <v>61</v>
      </c>
      <c r="AQ1" s="44" t="s">
        <v>62</v>
      </c>
      <c r="AR1" s="46" t="s">
        <v>64</v>
      </c>
      <c r="AS1" s="48" t="s">
        <v>67</v>
      </c>
      <c r="AT1" s="49" t="s">
        <v>69</v>
      </c>
      <c r="AU1" s="38" t="s">
        <v>71</v>
      </c>
      <c r="AV1" s="28" t="s">
        <v>72</v>
      </c>
      <c r="AW1" s="28" t="s">
        <v>74</v>
      </c>
      <c r="AX1" s="38" t="s">
        <v>75</v>
      </c>
      <c r="AY1" s="38" t="s">
        <v>76</v>
      </c>
      <c r="AZ1" s="38" t="s">
        <v>77</v>
      </c>
      <c r="BA1" s="38" t="s">
        <v>78</v>
      </c>
      <c r="BB1" s="28" t="s">
        <v>80</v>
      </c>
      <c r="BC1" s="55" t="s">
        <v>81</v>
      </c>
      <c r="BD1" s="55" t="s">
        <v>83</v>
      </c>
      <c r="BE1" s="28" t="s">
        <v>86</v>
      </c>
      <c r="BF1" s="24" t="s">
        <v>87</v>
      </c>
      <c r="BG1" s="24" t="s">
        <v>88</v>
      </c>
    </row>
    <row r="2" spans="1:59" ht="12.75" x14ac:dyDescent="0.15">
      <c r="A2" s="57" t="s">
        <v>1</v>
      </c>
      <c r="B2" s="58" t="s">
        <v>4</v>
      </c>
      <c r="C2" s="58" t="s">
        <v>47</v>
      </c>
      <c r="D2" s="59" t="s">
        <v>49</v>
      </c>
      <c r="E2" s="60">
        <v>45130</v>
      </c>
      <c r="F2" s="61" t="s">
        <v>92</v>
      </c>
      <c r="G2" s="63"/>
      <c r="H2" s="58" t="s">
        <v>96</v>
      </c>
      <c r="I2" s="64"/>
      <c r="J2" s="57"/>
      <c r="K2" s="64"/>
      <c r="L2" s="57"/>
      <c r="M2" s="64"/>
      <c r="N2" s="57"/>
      <c r="O2" s="64">
        <v>120</v>
      </c>
      <c r="P2" s="57"/>
      <c r="Q2" s="64"/>
      <c r="R2" s="57"/>
      <c r="S2" s="64"/>
      <c r="T2" s="57"/>
      <c r="U2" s="64"/>
      <c r="V2" s="57"/>
      <c r="W2" s="64"/>
      <c r="X2" s="57"/>
      <c r="Y2" s="64"/>
      <c r="Z2" s="57"/>
      <c r="AA2" s="64"/>
      <c r="AB2" s="57"/>
      <c r="AC2" s="64"/>
      <c r="AD2" s="57"/>
      <c r="AE2" s="64"/>
      <c r="AF2" s="70">
        <f t="shared" ref="AF2:AF5" si="0">SUM(H2:AE2)</f>
        <v>120</v>
      </c>
      <c r="AG2" s="70">
        <f t="shared" ref="AG2:AG4" ca="1" si="1">(AF2 - (20* (MONTH(TODAY()) )))</f>
        <v>-40</v>
      </c>
      <c r="AH2" s="64">
        <v>-240</v>
      </c>
      <c r="AI2" s="64">
        <v>250</v>
      </c>
      <c r="AJ2" s="64">
        <v>-10</v>
      </c>
      <c r="AK2" s="64" t="s">
        <v>108</v>
      </c>
      <c r="AL2" s="64" t="s">
        <v>108</v>
      </c>
      <c r="AM2" s="64" t="s">
        <v>108</v>
      </c>
      <c r="AN2" s="64" t="s">
        <v>108</v>
      </c>
      <c r="AO2" s="64" t="s">
        <v>108</v>
      </c>
      <c r="AP2" s="70">
        <f t="shared" ref="AP2:AP5" ca="1" si="2">SUM(AG2:AO2)</f>
        <v>-40</v>
      </c>
      <c r="AQ2" s="57" t="str">
        <f ca="1">IF((Member_Status!$AP2&lt;-240),  "No", "Yes")</f>
        <v>Yes</v>
      </c>
      <c r="AR2" s="74">
        <f ca="1">COUNTIF(Member_Status!$H25:$AE25, "Present") / (MONTH(TODAY()-23 ))</f>
        <v>0.2857142857142857</v>
      </c>
      <c r="AS2" s="76">
        <f>'Bereavment Collection'!C2</f>
        <v>0</v>
      </c>
      <c r="AT2" s="80" t="str">
        <f t="shared" ref="AT2:AT5" ca="1" si="3">IF( (((TODAY() - E2) / 365) &gt; 2), "2+", ((TODAY() - E2) / 365) )</f>
        <v>2+</v>
      </c>
      <c r="AU2" s="57" t="str">
        <f ca="1">IF( OR( (Member_Status!$AP25&lt;-240), (Member_Status!$AS25&lt;&gt;0), (Member_Status!$AR25&lt;58%) ),  "No", "Yes")</f>
        <v>No</v>
      </c>
      <c r="AV2" s="57" t="str">
        <f ca="1">IF( OR(Member_Status!$AQ2&lt;&gt;"Yes",AU2 &lt;&gt;"Yes"  ), "No", "Yes" )</f>
        <v>No</v>
      </c>
      <c r="AW2" s="57" t="str">
        <f ca="1">IF( AND(AX2&lt;149, OR(Member_Status!$AQ2&lt;&gt;"Yes", AT2&lt;2 ) ), "No", "Yes" )</f>
        <v>Yes</v>
      </c>
      <c r="AX2" s="70"/>
      <c r="AY2" s="64" t="s">
        <v>119</v>
      </c>
      <c r="AZ2" s="81">
        <v>1</v>
      </c>
      <c r="BA2" s="82">
        <v>120</v>
      </c>
      <c r="BB2" s="83">
        <v>46447</v>
      </c>
      <c r="BC2" s="82"/>
      <c r="BD2" s="82"/>
      <c r="BE2" s="82"/>
      <c r="BF2" s="84"/>
      <c r="BG2" s="84"/>
    </row>
    <row r="3" spans="1:59" ht="12.75" x14ac:dyDescent="0.15">
      <c r="A3" s="57" t="s">
        <v>1</v>
      </c>
      <c r="B3" s="57" t="s">
        <v>3</v>
      </c>
      <c r="C3" s="58" t="s">
        <v>47</v>
      </c>
      <c r="D3" s="59" t="s">
        <v>58</v>
      </c>
      <c r="E3" s="87">
        <v>45047</v>
      </c>
      <c r="F3" s="61">
        <v>8576159120</v>
      </c>
      <c r="G3" s="89" t="s">
        <v>126</v>
      </c>
      <c r="H3" s="58" t="s">
        <v>96</v>
      </c>
      <c r="I3" s="64"/>
      <c r="J3" s="57"/>
      <c r="K3" s="64"/>
      <c r="L3" s="57"/>
      <c r="M3" s="64"/>
      <c r="N3" s="57"/>
      <c r="O3" s="64">
        <v>120</v>
      </c>
      <c r="P3" s="57"/>
      <c r="Q3" s="64"/>
      <c r="R3" s="57"/>
      <c r="S3" s="64"/>
      <c r="T3" s="57"/>
      <c r="U3" s="64"/>
      <c r="V3" s="57"/>
      <c r="W3" s="64"/>
      <c r="X3" s="57"/>
      <c r="Y3" s="64"/>
      <c r="Z3" s="57"/>
      <c r="AA3" s="64"/>
      <c r="AB3" s="57"/>
      <c r="AC3" s="64"/>
      <c r="AD3" s="57"/>
      <c r="AE3" s="64"/>
      <c r="AF3" s="70">
        <f t="shared" si="0"/>
        <v>120</v>
      </c>
      <c r="AG3" s="70">
        <f t="shared" ca="1" si="1"/>
        <v>-40</v>
      </c>
      <c r="AH3" s="64">
        <v>-240</v>
      </c>
      <c r="AI3" s="64">
        <v>250</v>
      </c>
      <c r="AJ3" s="64">
        <v>-10</v>
      </c>
      <c r="AK3" s="64" t="s">
        <v>108</v>
      </c>
      <c r="AL3" s="64" t="s">
        <v>108</v>
      </c>
      <c r="AM3" s="64" t="s">
        <v>108</v>
      </c>
      <c r="AN3" s="64" t="s">
        <v>108</v>
      </c>
      <c r="AO3" s="64" t="s">
        <v>108</v>
      </c>
      <c r="AP3" s="70">
        <f t="shared" ca="1" si="2"/>
        <v>-40</v>
      </c>
      <c r="AQ3" s="57" t="str">
        <f ca="1">IF((Member_Status!$AP3&lt;-240),  "No", "Yes")</f>
        <v>Yes</v>
      </c>
      <c r="AR3" s="74">
        <f ca="1">COUNTIF(Member_Status!$H2:$AE2, "Present") / (MONTH(TODAY()-23 ))</f>
        <v>0.14285714285714285</v>
      </c>
      <c r="AS3" s="76">
        <f>'Bereavment Collection'!C3</f>
        <v>0</v>
      </c>
      <c r="AT3" s="80" t="str">
        <f t="shared" ca="1" si="3"/>
        <v>2+</v>
      </c>
      <c r="AU3" s="57" t="str">
        <f ca="1">IF( OR( (Member_Status!$AP2&lt;-240), (Member_Status!$AS2&lt;&gt;0), (Member_Status!$AR2&lt;58%) ),  "No", "Yes")</f>
        <v>No</v>
      </c>
      <c r="AV3" s="57" t="str">
        <f ca="1">IF( OR(Member_Status!$AQ3&lt;&gt;"Yes",AU3 &lt;&gt;"Yes"  ), "No", "Yes" )</f>
        <v>No</v>
      </c>
      <c r="AW3" s="57" t="str">
        <f ca="1">IF( AND(AX3&lt;149, OR(Member_Status!$AQ3&lt;&gt;"Yes", AT3&lt;2 ) ), "No", "Yes" )</f>
        <v>Yes</v>
      </c>
      <c r="AX3" s="70"/>
      <c r="AY3" s="64" t="s">
        <v>148</v>
      </c>
      <c r="AZ3" s="81">
        <v>1</v>
      </c>
      <c r="BA3" s="82">
        <v>120</v>
      </c>
      <c r="BB3" s="83">
        <v>46447</v>
      </c>
      <c r="BC3" s="82"/>
      <c r="BD3" s="82"/>
      <c r="BE3" s="82"/>
      <c r="BF3" s="84"/>
      <c r="BG3" s="84"/>
    </row>
    <row r="4" spans="1:59" ht="12.75" customHeight="1" x14ac:dyDescent="0.15">
      <c r="A4" s="57" t="s">
        <v>1</v>
      </c>
      <c r="B4" s="57" t="s">
        <v>3</v>
      </c>
      <c r="C4" s="57" t="s">
        <v>65</v>
      </c>
      <c r="D4" s="103" t="s">
        <v>66</v>
      </c>
      <c r="E4" s="104">
        <v>36892</v>
      </c>
      <c r="F4" s="61">
        <v>5862296613</v>
      </c>
      <c r="G4" s="106" t="s">
        <v>156</v>
      </c>
      <c r="H4" s="57"/>
      <c r="I4" s="64"/>
      <c r="J4" s="57"/>
      <c r="K4" s="64"/>
      <c r="L4" s="58"/>
      <c r="M4" s="64"/>
      <c r="N4" s="58"/>
      <c r="O4" s="64"/>
      <c r="P4" s="58" t="s">
        <v>96</v>
      </c>
      <c r="Q4" s="64">
        <v>300</v>
      </c>
      <c r="R4" s="57"/>
      <c r="S4" s="64"/>
      <c r="T4" s="58"/>
      <c r="U4" s="64"/>
      <c r="V4" s="57"/>
      <c r="W4" s="64"/>
      <c r="X4" s="57"/>
      <c r="Y4" s="64"/>
      <c r="Z4" s="57"/>
      <c r="AA4" s="64"/>
      <c r="AB4" s="57"/>
      <c r="AC4" s="64"/>
      <c r="AD4" s="57"/>
      <c r="AE4" s="64"/>
      <c r="AF4" s="70">
        <f t="shared" si="0"/>
        <v>300</v>
      </c>
      <c r="AG4" s="70">
        <f t="shared" ca="1" si="1"/>
        <v>140</v>
      </c>
      <c r="AH4" s="64">
        <v>80</v>
      </c>
      <c r="AI4" s="64">
        <v>-240</v>
      </c>
      <c r="AJ4" s="64">
        <v>180</v>
      </c>
      <c r="AK4" s="64">
        <v>-120</v>
      </c>
      <c r="AL4" s="70">
        <v>-80</v>
      </c>
      <c r="AM4" s="70">
        <v>-140</v>
      </c>
      <c r="AN4" s="64" t="s">
        <v>108</v>
      </c>
      <c r="AO4" s="64" t="s">
        <v>108</v>
      </c>
      <c r="AP4" s="70">
        <f t="shared" ca="1" si="2"/>
        <v>-180</v>
      </c>
      <c r="AQ4" s="57" t="str">
        <f ca="1">IF((Member_Status!$AP4&lt;-240),  "No", "Yes")</f>
        <v>Yes</v>
      </c>
      <c r="AR4" s="74">
        <f ca="1">COUNTIF(Member_Status!$H3:$AE3, "Present") / (MONTH(TODAY()-23 ))</f>
        <v>0.14285714285714285</v>
      </c>
      <c r="AS4" s="76">
        <f>'Bereavment Collection'!C4</f>
        <v>0</v>
      </c>
      <c r="AT4" s="80" t="str">
        <f t="shared" ca="1" si="3"/>
        <v>2+</v>
      </c>
      <c r="AU4" s="57" t="str">
        <f ca="1">IF( OR( (Member_Status!$AP3&lt;-240), (Member_Status!$AS3&lt;&gt;0), (Member_Status!$AR3&lt;58%) ),  "No", "Yes")</f>
        <v>No</v>
      </c>
      <c r="AV4" s="57" t="str">
        <f ca="1">IF( OR(Member_Status!$AQ4&lt;&gt;"Yes",AU4 &lt;&gt;"Yes"  ), "No", "Yes" )</f>
        <v>No</v>
      </c>
      <c r="AW4" s="57" t="str">
        <f ca="1">IF( AND(AX4&lt;149, OR(Member_Status!$AQ4&lt;&gt;"Yes", AT4&lt;2 ) ), "No", "Yes" )</f>
        <v>Yes</v>
      </c>
      <c r="AX4" s="70"/>
      <c r="AY4" s="70" t="s">
        <v>148</v>
      </c>
      <c r="AZ4" s="112"/>
      <c r="BA4" s="82"/>
      <c r="BB4" s="81" t="s">
        <v>108</v>
      </c>
      <c r="BC4" s="82"/>
      <c r="BD4" s="82">
        <v>20</v>
      </c>
      <c r="BE4" s="82"/>
      <c r="BF4" s="84"/>
      <c r="BG4" s="84"/>
    </row>
    <row r="5" spans="1:59" ht="12.75" customHeight="1" x14ac:dyDescent="0.15">
      <c r="A5" s="113" t="s">
        <v>1</v>
      </c>
      <c r="B5" s="113" t="s">
        <v>3</v>
      </c>
      <c r="C5" s="113" t="s">
        <v>65</v>
      </c>
      <c r="D5" s="114" t="s">
        <v>151</v>
      </c>
      <c r="E5" s="104">
        <v>46081</v>
      </c>
      <c r="F5" s="115">
        <v>5863295145</v>
      </c>
      <c r="G5" s="113"/>
      <c r="H5" s="116"/>
      <c r="I5" s="117"/>
      <c r="J5" s="116" t="s">
        <v>96</v>
      </c>
      <c r="K5" s="117"/>
      <c r="L5" s="116"/>
      <c r="M5" s="117"/>
      <c r="N5" s="116"/>
      <c r="O5" s="117"/>
      <c r="P5" s="116"/>
      <c r="Q5" s="117"/>
      <c r="R5" s="116"/>
      <c r="S5" s="117"/>
      <c r="T5" s="116"/>
      <c r="U5" s="117"/>
      <c r="V5" s="116"/>
      <c r="W5" s="118"/>
      <c r="X5" s="116"/>
      <c r="Y5" s="117"/>
      <c r="Z5" s="113"/>
      <c r="AA5" s="117"/>
      <c r="AB5" s="116"/>
      <c r="AC5" s="119"/>
      <c r="AD5" s="116"/>
      <c r="AE5" s="118"/>
      <c r="AF5" s="70">
        <f t="shared" si="0"/>
        <v>0</v>
      </c>
      <c r="AG5" s="118">
        <f ca="1">(SUM(H5:AE5) - (20* (MONTH(TODAY()) ))+40)</f>
        <v>-120</v>
      </c>
      <c r="AH5" s="117"/>
      <c r="AI5" s="117"/>
      <c r="AJ5" s="117"/>
      <c r="AK5" s="117"/>
      <c r="AL5" s="117"/>
      <c r="AM5" s="117"/>
      <c r="AN5" s="117"/>
      <c r="AO5" s="117"/>
      <c r="AP5" s="70">
        <f t="shared" ca="1" si="2"/>
        <v>-120</v>
      </c>
      <c r="AQ5" s="57" t="str">
        <f ca="1">IF((Member_Status!$AP5&lt;-240),  "No", "Yes")</f>
        <v>Yes</v>
      </c>
      <c r="AR5" s="74">
        <f ca="1">COUNTIF(Member_Status!$H4:$AE4, "Present") / (MONTH(TODAY()-23 ))</f>
        <v>0.14285714285714285</v>
      </c>
      <c r="AS5" s="76">
        <f>'Bereavment Collection'!C5</f>
        <v>0</v>
      </c>
      <c r="AT5" s="80">
        <f t="shared" ca="1" si="3"/>
        <v>0.43287671232876712</v>
      </c>
      <c r="AU5" s="57" t="str">
        <f ca="1">IF( OR( (Member_Status!$AP4&lt;-240), (Member_Status!$AS4&lt;&gt;0), (Member_Status!$AR4&lt;58%) ),  "No", "Yes")</f>
        <v>No</v>
      </c>
      <c r="AV5" s="57" t="str">
        <f ca="1">IF( OR(Member_Status!$AQ5&lt;&gt;"Yes",AU5 &lt;&gt;"Yes"  ), "No", "Yes" )</f>
        <v>No</v>
      </c>
      <c r="AW5" s="57" t="str">
        <f ca="1">IF( AND(AX5&lt;149, OR(Member_Status!$AQ5&lt;&gt;"Yes", AT5&lt;2 ) ), "No", "Yes" )</f>
        <v>No</v>
      </c>
      <c r="AX5" s="70"/>
      <c r="AY5" s="117" t="s">
        <v>119</v>
      </c>
      <c r="AZ5" s="121"/>
      <c r="BA5" s="122"/>
      <c r="BB5" s="121" t="s">
        <v>265</v>
      </c>
      <c r="BC5" s="122"/>
      <c r="BD5" s="122"/>
      <c r="BE5" s="122"/>
      <c r="BF5" s="122"/>
      <c r="BG5" s="123"/>
    </row>
    <row r="6" spans="1:59" ht="12" customHeight="1" x14ac:dyDescent="0.15">
      <c r="A6" s="58" t="s">
        <v>1</v>
      </c>
      <c r="B6" s="58" t="s">
        <v>4</v>
      </c>
      <c r="C6" s="58" t="s">
        <v>146</v>
      </c>
      <c r="D6" s="59" t="s">
        <v>147</v>
      </c>
      <c r="E6" s="87">
        <v>46143</v>
      </c>
      <c r="F6" s="61">
        <v>3134874212</v>
      </c>
      <c r="G6" s="57"/>
      <c r="H6" s="58"/>
      <c r="I6" s="64"/>
      <c r="J6" s="58"/>
      <c r="K6" s="64"/>
      <c r="L6" s="58"/>
      <c r="M6" s="64"/>
      <c r="N6" s="58"/>
      <c r="O6" s="64"/>
      <c r="P6" s="58"/>
      <c r="Q6" s="64">
        <v>200</v>
      </c>
      <c r="R6" s="57"/>
      <c r="S6" s="64"/>
      <c r="T6" s="57"/>
      <c r="U6" s="64"/>
      <c r="V6" s="57"/>
      <c r="W6" s="64"/>
      <c r="X6" s="58"/>
      <c r="Y6" s="64"/>
      <c r="Z6" s="58"/>
      <c r="AA6" s="64"/>
      <c r="AB6" s="57"/>
      <c r="AC6" s="64"/>
      <c r="AD6" s="57"/>
      <c r="AE6" s="64"/>
      <c r="AF6" s="70"/>
      <c r="AG6" s="70"/>
      <c r="AH6" s="64"/>
      <c r="AI6" s="64"/>
      <c r="AJ6" s="64"/>
      <c r="AK6" s="64"/>
      <c r="AL6" s="70"/>
      <c r="AM6" s="70"/>
      <c r="AN6" s="64"/>
      <c r="AO6" s="64"/>
      <c r="AP6" s="70"/>
      <c r="AQ6" s="57"/>
      <c r="AR6" s="74"/>
      <c r="AS6" s="57"/>
      <c r="AT6" s="80"/>
      <c r="AU6" s="57"/>
      <c r="AV6" s="57"/>
      <c r="AW6" s="57"/>
      <c r="AX6" s="70"/>
      <c r="AY6" s="70"/>
      <c r="AZ6" s="81"/>
      <c r="BA6" s="82"/>
      <c r="BB6" s="83"/>
      <c r="BC6" s="82"/>
      <c r="BD6" s="82"/>
      <c r="BE6" s="82"/>
      <c r="BF6" s="84"/>
      <c r="BG6" s="84"/>
    </row>
    <row r="7" spans="1:59" ht="12" customHeight="1" x14ac:dyDescent="0.15">
      <c r="A7" s="57" t="s">
        <v>1</v>
      </c>
      <c r="B7" s="57" t="s">
        <v>4</v>
      </c>
      <c r="C7" s="57" t="s">
        <v>82</v>
      </c>
      <c r="D7" s="103" t="s">
        <v>85</v>
      </c>
      <c r="E7" s="104">
        <v>36894</v>
      </c>
      <c r="F7" s="125">
        <v>2482275923</v>
      </c>
      <c r="G7" s="57" t="e">
        <f>VLOOKUP(Member_Status!$D7,contacts!A:G,3,FALSE)</f>
        <v>#N/A</v>
      </c>
      <c r="H7" s="58" t="s">
        <v>96</v>
      </c>
      <c r="I7" s="64"/>
      <c r="J7" s="58" t="s">
        <v>96</v>
      </c>
      <c r="K7" s="64"/>
      <c r="L7" s="58" t="s">
        <v>285</v>
      </c>
      <c r="M7" s="64">
        <v>120</v>
      </c>
      <c r="N7" s="58"/>
      <c r="O7" s="64"/>
      <c r="P7" s="58" t="s">
        <v>96</v>
      </c>
      <c r="Q7" s="64"/>
      <c r="R7" s="57"/>
      <c r="S7" s="64"/>
      <c r="T7" s="57"/>
      <c r="U7" s="64"/>
      <c r="V7" s="57"/>
      <c r="W7" s="64"/>
      <c r="X7" s="58"/>
      <c r="Y7" s="64"/>
      <c r="Z7" s="58"/>
      <c r="AA7" s="64"/>
      <c r="AB7" s="57"/>
      <c r="AC7" s="64"/>
      <c r="AD7" s="57"/>
      <c r="AE7" s="64"/>
      <c r="AF7" s="70">
        <f t="shared" ref="AF7:AF81" si="4">SUM(H7:AE7)</f>
        <v>120</v>
      </c>
      <c r="AG7" s="70">
        <f t="shared" ref="AG7:AG8" ca="1" si="5">(AF7 - (20* (MONTH(TODAY()) )))</f>
        <v>-40</v>
      </c>
      <c r="AH7" s="64">
        <v>0</v>
      </c>
      <c r="AI7" s="64">
        <v>80</v>
      </c>
      <c r="AJ7" s="64">
        <v>-60</v>
      </c>
      <c r="AK7" s="64">
        <v>-90</v>
      </c>
      <c r="AL7" s="70">
        <v>0</v>
      </c>
      <c r="AM7" s="70">
        <v>0</v>
      </c>
      <c r="AN7" s="64" t="s">
        <v>108</v>
      </c>
      <c r="AO7" s="64" t="s">
        <v>108</v>
      </c>
      <c r="AP7" s="70">
        <f t="shared" ref="AP7:AP45" ca="1" si="6">SUM(AG7:AO7)</f>
        <v>-110</v>
      </c>
      <c r="AQ7" s="57" t="str">
        <f ca="1">IF((Member_Status!$AP7&lt;-240),  "No", "Yes")</f>
        <v>Yes</v>
      </c>
      <c r="AR7" s="74">
        <f ca="1">COUNTIF(Member_Status!$H4:$AE4, "Present") / (MONTH(TODAY()-23 ))</f>
        <v>0.14285714285714285</v>
      </c>
      <c r="AS7" s="76">
        <f>'Bereavment Collection'!C5</f>
        <v>0</v>
      </c>
      <c r="AT7" s="80" t="str">
        <f t="shared" ref="AT7:AT75" ca="1" si="7">IF( (((TODAY() - E7) / 365) &gt; 2), "2+", ((TODAY() - E7) / 365) )</f>
        <v>2+</v>
      </c>
      <c r="AU7" s="57" t="str">
        <f ca="1">IF( OR( (Member_Status!$AP4&lt;-240), (Member_Status!$AS4&lt;&gt;0), (Member_Status!$AR4&lt;58%) ),  "No", "Yes")</f>
        <v>No</v>
      </c>
      <c r="AV7" s="57" t="str">
        <f ca="1">IF( OR(Member_Status!$AQ7&lt;&gt;"Yes",AU7 &lt;&gt;"Yes"  ), "No", "Yes" )</f>
        <v>No</v>
      </c>
      <c r="AW7" s="57" t="str">
        <f ca="1">IF( AND(AX7&lt;149, OR(Member_Status!$AQ7&lt;&gt;"Yes", AT7&lt;2 ) ), "No", "Yes" )</f>
        <v>Yes</v>
      </c>
      <c r="AX7" s="70"/>
      <c r="AY7" s="70" t="s">
        <v>119</v>
      </c>
      <c r="AZ7" s="81">
        <v>1</v>
      </c>
      <c r="BA7" s="82">
        <v>120</v>
      </c>
      <c r="BB7" s="83">
        <v>46296</v>
      </c>
      <c r="BC7" s="82">
        <v>50</v>
      </c>
      <c r="BD7" s="82"/>
      <c r="BE7" s="82">
        <v>20</v>
      </c>
      <c r="BF7" s="84">
        <v>50</v>
      </c>
      <c r="BG7" s="84"/>
    </row>
    <row r="8" spans="1:59" ht="12.75" x14ac:dyDescent="0.15">
      <c r="A8" s="57" t="s">
        <v>1</v>
      </c>
      <c r="B8" s="57" t="s">
        <v>3</v>
      </c>
      <c r="C8" s="57" t="s">
        <v>82</v>
      </c>
      <c r="D8" s="103" t="s">
        <v>93</v>
      </c>
      <c r="E8" s="104">
        <v>36893</v>
      </c>
      <c r="F8" s="125">
        <v>2482275923</v>
      </c>
      <c r="G8" s="57" t="str">
        <f>VLOOKUP(Member_Status!$D4,contacts!A:G,3,FALSE)</f>
        <v>onomeagbarha@hotmail.com</v>
      </c>
      <c r="H8" s="58" t="s">
        <v>96</v>
      </c>
      <c r="I8" s="64"/>
      <c r="J8" s="58" t="s">
        <v>96</v>
      </c>
      <c r="K8" s="64"/>
      <c r="L8" s="58" t="s">
        <v>285</v>
      </c>
      <c r="M8" s="64">
        <v>120</v>
      </c>
      <c r="N8" s="58"/>
      <c r="O8" s="64"/>
      <c r="P8" s="58" t="s">
        <v>96</v>
      </c>
      <c r="Q8" s="64"/>
      <c r="R8" s="57"/>
      <c r="S8" s="64"/>
      <c r="T8" s="58"/>
      <c r="U8" s="64"/>
      <c r="V8" s="57"/>
      <c r="W8" s="64"/>
      <c r="X8" s="58"/>
      <c r="Y8" s="64"/>
      <c r="Z8" s="58"/>
      <c r="AA8" s="64"/>
      <c r="AB8" s="57"/>
      <c r="AC8" s="64"/>
      <c r="AD8" s="57"/>
      <c r="AE8" s="64"/>
      <c r="AF8" s="70">
        <f t="shared" si="4"/>
        <v>120</v>
      </c>
      <c r="AG8" s="70">
        <f t="shared" ca="1" si="5"/>
        <v>-40</v>
      </c>
      <c r="AH8" s="64">
        <v>0</v>
      </c>
      <c r="AI8" s="64">
        <v>60</v>
      </c>
      <c r="AJ8" s="64">
        <v>-60</v>
      </c>
      <c r="AK8" s="64">
        <v>-90</v>
      </c>
      <c r="AL8" s="70">
        <v>0</v>
      </c>
      <c r="AM8" s="70">
        <v>0</v>
      </c>
      <c r="AN8" s="64" t="s">
        <v>108</v>
      </c>
      <c r="AO8" s="64" t="s">
        <v>108</v>
      </c>
      <c r="AP8" s="70">
        <f t="shared" ca="1" si="6"/>
        <v>-130</v>
      </c>
      <c r="AQ8" s="57" t="str">
        <f ca="1">IF((Member_Status!$AP8&lt;-240),  "No", "Yes")</f>
        <v>Yes</v>
      </c>
      <c r="AR8" s="74">
        <f ca="1">COUNTIF(Member_Status!$H7:$AE7, "Present") / (MONTH(TODAY()-23 ))</f>
        <v>0.42857142857142855</v>
      </c>
      <c r="AS8" s="76">
        <f>'Bereavment Collection'!C6</f>
        <v>0</v>
      </c>
      <c r="AT8" s="80" t="str">
        <f t="shared" ca="1" si="7"/>
        <v>2+</v>
      </c>
      <c r="AU8" s="57" t="str">
        <f ca="1">IF( OR( (Member_Status!$AP7&lt;-240), (Member_Status!$AS7&lt;&gt;0), (Member_Status!$AR7&lt;58%) ),  "No", "Yes")</f>
        <v>No</v>
      </c>
      <c r="AV8" s="57" t="str">
        <f ca="1">IF( OR(Member_Status!$AQ8&lt;&gt;"Yes",AU8 &lt;&gt;"Yes"  ), "No", "Yes" )</f>
        <v>No</v>
      </c>
      <c r="AW8" s="57" t="str">
        <f ca="1">IF( AND(AX8&lt;149, OR(Member_Status!$AQ8&lt;&gt;"Yes", AT8&lt;2 ) ), "No", "Yes" )</f>
        <v>Yes</v>
      </c>
      <c r="AX8" s="70"/>
      <c r="AY8" s="70" t="s">
        <v>148</v>
      </c>
      <c r="AZ8" s="81">
        <v>1</v>
      </c>
      <c r="BA8" s="82">
        <v>120</v>
      </c>
      <c r="BB8" s="83">
        <v>46296</v>
      </c>
      <c r="BC8" s="82">
        <v>50</v>
      </c>
      <c r="BD8" s="82"/>
      <c r="BE8" s="82"/>
      <c r="BF8" s="84"/>
      <c r="BG8" s="84"/>
    </row>
    <row r="9" spans="1:59" ht="12.75" customHeight="1" x14ac:dyDescent="0.15">
      <c r="A9" s="113" t="s">
        <v>1</v>
      </c>
      <c r="B9" s="113" t="s">
        <v>3</v>
      </c>
      <c r="C9" s="113" t="s">
        <v>100</v>
      </c>
      <c r="D9" s="114" t="s">
        <v>101</v>
      </c>
      <c r="E9" s="104">
        <v>45962</v>
      </c>
      <c r="F9" s="115">
        <v>7347262408</v>
      </c>
      <c r="G9" s="113" t="s">
        <v>296</v>
      </c>
      <c r="H9" s="116"/>
      <c r="I9" s="117"/>
      <c r="J9" s="116"/>
      <c r="K9" s="117"/>
      <c r="L9" s="116"/>
      <c r="M9" s="117"/>
      <c r="N9" s="116"/>
      <c r="O9" s="117"/>
      <c r="P9" s="116"/>
      <c r="Q9" s="117">
        <v>240</v>
      </c>
      <c r="R9" s="116"/>
      <c r="S9" s="117"/>
      <c r="T9" s="116"/>
      <c r="U9" s="117"/>
      <c r="V9" s="116"/>
      <c r="W9" s="118"/>
      <c r="X9" s="116"/>
      <c r="Y9" s="117"/>
      <c r="Z9" s="113"/>
      <c r="AA9" s="117"/>
      <c r="AB9" s="116"/>
      <c r="AC9" s="119"/>
      <c r="AD9" s="116"/>
      <c r="AE9" s="118"/>
      <c r="AF9" s="70">
        <f t="shared" si="4"/>
        <v>240</v>
      </c>
      <c r="AG9" s="70">
        <f>(AF9 - (40))</f>
        <v>200</v>
      </c>
      <c r="AH9" s="117">
        <v>-240</v>
      </c>
      <c r="AI9" s="117" t="s">
        <v>108</v>
      </c>
      <c r="AJ9" s="117" t="s">
        <v>108</v>
      </c>
      <c r="AK9" s="117" t="s">
        <v>108</v>
      </c>
      <c r="AL9" s="117" t="s">
        <v>108</v>
      </c>
      <c r="AM9" s="117" t="s">
        <v>108</v>
      </c>
      <c r="AN9" s="117" t="s">
        <v>108</v>
      </c>
      <c r="AO9" s="117" t="s">
        <v>108</v>
      </c>
      <c r="AP9" s="70">
        <f t="shared" si="6"/>
        <v>-40</v>
      </c>
      <c r="AQ9" s="57" t="str">
        <f>IF((Member_Status!$AP9&lt;-240),  "No", "Yes")</f>
        <v>Yes</v>
      </c>
      <c r="AR9" s="74">
        <f ca="1">COUNTIF(Member_Status!$H8:$AE8, "Present") / (MONTH(TODAY()-23 ))</f>
        <v>0.42857142857142855</v>
      </c>
      <c r="AS9" s="76">
        <f>'Bereavment Collection'!C8</f>
        <v>0</v>
      </c>
      <c r="AT9" s="80">
        <f t="shared" ca="1" si="7"/>
        <v>0.75890410958904109</v>
      </c>
      <c r="AU9" s="57" t="str">
        <f ca="1">IF( OR( (Member_Status!$AP8&lt;-240), (Member_Status!$AS8&lt;&gt;0), (Member_Status!$AR8&lt;58%) ),  "No", "Yes")</f>
        <v>No</v>
      </c>
      <c r="AV9" s="57" t="str">
        <f ca="1">IF( OR(Member_Status!$AQ9&lt;&gt;"Yes",AU9 &lt;&gt;"Yes"  ), "No", "Yes" )</f>
        <v>No</v>
      </c>
      <c r="AW9" s="57" t="str">
        <f ca="1">IF( AND(AX9&lt;149, OR(Member_Status!$AQ9&lt;&gt;"Yes", AT9&lt;2 ) ), "No", "Yes" )</f>
        <v>No</v>
      </c>
      <c r="AX9" s="70"/>
      <c r="AY9" s="117" t="s">
        <v>148</v>
      </c>
      <c r="AZ9" s="121"/>
      <c r="BA9" s="122"/>
      <c r="BB9" s="121" t="s">
        <v>265</v>
      </c>
      <c r="BC9" s="122" t="s">
        <v>108</v>
      </c>
      <c r="BD9" s="122" t="s">
        <v>108</v>
      </c>
      <c r="BE9" s="122" t="s">
        <v>108</v>
      </c>
      <c r="BF9" s="122" t="s">
        <v>108</v>
      </c>
      <c r="BG9" s="123"/>
    </row>
    <row r="10" spans="1:59" ht="12.75" x14ac:dyDescent="0.15">
      <c r="A10" s="57" t="s">
        <v>1</v>
      </c>
      <c r="B10" s="57" t="s">
        <v>298</v>
      </c>
      <c r="C10" s="57" t="s">
        <v>104</v>
      </c>
      <c r="D10" s="103" t="s">
        <v>105</v>
      </c>
      <c r="E10" s="104">
        <v>36895</v>
      </c>
      <c r="F10" s="125">
        <v>7342762638</v>
      </c>
      <c r="G10" s="57" t="str">
        <f>VLOOKUP(Member_Status!$D8,contacts!A:G,3,FALSE)</f>
        <v>mondaya@comcast.net</v>
      </c>
      <c r="H10" s="58" t="s">
        <v>96</v>
      </c>
      <c r="I10" s="64"/>
      <c r="J10" s="58"/>
      <c r="K10" s="64"/>
      <c r="L10" s="58" t="s">
        <v>96</v>
      </c>
      <c r="M10" s="64"/>
      <c r="N10" s="58"/>
      <c r="O10" s="143"/>
      <c r="P10" s="58"/>
      <c r="Q10" s="64"/>
      <c r="R10" s="57"/>
      <c r="S10" s="64"/>
      <c r="T10" s="58"/>
      <c r="U10" s="64"/>
      <c r="V10" s="57"/>
      <c r="W10" s="64"/>
      <c r="X10" s="58"/>
      <c r="Y10" s="64"/>
      <c r="Z10" s="58"/>
      <c r="AA10" s="64"/>
      <c r="AB10" s="57"/>
      <c r="AC10" s="64"/>
      <c r="AD10" s="57"/>
      <c r="AE10" s="64"/>
      <c r="AF10" s="70">
        <f t="shared" si="4"/>
        <v>0</v>
      </c>
      <c r="AG10" s="70">
        <f t="shared" ref="AG10:AG22" ca="1" si="8">(AF10 - (20* (MONTH(TODAY()) )))</f>
        <v>-160</v>
      </c>
      <c r="AH10" s="64">
        <v>-240</v>
      </c>
      <c r="AI10" s="64">
        <v>170</v>
      </c>
      <c r="AJ10" s="64">
        <v>0</v>
      </c>
      <c r="AK10" s="64">
        <v>0</v>
      </c>
      <c r="AL10" s="70">
        <v>0</v>
      </c>
      <c r="AM10" s="70">
        <v>320</v>
      </c>
      <c r="AN10" s="64" t="s">
        <v>108</v>
      </c>
      <c r="AO10" s="64" t="s">
        <v>108</v>
      </c>
      <c r="AP10" s="70">
        <f t="shared" ca="1" si="6"/>
        <v>90</v>
      </c>
      <c r="AQ10" s="57" t="str">
        <f ca="1">IF((Member_Status!$AP10&lt;-240),  "No", "Yes")</f>
        <v>Yes</v>
      </c>
      <c r="AR10" s="74">
        <f ca="1">COUNTIF(Member_Status!$H8:$AE8, "Present") / (MONTH(TODAY()-23 ))</f>
        <v>0.42857142857142855</v>
      </c>
      <c r="AS10" s="76">
        <f>'Bereavment Collection'!C8</f>
        <v>0</v>
      </c>
      <c r="AT10" s="80" t="str">
        <f t="shared" ca="1" si="7"/>
        <v>2+</v>
      </c>
      <c r="AU10" s="57" t="str">
        <f ca="1">IF( OR( (Member_Status!$AP8&lt;-240), (Member_Status!$AS8&lt;&gt;0), (Member_Status!$AR8&lt;58%) ),  "No", "Yes")</f>
        <v>No</v>
      </c>
      <c r="AV10" s="57" t="str">
        <f ca="1">IF( OR(Member_Status!$AQ10&lt;&gt;"Yes",AU10 &lt;&gt;"Yes"  ), "No", "Yes" )</f>
        <v>No</v>
      </c>
      <c r="AW10" s="57" t="str">
        <f ca="1">IF( AND(AX10&lt;149, OR(Member_Status!$AQ10&lt;&gt;"Yes", AT10&lt;2 ) ), "No", "Yes" )</f>
        <v>Yes</v>
      </c>
      <c r="AX10" s="70"/>
      <c r="AY10" s="70" t="s">
        <v>148</v>
      </c>
      <c r="AZ10" s="81">
        <v>1</v>
      </c>
      <c r="BA10" s="82">
        <v>120</v>
      </c>
      <c r="BB10" s="83">
        <v>46327</v>
      </c>
      <c r="BC10" s="82"/>
      <c r="BD10" s="82"/>
      <c r="BE10" s="82"/>
      <c r="BF10" s="84"/>
      <c r="BG10" s="84"/>
    </row>
    <row r="11" spans="1:59" ht="12" customHeight="1" x14ac:dyDescent="0.15">
      <c r="A11" s="57" t="s">
        <v>1</v>
      </c>
      <c r="B11" s="57" t="s">
        <v>4</v>
      </c>
      <c r="C11" s="57" t="s">
        <v>106</v>
      </c>
      <c r="D11" s="103" t="s">
        <v>107</v>
      </c>
      <c r="E11" s="144">
        <v>43770</v>
      </c>
      <c r="F11" s="61">
        <v>2487521535</v>
      </c>
      <c r="G11" s="57" t="str">
        <f>VLOOKUP(Member_Status!$D10,contacts!A:G,3,FALSE)</f>
        <v>palawuru@yahoo.com</v>
      </c>
      <c r="H11" s="58" t="s">
        <v>96</v>
      </c>
      <c r="I11" s="64">
        <v>20</v>
      </c>
      <c r="J11" s="58" t="s">
        <v>96</v>
      </c>
      <c r="K11" s="64">
        <v>20</v>
      </c>
      <c r="L11" s="58" t="s">
        <v>285</v>
      </c>
      <c r="M11" s="64">
        <v>20</v>
      </c>
      <c r="N11" s="58"/>
      <c r="O11" s="64">
        <v>20</v>
      </c>
      <c r="P11" s="58" t="s">
        <v>96</v>
      </c>
      <c r="Q11" s="64">
        <v>20</v>
      </c>
      <c r="R11" s="57"/>
      <c r="S11" s="64">
        <v>20</v>
      </c>
      <c r="T11" s="58"/>
      <c r="U11" s="64" t="s">
        <v>108</v>
      </c>
      <c r="V11" s="57"/>
      <c r="W11" s="64"/>
      <c r="X11" s="58"/>
      <c r="Y11" s="64"/>
      <c r="Z11" s="58"/>
      <c r="AA11" s="64"/>
      <c r="AB11" s="57"/>
      <c r="AC11" s="64"/>
      <c r="AD11" s="57"/>
      <c r="AE11" s="64"/>
      <c r="AF11" s="70">
        <f t="shared" si="4"/>
        <v>120</v>
      </c>
      <c r="AG11" s="70">
        <f t="shared" ca="1" si="8"/>
        <v>-40</v>
      </c>
      <c r="AH11" s="64">
        <v>0</v>
      </c>
      <c r="AI11" s="64">
        <v>40</v>
      </c>
      <c r="AJ11" s="64">
        <v>0</v>
      </c>
      <c r="AK11" s="64">
        <v>-20</v>
      </c>
      <c r="AL11" s="70">
        <v>-20</v>
      </c>
      <c r="AM11" s="70" t="s">
        <v>108</v>
      </c>
      <c r="AN11" s="70" t="s">
        <v>108</v>
      </c>
      <c r="AO11" s="64" t="s">
        <v>108</v>
      </c>
      <c r="AP11" s="70">
        <f t="shared" ca="1" si="6"/>
        <v>-40</v>
      </c>
      <c r="AQ11" s="57" t="str">
        <f ca="1">IF((Member_Status!$AP11&lt;-240),  "No", "Yes")</f>
        <v>Yes</v>
      </c>
      <c r="AR11" s="74">
        <f ca="1">COUNTIF(Member_Status!$H10:$AE10, "Present") / (MONTH(TODAY()-23 ))</f>
        <v>0.2857142857142857</v>
      </c>
      <c r="AS11" s="76">
        <f>'Bereavment Collection'!C9</f>
        <v>-50</v>
      </c>
      <c r="AT11" s="80" t="str">
        <f t="shared" ca="1" si="7"/>
        <v>2+</v>
      </c>
      <c r="AU11" s="57" t="str">
        <f ca="1">IF( OR( (Member_Status!$AP10&lt;-240), (Member_Status!$AS10&lt;&gt;0), (Member_Status!$AR10&lt;58%) ),  "No", "Yes")</f>
        <v>No</v>
      </c>
      <c r="AV11" s="57" t="str">
        <f ca="1">IF( OR(Member_Status!$AQ11&lt;&gt;"Yes",AU11 &lt;&gt;"Yes"  ), "No", "Yes" )</f>
        <v>No</v>
      </c>
      <c r="AW11" s="57" t="str">
        <f ca="1">IF( AND(AX11&lt;149, OR(Member_Status!$AQ11&lt;&gt;"Yes", AT11&lt;2 ) ), "No", "Yes" )</f>
        <v>Yes</v>
      </c>
      <c r="AX11" s="70"/>
      <c r="AY11" s="70" t="s">
        <v>119</v>
      </c>
      <c r="AZ11" s="81">
        <v>1</v>
      </c>
      <c r="BA11" s="82">
        <v>120</v>
      </c>
      <c r="BB11" s="83">
        <v>46327</v>
      </c>
      <c r="BC11" s="82">
        <v>50</v>
      </c>
      <c r="BD11" s="82">
        <v>-20</v>
      </c>
      <c r="BE11" s="82">
        <v>20</v>
      </c>
      <c r="BF11" s="146">
        <v>20</v>
      </c>
      <c r="BG11" s="146"/>
    </row>
    <row r="12" spans="1:59" ht="12" customHeight="1" x14ac:dyDescent="0.15">
      <c r="A12" s="57" t="s">
        <v>1</v>
      </c>
      <c r="B12" s="147" t="s">
        <v>306</v>
      </c>
      <c r="C12" s="147" t="s">
        <v>109</v>
      </c>
      <c r="D12" s="148" t="s">
        <v>110</v>
      </c>
      <c r="E12" s="60">
        <v>45597</v>
      </c>
      <c r="F12" s="61">
        <v>6185414024</v>
      </c>
      <c r="H12" s="149"/>
      <c r="I12" s="64"/>
      <c r="J12" s="149"/>
      <c r="K12" s="64"/>
      <c r="L12" s="57"/>
      <c r="M12" s="64"/>
      <c r="N12" s="147"/>
      <c r="O12" s="64"/>
      <c r="P12" s="149"/>
      <c r="Q12" s="64"/>
      <c r="R12" s="149"/>
      <c r="S12" s="64"/>
      <c r="T12" s="147"/>
      <c r="U12" s="64"/>
      <c r="V12" s="57"/>
      <c r="W12" s="64"/>
      <c r="X12" s="149"/>
      <c r="Y12" s="64"/>
      <c r="Z12" s="147"/>
      <c r="AA12" s="64"/>
      <c r="AB12" s="149"/>
      <c r="AC12" s="64"/>
      <c r="AD12" s="57"/>
      <c r="AE12" s="64"/>
      <c r="AF12" s="70">
        <f t="shared" si="4"/>
        <v>0</v>
      </c>
      <c r="AG12" s="70">
        <f t="shared" ca="1" si="8"/>
        <v>-160</v>
      </c>
      <c r="AH12" s="64">
        <v>-240</v>
      </c>
      <c r="AI12" s="64">
        <v>-40</v>
      </c>
      <c r="AJ12" s="64" t="s">
        <v>108</v>
      </c>
      <c r="AK12" s="64" t="s">
        <v>108</v>
      </c>
      <c r="AL12" s="64" t="s">
        <v>108</v>
      </c>
      <c r="AM12" s="64" t="s">
        <v>108</v>
      </c>
      <c r="AN12" s="64" t="s">
        <v>108</v>
      </c>
      <c r="AO12" s="64" t="s">
        <v>108</v>
      </c>
      <c r="AP12" s="70">
        <f t="shared" ca="1" si="6"/>
        <v>-440</v>
      </c>
      <c r="AQ12" s="57" t="str">
        <f ca="1">IF((Member_Status!$AP12&lt;-240),  "No", "Yes")</f>
        <v>No</v>
      </c>
      <c r="AR12" s="74">
        <f ca="1">COUNTIF(Member_Status!$H11:$AE11, "Present") / (MONTH(TODAY()-23 ))</f>
        <v>0.42857142857142855</v>
      </c>
      <c r="AS12" s="58" t="s">
        <v>108</v>
      </c>
      <c r="AT12" s="80">
        <f t="shared" ca="1" si="7"/>
        <v>1.7589041095890412</v>
      </c>
      <c r="AU12" s="57" t="str">
        <f ca="1">IF( OR( (Member_Status!$AP11&lt;-240), (Member_Status!$AS11&lt;&gt;0), (Member_Status!$AR11&lt;58%) ),  "No", "Yes")</f>
        <v>No</v>
      </c>
      <c r="AV12" s="57" t="str">
        <f ca="1">IF( OR(Member_Status!$AQ12&lt;&gt;"Yes",AU12 &lt;&gt;"Yes"  ), "No", "Yes" )</f>
        <v>No</v>
      </c>
      <c r="AW12" s="57" t="str">
        <f ca="1">IF( AND(AX12&lt;149, OR(Member_Status!$AQ12&lt;&gt;"Yes", AT12&lt;2 ) ), "No", "Yes" )</f>
        <v>No</v>
      </c>
      <c r="AX12" s="70"/>
      <c r="AY12" s="64" t="s">
        <v>108</v>
      </c>
      <c r="AZ12" s="81"/>
      <c r="BA12" s="82"/>
      <c r="BB12" s="81" t="s">
        <v>108</v>
      </c>
      <c r="BC12" s="82"/>
      <c r="BD12" s="82"/>
      <c r="BE12" s="82"/>
      <c r="BF12" s="84"/>
      <c r="BG12" s="84"/>
    </row>
    <row r="13" spans="1:59" ht="12.75" customHeight="1" x14ac:dyDescent="0.15">
      <c r="A13" s="150" t="s">
        <v>1</v>
      </c>
      <c r="B13" s="150" t="s">
        <v>4</v>
      </c>
      <c r="C13" s="150" t="s">
        <v>111</v>
      </c>
      <c r="D13" s="151" t="s">
        <v>112</v>
      </c>
      <c r="E13" s="144">
        <v>44287</v>
      </c>
      <c r="F13" s="61">
        <v>7345951092</v>
      </c>
      <c r="G13" s="57" t="e">
        <f>VLOOKUP(Member_Status!$D12,contacts!A:G,3,FALSE)</f>
        <v>#N/A</v>
      </c>
      <c r="H13" s="149"/>
      <c r="I13" s="64"/>
      <c r="J13" s="147" t="s">
        <v>96</v>
      </c>
      <c r="K13" s="64"/>
      <c r="L13" s="58" t="s">
        <v>96</v>
      </c>
      <c r="M13" s="64"/>
      <c r="N13" s="147"/>
      <c r="O13" s="64"/>
      <c r="P13" s="147" t="s">
        <v>96</v>
      </c>
      <c r="Q13" s="64"/>
      <c r="R13" s="149"/>
      <c r="S13" s="64"/>
      <c r="T13" s="147"/>
      <c r="U13" s="64"/>
      <c r="V13" s="57"/>
      <c r="W13" s="64"/>
      <c r="X13" s="149"/>
      <c r="Y13" s="64"/>
      <c r="Z13" s="147"/>
      <c r="AA13" s="64"/>
      <c r="AB13" s="149"/>
      <c r="AC13" s="64"/>
      <c r="AD13" s="57"/>
      <c r="AE13" s="64"/>
      <c r="AF13" s="70">
        <f t="shared" si="4"/>
        <v>0</v>
      </c>
      <c r="AG13" s="70">
        <f t="shared" ca="1" si="8"/>
        <v>-160</v>
      </c>
      <c r="AH13" s="64">
        <v>-10</v>
      </c>
      <c r="AI13" s="64">
        <v>-140</v>
      </c>
      <c r="AJ13" s="64">
        <v>100</v>
      </c>
      <c r="AK13" s="64">
        <v>-240</v>
      </c>
      <c r="AL13" s="70">
        <v>0</v>
      </c>
      <c r="AM13" s="70" t="s">
        <v>108</v>
      </c>
      <c r="AN13" s="70" t="s">
        <v>108</v>
      </c>
      <c r="AO13" s="64" t="s">
        <v>108</v>
      </c>
      <c r="AP13" s="70">
        <f t="shared" ca="1" si="6"/>
        <v>-450</v>
      </c>
      <c r="AQ13" s="57" t="str">
        <f ca="1">IF((Member_Status!$AP13&lt;-240),  "No", "Yes")</f>
        <v>No</v>
      </c>
      <c r="AR13" s="74">
        <f ca="1">COUNTIF(Member_Status!$H12:$AE12, "Present") / (MONTH(TODAY()-23 ))</f>
        <v>0</v>
      </c>
      <c r="AS13" s="76">
        <f>'Bereavment Collection'!C11</f>
        <v>-200</v>
      </c>
      <c r="AT13" s="80" t="str">
        <f t="shared" ca="1" si="7"/>
        <v>2+</v>
      </c>
      <c r="AU13" s="57" t="str">
        <f ca="1">IF( OR( (Member_Status!$AP12&lt;-240), (Member_Status!$AS12&lt;&gt;0), (Member_Status!$AR12&lt;58%) ),  "No", "Yes")</f>
        <v>No</v>
      </c>
      <c r="AV13" s="57" t="str">
        <f ca="1">IF( OR(Member_Status!$AQ13&lt;&gt;"Yes",AU13 &lt;&gt;"Yes"  ), "No", "Yes" )</f>
        <v>No</v>
      </c>
      <c r="AW13" s="57" t="str">
        <f ca="1">IF( AND(AX13&lt;149, OR(Member_Status!$AQ13&lt;&gt;"Yes", AT13&lt;2 ) ), "No", "Yes" )</f>
        <v>No</v>
      </c>
      <c r="AX13" s="70"/>
      <c r="AY13" s="70" t="s">
        <v>119</v>
      </c>
      <c r="AZ13" s="112"/>
      <c r="BA13" s="152"/>
      <c r="BB13" s="83">
        <v>46143</v>
      </c>
      <c r="BC13" s="82"/>
      <c r="BD13" s="82"/>
      <c r="BE13" s="82"/>
      <c r="BF13" s="84"/>
      <c r="BG13" s="84"/>
    </row>
    <row r="14" spans="1:59" ht="12.75" customHeight="1" x14ac:dyDescent="0.15">
      <c r="A14" s="57" t="s">
        <v>1</v>
      </c>
      <c r="B14" s="58" t="s">
        <v>4</v>
      </c>
      <c r="C14" s="58" t="s">
        <v>113</v>
      </c>
      <c r="D14" s="36" t="s">
        <v>114</v>
      </c>
      <c r="E14" s="144">
        <v>45658</v>
      </c>
      <c r="F14" s="61">
        <v>2487473278</v>
      </c>
      <c r="H14" s="57"/>
      <c r="I14" s="64"/>
      <c r="J14" s="58" t="s">
        <v>96</v>
      </c>
      <c r="K14" s="64"/>
      <c r="L14" s="58" t="s">
        <v>96</v>
      </c>
      <c r="M14" s="64">
        <v>167</v>
      </c>
      <c r="N14" s="57"/>
      <c r="O14" s="64"/>
      <c r="P14" s="58" t="s">
        <v>96</v>
      </c>
      <c r="Q14" s="64"/>
      <c r="R14" s="57"/>
      <c r="S14" s="64"/>
      <c r="T14" s="57"/>
      <c r="U14" s="64"/>
      <c r="V14" s="57"/>
      <c r="W14" s="70"/>
      <c r="X14" s="57"/>
      <c r="Y14" s="64"/>
      <c r="Z14" s="57"/>
      <c r="AA14" s="64"/>
      <c r="AB14" s="57"/>
      <c r="AC14" s="153"/>
      <c r="AD14" s="57"/>
      <c r="AE14" s="70"/>
      <c r="AF14" s="70">
        <f t="shared" si="4"/>
        <v>167</v>
      </c>
      <c r="AG14" s="70">
        <f t="shared" ca="1" si="8"/>
        <v>7</v>
      </c>
      <c r="AH14" s="64">
        <v>0</v>
      </c>
      <c r="AI14" s="64">
        <v>0</v>
      </c>
      <c r="AJ14" s="64">
        <v>0</v>
      </c>
      <c r="AK14" s="64">
        <v>-70</v>
      </c>
      <c r="AL14" s="70">
        <v>50</v>
      </c>
      <c r="AM14" s="70">
        <v>80</v>
      </c>
      <c r="AN14" s="64" t="s">
        <v>108</v>
      </c>
      <c r="AO14" s="64">
        <v>0</v>
      </c>
      <c r="AP14" s="70">
        <f t="shared" ca="1" si="6"/>
        <v>67</v>
      </c>
      <c r="AQ14" s="57" t="str">
        <f ca="1">IF((Member_Status!$AP14&lt;-240),  "No", "Yes")</f>
        <v>Yes</v>
      </c>
      <c r="AR14" s="74">
        <f ca="1">COUNTIF(Member_Status!$H74:$AE74, "Present") / (MONTH(TODAY()-23 ))</f>
        <v>0.42857142857142855</v>
      </c>
      <c r="AT14" s="80">
        <f t="shared" ca="1" si="7"/>
        <v>1.5917808219178082</v>
      </c>
      <c r="AU14" s="57" t="str">
        <f ca="1">IF( OR( (Member_Status!$AP74&lt;-240), (Member_Status!$AS74&lt;&gt;0), (Member_Status!$AR74&lt;58%) ),  "No", "Yes")</f>
        <v>No</v>
      </c>
      <c r="AV14" s="57" t="str">
        <f ca="1">IF( OR(Member_Status!$AQ14&lt;&gt;"Yes",AU14 &lt;&gt;"Yes"  ), "No", "Yes" )</f>
        <v>No</v>
      </c>
      <c r="AW14" s="57" t="str">
        <f ca="1">IF( AND(AX14&lt;149, OR(Member_Status!$AQ14&lt;&gt;"Yes", AT14&lt;2 ) ), "No", "Yes" )</f>
        <v>Yes</v>
      </c>
      <c r="AX14" s="64">
        <v>153</v>
      </c>
      <c r="AY14" s="64" t="s">
        <v>119</v>
      </c>
      <c r="AZ14" s="81">
        <v>1</v>
      </c>
      <c r="BA14" s="82">
        <v>300</v>
      </c>
      <c r="BB14" s="83">
        <v>46082</v>
      </c>
      <c r="BC14" s="82"/>
      <c r="BD14" s="82">
        <v>20</v>
      </c>
      <c r="BE14" s="82"/>
      <c r="BF14" s="84"/>
      <c r="BG14" s="84">
        <v>20</v>
      </c>
    </row>
    <row r="15" spans="1:59" ht="12" customHeight="1" x14ac:dyDescent="0.15">
      <c r="A15" s="57" t="s">
        <v>1</v>
      </c>
      <c r="B15" s="57" t="s">
        <v>4</v>
      </c>
      <c r="C15" s="57" t="s">
        <v>115</v>
      </c>
      <c r="D15" s="103" t="s">
        <v>116</v>
      </c>
      <c r="E15" s="144">
        <v>44398</v>
      </c>
      <c r="F15" s="61">
        <v>3135302348</v>
      </c>
      <c r="G15" s="57" t="e">
        <f>VLOOKUP(Member_Status!$D13,contacts!A:G,3,FALSE)</f>
        <v>#N/A</v>
      </c>
      <c r="H15" s="58" t="s">
        <v>96</v>
      </c>
      <c r="I15" s="64"/>
      <c r="J15" s="58" t="s">
        <v>96</v>
      </c>
      <c r="K15" s="64">
        <v>200</v>
      </c>
      <c r="L15" s="58" t="s">
        <v>96</v>
      </c>
      <c r="M15" s="64"/>
      <c r="N15" s="58"/>
      <c r="O15" s="64"/>
      <c r="P15" s="58" t="s">
        <v>96</v>
      </c>
      <c r="Q15" s="64"/>
      <c r="R15" s="57"/>
      <c r="S15" s="64"/>
      <c r="T15" s="58"/>
      <c r="U15" s="64"/>
      <c r="V15" s="57"/>
      <c r="W15" s="64"/>
      <c r="X15" s="58"/>
      <c r="Y15" s="64"/>
      <c r="Z15" s="58"/>
      <c r="AA15" s="64"/>
      <c r="AB15" s="57"/>
      <c r="AC15" s="64"/>
      <c r="AD15" s="57"/>
      <c r="AE15" s="64"/>
      <c r="AF15" s="70">
        <f t="shared" si="4"/>
        <v>200</v>
      </c>
      <c r="AG15" s="70">
        <f t="shared" ca="1" si="8"/>
        <v>40</v>
      </c>
      <c r="AH15" s="64">
        <v>0</v>
      </c>
      <c r="AI15" s="64">
        <v>-140</v>
      </c>
      <c r="AJ15" s="64">
        <v>0</v>
      </c>
      <c r="AK15" s="64">
        <v>0</v>
      </c>
      <c r="AL15" s="70">
        <v>-40</v>
      </c>
      <c r="AM15" s="70" t="s">
        <v>108</v>
      </c>
      <c r="AN15" s="70" t="s">
        <v>108</v>
      </c>
      <c r="AO15" s="64" t="s">
        <v>108</v>
      </c>
      <c r="AP15" s="70">
        <f t="shared" ca="1" si="6"/>
        <v>-140</v>
      </c>
      <c r="AQ15" s="57" t="str">
        <f ca="1">IF((Member_Status!$AP15&lt;-240),  "No", "Yes")</f>
        <v>Yes</v>
      </c>
      <c r="AR15" s="74">
        <f ca="1">COUNTIF(Member_Status!$H13:$AE13, "Present") / (MONTH(TODAY()-23 ))</f>
        <v>0.42857142857142855</v>
      </c>
      <c r="AS15" s="76">
        <f>'Bereavment Collection'!C13</f>
        <v>0</v>
      </c>
      <c r="AT15" s="80" t="str">
        <f t="shared" ca="1" si="7"/>
        <v>2+</v>
      </c>
      <c r="AU15" s="57" t="str">
        <f ca="1">IF( OR( (Member_Status!$AP13&lt;-240), (Member_Status!$AS13&lt;&gt;0), (Member_Status!$AR13&lt;58%) ),  "No", "Yes")</f>
        <v>No</v>
      </c>
      <c r="AV15" s="57" t="str">
        <f ca="1">IF( OR(Member_Status!$AQ15&lt;&gt;"Yes",AU15 &lt;&gt;"Yes"  ), "No", "Yes" )</f>
        <v>No</v>
      </c>
      <c r="AW15" s="57" t="str">
        <f ca="1">IF( AND(AX15&lt;149, OR(Member_Status!$AQ15&lt;&gt;"Yes", AT15&lt;2 ) ), "No", "Yes" )</f>
        <v>Yes</v>
      </c>
      <c r="AX15" s="70"/>
      <c r="AY15" s="70" t="s">
        <v>119</v>
      </c>
      <c r="AZ15" s="81">
        <v>1</v>
      </c>
      <c r="BA15" s="82">
        <v>120</v>
      </c>
      <c r="BB15" s="83">
        <v>46327</v>
      </c>
      <c r="BC15" s="82">
        <v>50</v>
      </c>
      <c r="BD15" s="82">
        <v>-20</v>
      </c>
      <c r="BE15" s="82"/>
      <c r="BF15" s="84">
        <v>20</v>
      </c>
      <c r="BG15" s="84"/>
    </row>
    <row r="16" spans="1:59" ht="12" customHeight="1" x14ac:dyDescent="0.15">
      <c r="A16" s="57" t="s">
        <v>1</v>
      </c>
      <c r="B16" s="57" t="s">
        <v>4</v>
      </c>
      <c r="C16" s="57" t="s">
        <v>117</v>
      </c>
      <c r="D16" s="103" t="s">
        <v>118</v>
      </c>
      <c r="E16" s="144">
        <v>36892</v>
      </c>
      <c r="F16" s="125">
        <v>2482527976</v>
      </c>
      <c r="G16" s="57" t="str">
        <f>LOOKUP(Member_Status!$D14,contacts!A:A,contacts!C:C)</f>
        <v>meanvipro@yahoo.com</v>
      </c>
      <c r="H16" s="58" t="s">
        <v>96</v>
      </c>
      <c r="I16" s="64"/>
      <c r="J16" s="58"/>
      <c r="K16" s="64"/>
      <c r="L16" s="58"/>
      <c r="M16" s="64"/>
      <c r="N16" s="58"/>
      <c r="O16" s="64">
        <v>240</v>
      </c>
      <c r="P16" s="58" t="s">
        <v>96</v>
      </c>
      <c r="Q16" s="64"/>
      <c r="R16" s="57"/>
      <c r="S16" s="64"/>
      <c r="T16" s="57"/>
      <c r="U16" s="64"/>
      <c r="V16" s="57"/>
      <c r="W16" s="64"/>
      <c r="X16" s="57"/>
      <c r="Y16" s="64"/>
      <c r="Z16" s="58"/>
      <c r="AA16" s="64"/>
      <c r="AB16" s="57"/>
      <c r="AC16" s="64"/>
      <c r="AD16" s="57"/>
      <c r="AE16" s="64"/>
      <c r="AF16" s="70">
        <f t="shared" si="4"/>
        <v>240</v>
      </c>
      <c r="AG16" s="70">
        <f t="shared" ca="1" si="8"/>
        <v>80</v>
      </c>
      <c r="AH16" s="64">
        <v>0</v>
      </c>
      <c r="AI16" s="64">
        <v>0</v>
      </c>
      <c r="AJ16" s="64">
        <v>0</v>
      </c>
      <c r="AK16" s="64">
        <v>0</v>
      </c>
      <c r="AL16" s="70">
        <v>0</v>
      </c>
      <c r="AM16" s="70">
        <v>-60</v>
      </c>
      <c r="AN16" s="70">
        <v>120</v>
      </c>
      <c r="AO16" s="64">
        <v>40</v>
      </c>
      <c r="AP16" s="70">
        <f t="shared" ca="1" si="6"/>
        <v>180</v>
      </c>
      <c r="AQ16" s="57" t="str">
        <f ca="1">IF((Member_Status!$AP16&lt;-240),  "No", "Yes")</f>
        <v>Yes</v>
      </c>
      <c r="AR16" s="74">
        <f ca="1">COUNTIF(Member_Status!$H14:$AE14, "Present") / (MONTH(TODAY()-23 ))</f>
        <v>0.42857142857142855</v>
      </c>
      <c r="AS16" s="76">
        <f>'Bereavment Collection'!C14</f>
        <v>-50</v>
      </c>
      <c r="AT16" s="80" t="str">
        <f t="shared" ca="1" si="7"/>
        <v>2+</v>
      </c>
      <c r="AU16" s="57" t="str">
        <f ca="1">IF( OR( (Member_Status!$AP14&lt;-240), (Member_Status!$AS14&lt;&gt;0), (Member_Status!$AR14&lt;58%) ),  "No", "Yes")</f>
        <v>No</v>
      </c>
      <c r="AV16" s="57" t="str">
        <f ca="1">IF( OR(Member_Status!$AQ16&lt;&gt;"Yes",AU16 &lt;&gt;"Yes"  ), "No", "Yes" )</f>
        <v>No</v>
      </c>
      <c r="AW16" s="57" t="str">
        <f ca="1">IF( AND(AX16&lt;149, OR(Member_Status!$AQ16&lt;&gt;"Yes", AT16&lt;2 ) ), "No", "Yes" )</f>
        <v>Yes</v>
      </c>
      <c r="AX16" s="70"/>
      <c r="AY16" s="70" t="s">
        <v>119</v>
      </c>
      <c r="AZ16" s="81">
        <v>1</v>
      </c>
      <c r="BA16" s="82">
        <v>120</v>
      </c>
      <c r="BB16" s="83">
        <v>46327</v>
      </c>
      <c r="BC16" s="82">
        <v>50</v>
      </c>
      <c r="BD16" s="82">
        <v>20</v>
      </c>
      <c r="BE16" s="82"/>
      <c r="BF16" s="84"/>
      <c r="BG16" s="84"/>
    </row>
    <row r="17" spans="1:59" ht="12" customHeight="1" x14ac:dyDescent="0.15">
      <c r="A17" s="57" t="s">
        <v>1</v>
      </c>
      <c r="B17" s="57" t="s">
        <v>3</v>
      </c>
      <c r="C17" s="57" t="s">
        <v>120</v>
      </c>
      <c r="D17" s="103" t="s">
        <v>122</v>
      </c>
      <c r="E17" s="104">
        <v>43709</v>
      </c>
      <c r="F17" s="125">
        <v>7344449859</v>
      </c>
      <c r="G17" s="57" t="e">
        <f>VLOOKUP(#REF!,contacts!A:G,3,FALSE)</f>
        <v>#REF!</v>
      </c>
      <c r="H17" s="58"/>
      <c r="I17" s="64"/>
      <c r="J17" s="57"/>
      <c r="K17" s="64"/>
      <c r="L17" s="58"/>
      <c r="M17" s="64"/>
      <c r="N17" s="58"/>
      <c r="O17" s="64"/>
      <c r="P17" s="58"/>
      <c r="Q17" s="64"/>
      <c r="R17" s="57"/>
      <c r="S17" s="64"/>
      <c r="T17" s="57"/>
      <c r="U17" s="64"/>
      <c r="V17" s="57"/>
      <c r="W17" s="64"/>
      <c r="X17" s="57"/>
      <c r="Y17" s="64"/>
      <c r="Z17" s="57"/>
      <c r="AA17" s="64"/>
      <c r="AB17" s="57"/>
      <c r="AC17" s="64"/>
      <c r="AD17" s="57"/>
      <c r="AE17" s="64"/>
      <c r="AF17" s="70">
        <f t="shared" si="4"/>
        <v>0</v>
      </c>
      <c r="AG17" s="70">
        <f t="shared" ca="1" si="8"/>
        <v>-160</v>
      </c>
      <c r="AH17" s="64">
        <v>-240</v>
      </c>
      <c r="AI17" s="64">
        <v>240</v>
      </c>
      <c r="AJ17" s="64">
        <v>-240</v>
      </c>
      <c r="AK17" s="64">
        <v>0</v>
      </c>
      <c r="AL17" s="70">
        <v>0</v>
      </c>
      <c r="AM17" s="70">
        <v>-120</v>
      </c>
      <c r="AN17" s="70">
        <v>0</v>
      </c>
      <c r="AO17" s="64" t="s">
        <v>108</v>
      </c>
      <c r="AP17" s="70">
        <f t="shared" ca="1" si="6"/>
        <v>-520</v>
      </c>
      <c r="AQ17" s="57" t="str">
        <f ca="1">IF((Member_Status!$AP17&lt;-240),  "No", "Yes")</f>
        <v>No</v>
      </c>
      <c r="AR17" s="74">
        <f ca="1">COUNTIF(Member_Status!$H15:$AE15, "Present") / (MONTH(TODAY()-23 ))</f>
        <v>0.5714285714285714</v>
      </c>
      <c r="AS17" s="76">
        <f>'Bereavment Collection'!C16</f>
        <v>0</v>
      </c>
      <c r="AT17" s="80" t="str">
        <f t="shared" ca="1" si="7"/>
        <v>2+</v>
      </c>
      <c r="AU17" s="57" t="str">
        <f ca="1">IF( OR( (Member_Status!$AP15&lt;-240), (Member_Status!$AS15&lt;&gt;0), (Member_Status!$AR15&lt;58%) ),  "No", "Yes")</f>
        <v>No</v>
      </c>
      <c r="AV17" s="57" t="str">
        <f ca="1">IF( OR(Member_Status!$AQ17&lt;&gt;"Yes",AU17 &lt;&gt;"Yes"  ), "No", "Yes" )</f>
        <v>No</v>
      </c>
      <c r="AW17" s="57" t="str">
        <f ca="1">IF( AND(AX17&lt;149, OR(Member_Status!$AQ17&lt;&gt;"Yes", AT17&lt;2 ) ), "No", "Yes" )</f>
        <v>No</v>
      </c>
      <c r="AX17" s="70"/>
      <c r="AY17" s="70" t="s">
        <v>148</v>
      </c>
      <c r="AZ17" s="112"/>
      <c r="BA17" s="152"/>
      <c r="BB17" s="83">
        <v>46388</v>
      </c>
      <c r="BC17" s="82"/>
      <c r="BD17" s="82"/>
      <c r="BE17" s="82"/>
      <c r="BF17" s="84"/>
      <c r="BG17" s="84"/>
    </row>
    <row r="18" spans="1:59" ht="12.75" customHeight="1" x14ac:dyDescent="0.15">
      <c r="A18" s="57" t="s">
        <v>1</v>
      </c>
      <c r="B18" s="57" t="s">
        <v>3</v>
      </c>
      <c r="C18" s="57" t="s">
        <v>124</v>
      </c>
      <c r="D18" s="103" t="s">
        <v>127</v>
      </c>
      <c r="E18" s="144">
        <v>43497</v>
      </c>
      <c r="F18" s="61">
        <v>2485210669</v>
      </c>
      <c r="G18" s="57" t="str">
        <f>VLOOKUP(Member_Status!$D16,contacts!A:G,3,FALSE)</f>
        <v>reghwofobe@peoplepc.com</v>
      </c>
      <c r="H18" s="57"/>
      <c r="I18" s="64"/>
      <c r="J18" s="58"/>
      <c r="K18" s="64"/>
      <c r="L18" s="58" t="s">
        <v>285</v>
      </c>
      <c r="M18" s="64"/>
      <c r="N18" s="58"/>
      <c r="O18" s="64"/>
      <c r="P18" s="58" t="s">
        <v>96</v>
      </c>
      <c r="Q18" s="64"/>
      <c r="R18" s="57"/>
      <c r="S18" s="64"/>
      <c r="T18" s="58"/>
      <c r="U18" s="64"/>
      <c r="V18" s="57"/>
      <c r="W18" s="64"/>
      <c r="X18" s="57"/>
      <c r="Y18" s="64"/>
      <c r="Z18" s="57"/>
      <c r="AA18" s="64"/>
      <c r="AB18" s="57"/>
      <c r="AC18" s="64"/>
      <c r="AD18" s="57"/>
      <c r="AE18" s="64"/>
      <c r="AF18" s="70">
        <f t="shared" si="4"/>
        <v>0</v>
      </c>
      <c r="AG18" s="70">
        <f t="shared" ca="1" si="8"/>
        <v>-160</v>
      </c>
      <c r="AH18" s="64">
        <v>-10</v>
      </c>
      <c r="AI18" s="64">
        <v>-30</v>
      </c>
      <c r="AJ18" s="64">
        <v>100</v>
      </c>
      <c r="AK18" s="64">
        <v>-240</v>
      </c>
      <c r="AL18" s="70">
        <v>0</v>
      </c>
      <c r="AM18" s="70">
        <v>0</v>
      </c>
      <c r="AN18" s="70" t="s">
        <v>108</v>
      </c>
      <c r="AO18" s="64" t="s">
        <v>108</v>
      </c>
      <c r="AP18" s="70">
        <f t="shared" ca="1" si="6"/>
        <v>-340</v>
      </c>
      <c r="AQ18" s="57" t="str">
        <f ca="1">IF((Member_Status!$AP18&lt;-240),  "No", "Yes")</f>
        <v>No</v>
      </c>
      <c r="AR18" s="74">
        <f ca="1">COUNTIF(Member_Status!$H17:$AE17, "Present") / (MONTH(TODAY()-23 ))</f>
        <v>0</v>
      </c>
      <c r="AS18" s="76">
        <f>'Bereavment Collection'!C18</f>
        <v>-50</v>
      </c>
      <c r="AT18" s="80" t="str">
        <f t="shared" ca="1" si="7"/>
        <v>2+</v>
      </c>
      <c r="AU18" s="57" t="str">
        <f ca="1">IF( OR( (Member_Status!$AP17&lt;-240), (Member_Status!$AS17&lt;&gt;0), (Member_Status!$AR17&lt;58%) ),  "No", "Yes")</f>
        <v>No</v>
      </c>
      <c r="AV18" s="57" t="str">
        <f ca="1">IF( OR(Member_Status!$AQ18&lt;&gt;"Yes",AU18 &lt;&gt;"Yes"  ), "No", "Yes" )</f>
        <v>No</v>
      </c>
      <c r="AW18" s="57" t="str">
        <f ca="1">IF( AND(AX18&lt;149, OR(Member_Status!$AQ18&lt;&gt;"Yes", AT18&lt;2 ) ), "No", "Yes" )</f>
        <v>No</v>
      </c>
      <c r="AX18" s="70"/>
      <c r="AY18" s="70" t="s">
        <v>119</v>
      </c>
      <c r="AZ18" s="112"/>
      <c r="BA18" s="82">
        <v>120</v>
      </c>
      <c r="BB18" s="83">
        <v>46143</v>
      </c>
      <c r="BC18" s="82">
        <v>50</v>
      </c>
      <c r="BD18" s="82"/>
      <c r="BE18" s="82"/>
      <c r="BF18" s="84"/>
      <c r="BG18" s="84"/>
    </row>
    <row r="19" spans="1:59" ht="12.75" x14ac:dyDescent="0.15">
      <c r="A19" s="57" t="s">
        <v>1</v>
      </c>
      <c r="B19" s="57" t="s">
        <v>3</v>
      </c>
      <c r="C19" s="57" t="s">
        <v>124</v>
      </c>
      <c r="D19" s="103" t="s">
        <v>125</v>
      </c>
      <c r="E19" s="104">
        <v>36892</v>
      </c>
      <c r="F19" s="125">
        <v>3132181786</v>
      </c>
      <c r="G19" s="57" t="str">
        <f>VLOOKUP(Member_Status!$D17,contacts!A:G,3,FALSE)</f>
        <v>ejefia@hotmail.com</v>
      </c>
      <c r="H19" s="58" t="s">
        <v>96</v>
      </c>
      <c r="I19" s="64"/>
      <c r="J19" s="58"/>
      <c r="K19" s="64"/>
      <c r="L19" s="58" t="s">
        <v>96</v>
      </c>
      <c r="M19" s="64"/>
      <c r="N19" s="58"/>
      <c r="O19" s="64"/>
      <c r="P19" s="58" t="s">
        <v>96</v>
      </c>
      <c r="Q19" s="64"/>
      <c r="R19" s="57"/>
      <c r="S19" s="64"/>
      <c r="T19" s="58"/>
      <c r="U19" s="64"/>
      <c r="V19" s="57"/>
      <c r="W19" s="64"/>
      <c r="X19" s="57"/>
      <c r="Y19" s="64"/>
      <c r="Z19" s="57"/>
      <c r="AA19" s="64"/>
      <c r="AB19" s="57"/>
      <c r="AC19" s="64"/>
      <c r="AD19" s="57"/>
      <c r="AE19" s="64"/>
      <c r="AF19" s="70">
        <f t="shared" si="4"/>
        <v>0</v>
      </c>
      <c r="AG19" s="70">
        <f t="shared" ca="1" si="8"/>
        <v>-160</v>
      </c>
      <c r="AH19" s="64">
        <v>-10</v>
      </c>
      <c r="AI19" s="64">
        <v>-30</v>
      </c>
      <c r="AJ19" s="64">
        <v>100</v>
      </c>
      <c r="AK19" s="64">
        <v>-240</v>
      </c>
      <c r="AL19" s="70">
        <v>0</v>
      </c>
      <c r="AM19" s="70">
        <v>0</v>
      </c>
      <c r="AN19" s="70">
        <v>0</v>
      </c>
      <c r="AO19" s="64">
        <v>0</v>
      </c>
      <c r="AP19" s="70">
        <f t="shared" ca="1" si="6"/>
        <v>-340</v>
      </c>
      <c r="AQ19" s="57" t="str">
        <f ca="1">IF((Member_Status!$AP19&lt;-240),  "No", "Yes")</f>
        <v>No</v>
      </c>
      <c r="AR19" s="74">
        <f ca="1">COUNTIF(Member_Status!$H16:$AE16, "Present") / (MONTH(TODAY()-23 ))</f>
        <v>0.2857142857142857</v>
      </c>
      <c r="AS19" s="76">
        <f>'Bereavment Collection'!C17</f>
        <v>0</v>
      </c>
      <c r="AT19" s="80" t="str">
        <f t="shared" ca="1" si="7"/>
        <v>2+</v>
      </c>
      <c r="AU19" s="57" t="str">
        <f ca="1">IF( OR( (Member_Status!$AP16&lt;-240), (Member_Status!$AS16&lt;&gt;0), (Member_Status!$AR16&lt;58%) ),  "No", "Yes")</f>
        <v>No</v>
      </c>
      <c r="AV19" s="57" t="str">
        <f ca="1">IF( OR(Member_Status!$AQ19&lt;&gt;"Yes",AU19 &lt;&gt;"Yes"  ), "No", "Yes" )</f>
        <v>No</v>
      </c>
      <c r="AW19" s="57" t="str">
        <f ca="1">IF( AND(AX19&lt;149, OR(Member_Status!$AQ19&lt;&gt;"Yes", AT19&lt;2 ) ), "No", "Yes" )</f>
        <v>No</v>
      </c>
      <c r="AX19" s="70"/>
      <c r="AY19" s="70" t="s">
        <v>148</v>
      </c>
      <c r="AZ19" s="112"/>
      <c r="BA19" s="82">
        <v>120</v>
      </c>
      <c r="BB19" s="83">
        <v>46143</v>
      </c>
      <c r="BC19" s="82"/>
      <c r="BD19" s="82"/>
      <c r="BE19" s="82"/>
      <c r="BF19" s="84"/>
      <c r="BG19" s="84"/>
    </row>
    <row r="20" spans="1:59" ht="12" customHeight="1" x14ac:dyDescent="0.15">
      <c r="A20" s="57" t="s">
        <v>1</v>
      </c>
      <c r="B20" s="57" t="s">
        <v>4</v>
      </c>
      <c r="C20" s="57" t="s">
        <v>128</v>
      </c>
      <c r="D20" s="103" t="s">
        <v>129</v>
      </c>
      <c r="E20" s="144">
        <v>43770</v>
      </c>
      <c r="F20" s="125">
        <v>2488852808</v>
      </c>
      <c r="G20" s="57" t="e">
        <f>VLOOKUP(Member_Status!$D18,contacts!A:G,3,FALSE)</f>
        <v>#N/A</v>
      </c>
      <c r="H20" s="57"/>
      <c r="I20" s="64"/>
      <c r="J20" s="57"/>
      <c r="K20" s="64"/>
      <c r="L20" s="58" t="s">
        <v>96</v>
      </c>
      <c r="M20" s="64">
        <v>270</v>
      </c>
      <c r="N20" s="58"/>
      <c r="O20" s="64"/>
      <c r="P20" s="58"/>
      <c r="Q20" s="64"/>
      <c r="R20" s="57"/>
      <c r="S20" s="64"/>
      <c r="T20" s="58"/>
      <c r="U20" s="64"/>
      <c r="V20" s="57"/>
      <c r="W20" s="64"/>
      <c r="X20" s="57"/>
      <c r="Y20" s="64"/>
      <c r="Z20" s="58"/>
      <c r="AA20" s="64"/>
      <c r="AB20" s="57"/>
      <c r="AC20" s="64"/>
      <c r="AD20" s="57"/>
      <c r="AE20" s="64"/>
      <c r="AF20" s="70">
        <f t="shared" si="4"/>
        <v>270</v>
      </c>
      <c r="AG20" s="70">
        <f t="shared" ca="1" si="8"/>
        <v>110</v>
      </c>
      <c r="AH20" s="64">
        <v>-80</v>
      </c>
      <c r="AI20" s="64">
        <v>-130</v>
      </c>
      <c r="AJ20" s="64">
        <v>0</v>
      </c>
      <c r="AK20" s="64">
        <v>0</v>
      </c>
      <c r="AL20" s="70">
        <v>0</v>
      </c>
      <c r="AM20" s="70">
        <v>0</v>
      </c>
      <c r="AN20" s="64" t="s">
        <v>108</v>
      </c>
      <c r="AO20" s="64" t="s">
        <v>108</v>
      </c>
      <c r="AP20" s="70">
        <f t="shared" ca="1" si="6"/>
        <v>-100</v>
      </c>
      <c r="AQ20" s="57" t="str">
        <f ca="1">IF((Member_Status!$AP20&lt;-240),  "No", "Yes")</f>
        <v>Yes</v>
      </c>
      <c r="AR20" s="74">
        <f ca="1">COUNTIF(Member_Status!$H18:$AE18, "Present") / (MONTH(TODAY()-23 ))</f>
        <v>0.14285714285714285</v>
      </c>
      <c r="AS20" s="76">
        <f>'Bereavment Collection'!C19</f>
        <v>0</v>
      </c>
      <c r="AT20" s="80" t="str">
        <f t="shared" ca="1" si="7"/>
        <v>2+</v>
      </c>
      <c r="AU20" s="57" t="str">
        <f ca="1">IF( OR( (Member_Status!$AP18&lt;-240), (Member_Status!$AS18&lt;&gt;0), (Member_Status!$AR18&lt;58%) ),  "No", "Yes")</f>
        <v>No</v>
      </c>
      <c r="AV20" s="57" t="str">
        <f ca="1">IF( OR(Member_Status!$AQ20&lt;&gt;"Yes",AU20 &lt;&gt;"Yes"  ), "No", "Yes" )</f>
        <v>No</v>
      </c>
      <c r="AW20" s="57" t="str">
        <f ca="1">IF( AND(AX20&lt;149, OR(Member_Status!$AQ20&lt;&gt;"Yes", AT20&lt;2 ) ), "No", "Yes" )</f>
        <v>Yes</v>
      </c>
      <c r="AX20" s="70"/>
      <c r="AY20" s="70" t="s">
        <v>119</v>
      </c>
      <c r="AZ20" s="81">
        <v>1</v>
      </c>
      <c r="BA20" s="82">
        <v>120</v>
      </c>
      <c r="BB20" s="83">
        <v>46478</v>
      </c>
      <c r="BC20" s="82">
        <v>50</v>
      </c>
      <c r="BD20" s="82">
        <v>20</v>
      </c>
      <c r="BE20" s="82">
        <v>50</v>
      </c>
      <c r="BF20" s="146">
        <v>20</v>
      </c>
      <c r="BG20" s="146"/>
    </row>
    <row r="21" spans="1:59" ht="12" customHeight="1" x14ac:dyDescent="0.15">
      <c r="A21" s="57" t="s">
        <v>1</v>
      </c>
      <c r="B21" s="58" t="s">
        <v>3</v>
      </c>
      <c r="C21" s="58" t="s">
        <v>137</v>
      </c>
      <c r="D21" s="59" t="s">
        <v>138</v>
      </c>
      <c r="E21" s="87">
        <v>45078</v>
      </c>
      <c r="F21" s="61" t="s">
        <v>382</v>
      </c>
      <c r="H21" s="58" t="s">
        <v>96</v>
      </c>
      <c r="I21" s="64"/>
      <c r="J21" s="58" t="s">
        <v>96</v>
      </c>
      <c r="K21" s="64"/>
      <c r="L21" s="58" t="s">
        <v>96</v>
      </c>
      <c r="M21" s="64"/>
      <c r="N21" s="57"/>
      <c r="O21" s="64"/>
      <c r="P21" s="58" t="s">
        <v>96</v>
      </c>
      <c r="Q21" s="64" t="s">
        <v>108</v>
      </c>
      <c r="R21" s="57"/>
      <c r="S21" s="64">
        <v>100</v>
      </c>
      <c r="T21" s="57"/>
      <c r="U21" s="64" t="s">
        <v>108</v>
      </c>
      <c r="V21" s="57"/>
      <c r="W21" s="64"/>
      <c r="X21" s="57"/>
      <c r="Y21" s="64"/>
      <c r="Z21" s="57"/>
      <c r="AA21" s="64"/>
      <c r="AB21" s="57"/>
      <c r="AC21" s="64"/>
      <c r="AD21" s="57"/>
      <c r="AE21" s="64"/>
      <c r="AF21" s="70">
        <f t="shared" si="4"/>
        <v>100</v>
      </c>
      <c r="AG21" s="70">
        <f t="shared" ca="1" si="8"/>
        <v>-60</v>
      </c>
      <c r="AH21" s="64">
        <v>-140</v>
      </c>
      <c r="AI21" s="64">
        <v>-10</v>
      </c>
      <c r="AJ21" s="64">
        <v>-10</v>
      </c>
      <c r="AK21" s="64" t="s">
        <v>108</v>
      </c>
      <c r="AL21" s="64" t="s">
        <v>108</v>
      </c>
      <c r="AM21" s="64" t="s">
        <v>108</v>
      </c>
      <c r="AN21" s="64" t="s">
        <v>108</v>
      </c>
      <c r="AO21" s="64" t="s">
        <v>108</v>
      </c>
      <c r="AP21" s="70">
        <f t="shared" ca="1" si="6"/>
        <v>-220</v>
      </c>
      <c r="AQ21" s="57" t="str">
        <f ca="1">IF((Member_Status!$AP21&lt;-240),  "No", "Yes")</f>
        <v>Yes</v>
      </c>
      <c r="AR21" s="74">
        <f ca="1">COUNTIF(Member_Status!$H19:$AE19, "Present") / (MONTH(TODAY()-23 ))</f>
        <v>0.42857142857142855</v>
      </c>
      <c r="AS21" s="76">
        <f>'Bereavment Collection'!C24</f>
        <v>0</v>
      </c>
      <c r="AT21" s="80" t="str">
        <f t="shared" ca="1" si="7"/>
        <v>2+</v>
      </c>
      <c r="AU21" s="57" t="str">
        <f ca="1">IF( OR( (Member_Status!$AP19&lt;-240), (Member_Status!$AS19&lt;&gt;0), (Member_Status!$AR19&lt;58%) ),  "No", "Yes")</f>
        <v>No</v>
      </c>
      <c r="AV21" s="57" t="str">
        <f ca="1">IF( OR(Member_Status!$AQ21&lt;&gt;"Yes",AU21 &lt;&gt;"Yes"  ), "No", "Yes" )</f>
        <v>No</v>
      </c>
      <c r="AW21" s="57" t="str">
        <f ca="1">IF( AND(AX21&lt;149, OR(Member_Status!$AQ21&lt;&gt;"Yes", AT21&lt;2 ) ), "No", "Yes" )</f>
        <v>Yes</v>
      </c>
      <c r="AX21" s="70"/>
      <c r="AY21" s="70" t="s">
        <v>119</v>
      </c>
      <c r="AZ21" s="81">
        <v>1</v>
      </c>
      <c r="BA21" s="82">
        <v>120</v>
      </c>
      <c r="BB21" s="83">
        <v>46419</v>
      </c>
      <c r="BC21" s="82"/>
      <c r="BD21" s="82">
        <v>-20</v>
      </c>
      <c r="BE21" s="82">
        <v>20</v>
      </c>
      <c r="BF21" s="154">
        <v>20</v>
      </c>
      <c r="BG21" s="154"/>
    </row>
    <row r="22" spans="1:59" ht="12" customHeight="1" x14ac:dyDescent="0.15">
      <c r="A22" s="58" t="s">
        <v>1</v>
      </c>
      <c r="B22" s="147" t="s">
        <v>3</v>
      </c>
      <c r="C22" s="147" t="s">
        <v>139</v>
      </c>
      <c r="D22" s="148" t="s">
        <v>141</v>
      </c>
      <c r="E22" s="87">
        <v>45627</v>
      </c>
      <c r="F22" s="61">
        <v>9062039273</v>
      </c>
      <c r="H22" s="147" t="s">
        <v>96</v>
      </c>
      <c r="I22" s="64"/>
      <c r="J22" s="149"/>
      <c r="K22" s="64"/>
      <c r="L22" s="57"/>
      <c r="M22" s="64"/>
      <c r="N22" s="147"/>
      <c r="O22" s="64"/>
      <c r="P22" s="149"/>
      <c r="Q22" s="64"/>
      <c r="R22" s="149"/>
      <c r="S22" s="64"/>
      <c r="T22" s="147"/>
      <c r="U22" s="64"/>
      <c r="V22" s="57"/>
      <c r="W22" s="64"/>
      <c r="X22" s="149"/>
      <c r="Y22" s="64"/>
      <c r="Z22" s="147"/>
      <c r="AA22" s="64"/>
      <c r="AB22" s="149"/>
      <c r="AC22" s="64"/>
      <c r="AD22" s="57"/>
      <c r="AE22" s="64"/>
      <c r="AF22" s="70">
        <f t="shared" si="4"/>
        <v>0</v>
      </c>
      <c r="AG22" s="70">
        <f t="shared" ca="1" si="8"/>
        <v>-160</v>
      </c>
      <c r="AH22" s="64">
        <v>-240</v>
      </c>
      <c r="AI22" s="64">
        <v>0</v>
      </c>
      <c r="AJ22" s="64" t="s">
        <v>108</v>
      </c>
      <c r="AK22" s="64" t="s">
        <v>108</v>
      </c>
      <c r="AL22" s="64" t="s">
        <v>108</v>
      </c>
      <c r="AM22" s="64" t="s">
        <v>108</v>
      </c>
      <c r="AN22" s="64" t="s">
        <v>108</v>
      </c>
      <c r="AO22" s="64" t="s">
        <v>108</v>
      </c>
      <c r="AP22" s="70">
        <f t="shared" ca="1" si="6"/>
        <v>-400</v>
      </c>
      <c r="AQ22" s="57" t="str">
        <f ca="1">IF((Member_Status!$AP22&lt;-240),  "No", "Yes")</f>
        <v>No</v>
      </c>
      <c r="AR22" s="74">
        <f ca="1">COUNTIF(Member_Status!$H20:$AE20, "Present") / (MONTH(TODAY()-23 ))</f>
        <v>0.14285714285714285</v>
      </c>
      <c r="AS22" s="76">
        <f>'Bereavment Collection'!C25</f>
        <v>0</v>
      </c>
      <c r="AT22" s="80">
        <f t="shared" ca="1" si="7"/>
        <v>1.6767123287671233</v>
      </c>
      <c r="AU22" s="57" t="str">
        <f ca="1">IF( OR( (Member_Status!$AP20&lt;-240), (Member_Status!$AS20&lt;&gt;0), (Member_Status!$AR20&lt;58%) ),  "No", "Yes")</f>
        <v>No</v>
      </c>
      <c r="AV22" s="57" t="str">
        <f ca="1">IF( OR(Member_Status!$AQ22&lt;&gt;"Yes",AU22 &lt;&gt;"Yes"  ), "No", "Yes" )</f>
        <v>No</v>
      </c>
      <c r="AW22" s="57" t="str">
        <f ca="1">IF( AND(AX22&lt;149, OR(Member_Status!$AQ22&lt;&gt;"Yes", AT22&lt;2 ) ), "No", "Yes" )</f>
        <v>No</v>
      </c>
      <c r="AX22" s="70"/>
      <c r="AY22" s="64" t="s">
        <v>148</v>
      </c>
      <c r="AZ22" s="81"/>
      <c r="BA22" s="82"/>
      <c r="BB22" s="81" t="s">
        <v>108</v>
      </c>
      <c r="BC22" s="82"/>
      <c r="BD22" s="82"/>
      <c r="BE22" s="82"/>
      <c r="BF22" s="84"/>
      <c r="BG22" s="84"/>
    </row>
    <row r="23" spans="1:59" ht="12.75" customHeight="1" x14ac:dyDescent="0.15">
      <c r="A23" s="155" t="s">
        <v>1</v>
      </c>
      <c r="B23" s="155" t="s">
        <v>3</v>
      </c>
      <c r="C23" s="155" t="s">
        <v>130</v>
      </c>
      <c r="D23" s="156" t="s">
        <v>131</v>
      </c>
      <c r="E23" s="157">
        <v>36892</v>
      </c>
      <c r="F23" s="158">
        <v>2485048066</v>
      </c>
      <c r="G23" s="155" t="str">
        <f>VLOOKUP(Member_Status!$D21,contacts!A:G,3,FALSE)</f>
        <v>meanvipro@yahoo.com</v>
      </c>
      <c r="H23" s="155"/>
      <c r="I23" s="159">
        <v>90</v>
      </c>
      <c r="J23" s="155"/>
      <c r="K23" s="159"/>
      <c r="L23" s="160"/>
      <c r="M23" s="159">
        <v>50</v>
      </c>
      <c r="N23" s="160"/>
      <c r="O23" s="159"/>
      <c r="P23" s="155"/>
      <c r="Q23" s="159"/>
      <c r="R23" s="155"/>
      <c r="S23" s="159"/>
      <c r="T23" s="155"/>
      <c r="U23" s="159"/>
      <c r="V23" s="57"/>
      <c r="W23" s="159"/>
      <c r="X23" s="155"/>
      <c r="Y23" s="159"/>
      <c r="Z23" s="155"/>
      <c r="AA23" s="159"/>
      <c r="AB23" s="155"/>
      <c r="AC23" s="159"/>
      <c r="AD23" s="57"/>
      <c r="AE23" s="159"/>
      <c r="AF23" s="70">
        <f t="shared" si="4"/>
        <v>140</v>
      </c>
      <c r="AG23" s="161">
        <f t="shared" ref="AG23:AG24" ca="1" si="9">(AF23 - (10* (MONTH(TODAY()) )))</f>
        <v>60</v>
      </c>
      <c r="AH23" s="159">
        <v>20</v>
      </c>
      <c r="AI23" s="159">
        <v>-20</v>
      </c>
      <c r="AJ23" s="159">
        <v>20</v>
      </c>
      <c r="AK23" s="159">
        <v>-100</v>
      </c>
      <c r="AL23" s="161">
        <v>-60</v>
      </c>
      <c r="AM23" s="161">
        <v>-40</v>
      </c>
      <c r="AN23" s="161" t="s">
        <v>108</v>
      </c>
      <c r="AO23" s="159" t="s">
        <v>108</v>
      </c>
      <c r="AP23" s="161">
        <f t="shared" ca="1" si="6"/>
        <v>-120</v>
      </c>
      <c r="AQ23" s="155" t="str">
        <f ca="1">IF((Member_Status!$AP23&lt;-120),  "No", "Yes")</f>
        <v>Yes</v>
      </c>
      <c r="AR23" s="162">
        <f ca="1">COUNTIF(Member_Status!$H21:$AE21, "Present") / (MONTH(TODAY()-23 ))</f>
        <v>0.5714285714285714</v>
      </c>
      <c r="AS23" s="163">
        <f>'Bereavment Collection'!C20</f>
        <v>-50</v>
      </c>
      <c r="AT23" s="164" t="str">
        <f t="shared" ca="1" si="7"/>
        <v>2+</v>
      </c>
      <c r="AU23" s="155" t="str">
        <f ca="1">IF( OR( (Member_Status!$AP21&lt;-120), (Member_Status!$AS21&lt;&gt;0), (Member_Status!$AR21&lt;58%) ),  "No", "Yes")</f>
        <v>No</v>
      </c>
      <c r="AV23" s="155" t="str">
        <f ca="1">IF( OR(Member_Status!$AQ23&lt;&gt;"Yes",AU23 &lt;&gt;"Yes"  ), "No", "Yes" )</f>
        <v>No</v>
      </c>
      <c r="AW23" s="155" t="str">
        <f ca="1">IF( AND(AX23&lt;149, OR(Member_Status!$AQ23&lt;&gt;"Yes", AT23&lt;2 ) ), "No", "Yes" )</f>
        <v>Yes</v>
      </c>
      <c r="AX23" s="161"/>
      <c r="AY23" s="161" t="s">
        <v>148</v>
      </c>
      <c r="AZ23" s="165"/>
      <c r="BA23" s="166"/>
      <c r="BB23" s="167" t="s">
        <v>297</v>
      </c>
      <c r="BC23" s="168" t="s">
        <v>108</v>
      </c>
      <c r="BD23" s="168"/>
      <c r="BE23" s="82"/>
      <c r="BF23" s="154"/>
      <c r="BG23" s="154"/>
    </row>
    <row r="24" spans="1:59" ht="12.75" x14ac:dyDescent="0.15">
      <c r="A24" s="155" t="s">
        <v>1</v>
      </c>
      <c r="B24" s="155" t="s">
        <v>4</v>
      </c>
      <c r="C24" s="155" t="s">
        <v>130</v>
      </c>
      <c r="D24" s="156" t="s">
        <v>133</v>
      </c>
      <c r="E24" s="157">
        <v>36892</v>
      </c>
      <c r="F24" s="158">
        <v>2489125998</v>
      </c>
      <c r="G24" s="155" t="e">
        <f>VLOOKUP(Member_Status!$D22,contacts!A:G,3,FALSE)</f>
        <v>#N/A</v>
      </c>
      <c r="H24" s="155"/>
      <c r="I24" s="159">
        <v>90</v>
      </c>
      <c r="J24" s="155"/>
      <c r="K24" s="159"/>
      <c r="L24" s="160"/>
      <c r="M24" s="159">
        <v>50</v>
      </c>
      <c r="N24" s="160"/>
      <c r="O24" s="159"/>
      <c r="P24" s="155"/>
      <c r="Q24" s="159"/>
      <c r="R24" s="155"/>
      <c r="S24" s="159"/>
      <c r="T24" s="155"/>
      <c r="U24" s="159"/>
      <c r="V24" s="57"/>
      <c r="W24" s="159"/>
      <c r="X24" s="155"/>
      <c r="Y24" s="159"/>
      <c r="Z24" s="155"/>
      <c r="AA24" s="159"/>
      <c r="AB24" s="155"/>
      <c r="AC24" s="159"/>
      <c r="AD24" s="57"/>
      <c r="AE24" s="159"/>
      <c r="AF24" s="70">
        <f t="shared" si="4"/>
        <v>140</v>
      </c>
      <c r="AG24" s="161">
        <f t="shared" ca="1" si="9"/>
        <v>60</v>
      </c>
      <c r="AH24" s="159">
        <v>20</v>
      </c>
      <c r="AI24" s="159">
        <v>-20</v>
      </c>
      <c r="AJ24" s="159">
        <v>20</v>
      </c>
      <c r="AK24" s="159">
        <v>-100</v>
      </c>
      <c r="AL24" s="161">
        <v>-60</v>
      </c>
      <c r="AM24" s="161">
        <v>-40</v>
      </c>
      <c r="AN24" s="161" t="s">
        <v>108</v>
      </c>
      <c r="AO24" s="159" t="s">
        <v>108</v>
      </c>
      <c r="AP24" s="161">
        <f t="shared" ca="1" si="6"/>
        <v>-120</v>
      </c>
      <c r="AQ24" s="155" t="str">
        <f ca="1">IF((Member_Status!$AP24&lt;-120),  "No", "Yes")</f>
        <v>Yes</v>
      </c>
      <c r="AR24" s="162">
        <f ca="1">COUNTIF(Member_Status!$H22:$AE22, "Present") / (MONTH(TODAY()-23 ))</f>
        <v>0.14285714285714285</v>
      </c>
      <c r="AS24" s="163">
        <f>'Bereavment Collection'!C21</f>
        <v>-50</v>
      </c>
      <c r="AT24" s="164" t="str">
        <f t="shared" ca="1" si="7"/>
        <v>2+</v>
      </c>
      <c r="AU24" s="155" t="str">
        <f ca="1">IF( OR( (Member_Status!$AP22&lt;-120), (Member_Status!$AS22&lt;&gt;0), (Member_Status!$AR22&lt;58%) ),  "No", "Yes")</f>
        <v>No</v>
      </c>
      <c r="AV24" s="155" t="str">
        <f ca="1">IF( OR(Member_Status!$AQ24&lt;&gt;"Yes",AU24 &lt;&gt;"Yes"  ), "No", "Yes" )</f>
        <v>No</v>
      </c>
      <c r="AW24" s="155" t="str">
        <f ca="1">IF( AND(AX24&lt;149, OR(Member_Status!$AQ24&lt;&gt;"Yes", AT24&lt;2 ) ), "No", "Yes" )</f>
        <v>Yes</v>
      </c>
      <c r="AX24" s="161"/>
      <c r="AY24" s="161" t="s">
        <v>119</v>
      </c>
      <c r="AZ24" s="165"/>
      <c r="BA24" s="166"/>
      <c r="BB24" s="167" t="s">
        <v>297</v>
      </c>
      <c r="BC24" s="168" t="s">
        <v>108</v>
      </c>
      <c r="BD24" s="168"/>
      <c r="BE24" s="82"/>
      <c r="BF24" s="154"/>
      <c r="BG24" s="154"/>
    </row>
    <row r="25" spans="1:59" ht="12.75" x14ac:dyDescent="0.15">
      <c r="A25" s="57" t="s">
        <v>1</v>
      </c>
      <c r="B25" s="58" t="s">
        <v>4</v>
      </c>
      <c r="C25" s="58" t="s">
        <v>134</v>
      </c>
      <c r="D25" s="59" t="s">
        <v>229</v>
      </c>
      <c r="E25" s="60">
        <v>45346</v>
      </c>
      <c r="F25" s="61" t="s">
        <v>392</v>
      </c>
      <c r="G25" s="58" t="s">
        <v>393</v>
      </c>
      <c r="H25" s="57"/>
      <c r="I25" s="64"/>
      <c r="J25" s="58" t="s">
        <v>96</v>
      </c>
      <c r="K25" s="64"/>
      <c r="L25" s="57"/>
      <c r="M25" s="64"/>
      <c r="N25" s="57"/>
      <c r="O25" s="64"/>
      <c r="P25" s="58" t="s">
        <v>96</v>
      </c>
      <c r="Q25" s="64"/>
      <c r="R25" s="57"/>
      <c r="S25" s="64"/>
      <c r="T25" s="57"/>
      <c r="U25" s="64"/>
      <c r="V25" s="57"/>
      <c r="W25" s="64"/>
      <c r="X25" s="57"/>
      <c r="Y25" s="64"/>
      <c r="Z25" s="57"/>
      <c r="AA25" s="64"/>
      <c r="AB25" s="57"/>
      <c r="AC25" s="64"/>
      <c r="AD25" s="57"/>
      <c r="AE25" s="64"/>
      <c r="AF25" s="70">
        <f t="shared" si="4"/>
        <v>0</v>
      </c>
      <c r="AG25" s="70">
        <f t="shared" ref="AG25:AG39" ca="1" si="10">(AF25 - (20* (MONTH(TODAY()) )))</f>
        <v>-160</v>
      </c>
      <c r="AH25" s="64">
        <v>0</v>
      </c>
      <c r="AI25" s="64">
        <v>0</v>
      </c>
      <c r="AJ25" s="64" t="s">
        <v>108</v>
      </c>
      <c r="AK25" s="64" t="s">
        <v>108</v>
      </c>
      <c r="AL25" s="64" t="s">
        <v>108</v>
      </c>
      <c r="AM25" s="64" t="s">
        <v>108</v>
      </c>
      <c r="AN25" s="64" t="s">
        <v>108</v>
      </c>
      <c r="AO25" s="64" t="s">
        <v>108</v>
      </c>
      <c r="AP25" s="70">
        <f t="shared" ca="1" si="6"/>
        <v>-160</v>
      </c>
      <c r="AQ25" s="57" t="str">
        <f ca="1">IF((Member_Status!$AP25&lt;-240),  "No", "Yes")</f>
        <v>Yes</v>
      </c>
      <c r="AR25" s="74">
        <f ca="1">COUNTIF(Member_Status!$H23:$AE23, "Present") / (MONTH(TODAY()-23 ))</f>
        <v>0</v>
      </c>
      <c r="AS25" s="76">
        <f>'Bereavment Collection'!C22</f>
        <v>0</v>
      </c>
      <c r="AT25" s="80" t="str">
        <f t="shared" ca="1" si="7"/>
        <v>2+</v>
      </c>
      <c r="AU25" s="57" t="str">
        <f ca="1">IF( OR( (Member_Status!$AP23&lt;-240), (Member_Status!$AS23&lt;&gt;0), (Member_Status!$AR23&lt;58%) ),  "No", "Yes")</f>
        <v>No</v>
      </c>
      <c r="AV25" s="57" t="str">
        <f ca="1">IF( OR(Member_Status!$AQ25&lt;&gt;"Yes",AU25 &lt;&gt;"Yes"  ), "No", "Yes" )</f>
        <v>No</v>
      </c>
      <c r="AW25" s="57" t="str">
        <f ca="1">IF( AND(AX25&lt;149, OR(Member_Status!$AQ25&lt;&gt;"Yes", AT25&lt;2 ) ), "No", "Yes" )</f>
        <v>Yes</v>
      </c>
      <c r="AX25" s="70"/>
      <c r="AY25" s="70" t="s">
        <v>119</v>
      </c>
      <c r="AZ25" s="81">
        <v>2</v>
      </c>
      <c r="BA25" s="82">
        <v>240</v>
      </c>
      <c r="BB25" s="83">
        <v>46174</v>
      </c>
      <c r="BC25" s="82"/>
      <c r="BD25" s="82"/>
      <c r="BE25" s="82"/>
      <c r="BF25" s="84"/>
      <c r="BG25" s="84"/>
    </row>
    <row r="26" spans="1:59" ht="12.75" x14ac:dyDescent="0.15">
      <c r="A26" s="57" t="s">
        <v>1</v>
      </c>
      <c r="B26" s="58" t="s">
        <v>3</v>
      </c>
      <c r="C26" s="58" t="s">
        <v>134</v>
      </c>
      <c r="D26" s="59" t="s">
        <v>235</v>
      </c>
      <c r="E26" s="87">
        <v>45347</v>
      </c>
      <c r="F26" s="61" t="s">
        <v>399</v>
      </c>
      <c r="G26" s="58" t="s">
        <v>400</v>
      </c>
      <c r="H26" s="57"/>
      <c r="I26" s="64"/>
      <c r="J26" s="58" t="s">
        <v>96</v>
      </c>
      <c r="K26" s="64"/>
      <c r="L26" s="58" t="s">
        <v>96</v>
      </c>
      <c r="M26" s="64"/>
      <c r="N26" s="57"/>
      <c r="O26" s="64"/>
      <c r="P26" s="58" t="s">
        <v>96</v>
      </c>
      <c r="Q26" s="64"/>
      <c r="R26" s="57"/>
      <c r="S26" s="64"/>
      <c r="T26" s="57"/>
      <c r="U26" s="64"/>
      <c r="V26" s="57"/>
      <c r="W26" s="64"/>
      <c r="X26" s="57"/>
      <c r="Y26" s="64"/>
      <c r="Z26" s="57"/>
      <c r="AA26" s="64"/>
      <c r="AB26" s="57"/>
      <c r="AC26" s="64"/>
      <c r="AD26" s="57"/>
      <c r="AE26" s="64"/>
      <c r="AF26" s="70">
        <f t="shared" si="4"/>
        <v>0</v>
      </c>
      <c r="AG26" s="70">
        <f t="shared" ca="1" si="10"/>
        <v>-160</v>
      </c>
      <c r="AH26" s="64">
        <v>0</v>
      </c>
      <c r="AI26" s="64">
        <v>0</v>
      </c>
      <c r="AJ26" s="64" t="s">
        <v>108</v>
      </c>
      <c r="AK26" s="64" t="s">
        <v>108</v>
      </c>
      <c r="AL26" s="64" t="s">
        <v>108</v>
      </c>
      <c r="AM26" s="64" t="s">
        <v>108</v>
      </c>
      <c r="AN26" s="64" t="s">
        <v>108</v>
      </c>
      <c r="AO26" s="64" t="s">
        <v>108</v>
      </c>
      <c r="AP26" s="70">
        <f t="shared" ca="1" si="6"/>
        <v>-160</v>
      </c>
      <c r="AQ26" s="57" t="str">
        <f ca="1">IF((Member_Status!$AP26&lt;-240),  "No", "Yes")</f>
        <v>Yes</v>
      </c>
      <c r="AR26" s="74">
        <f ca="1">COUNTIF(Member_Status!$H24:$AE24, "Present") / (MONTH(TODAY()-23 ))</f>
        <v>0</v>
      </c>
      <c r="AS26" s="76">
        <f>'Bereavment Collection'!C23</f>
        <v>0</v>
      </c>
      <c r="AT26" s="80" t="str">
        <f t="shared" ca="1" si="7"/>
        <v>2+</v>
      </c>
      <c r="AU26" s="57" t="str">
        <f ca="1">IF( OR( (Member_Status!$AP24&lt;-240), (Member_Status!$AS24&lt;&gt;0), (Member_Status!$AR24&lt;58%) ),  "No", "Yes")</f>
        <v>No</v>
      </c>
      <c r="AV26" s="57" t="str">
        <f ca="1">IF( OR(Member_Status!$AQ26&lt;&gt;"Yes",AU26 &lt;&gt;"Yes"  ), "No", "Yes" )</f>
        <v>No</v>
      </c>
      <c r="AW26" s="57" t="str">
        <f ca="1">IF( AND(AX26&lt;149, OR(Member_Status!$AQ26&lt;&gt;"Yes", AT26&lt;2 ) ), "No", "Yes" )</f>
        <v>Yes</v>
      </c>
      <c r="AX26" s="70"/>
      <c r="AY26" s="70" t="s">
        <v>119</v>
      </c>
      <c r="AZ26" s="112"/>
      <c r="BA26" s="82"/>
      <c r="BB26" s="83">
        <v>46174</v>
      </c>
      <c r="BC26" s="82"/>
      <c r="BD26" s="82"/>
      <c r="BE26" s="82">
        <v>20</v>
      </c>
      <c r="BF26" s="84">
        <v>20</v>
      </c>
      <c r="BG26" s="84"/>
    </row>
    <row r="27" spans="1:59" ht="12.75" customHeight="1" x14ac:dyDescent="0.15">
      <c r="A27" s="57" t="s">
        <v>1</v>
      </c>
      <c r="B27" s="57" t="s">
        <v>4</v>
      </c>
      <c r="C27" s="58" t="s">
        <v>144</v>
      </c>
      <c r="D27" s="59" t="s">
        <v>145</v>
      </c>
      <c r="E27" s="87">
        <v>45227</v>
      </c>
      <c r="F27" s="61" t="s">
        <v>405</v>
      </c>
      <c r="G27" s="58" t="s">
        <v>406</v>
      </c>
      <c r="H27" s="58" t="s">
        <v>96</v>
      </c>
      <c r="I27" s="64"/>
      <c r="J27" s="58" t="s">
        <v>96</v>
      </c>
      <c r="K27" s="64"/>
      <c r="L27" s="57"/>
      <c r="M27" s="64">
        <v>40</v>
      </c>
      <c r="N27" s="57"/>
      <c r="O27" s="64">
        <v>130</v>
      </c>
      <c r="P27" s="58" t="s">
        <v>96</v>
      </c>
      <c r="Q27" s="64"/>
      <c r="R27" s="57"/>
      <c r="S27" s="64"/>
      <c r="T27" s="57"/>
      <c r="U27" s="64"/>
      <c r="V27" s="57"/>
      <c r="W27" s="64"/>
      <c r="X27" s="57"/>
      <c r="Y27" s="64"/>
      <c r="Z27" s="57"/>
      <c r="AA27" s="64"/>
      <c r="AB27" s="57"/>
      <c r="AC27" s="64"/>
      <c r="AD27" s="57"/>
      <c r="AE27" s="64"/>
      <c r="AF27" s="70">
        <f t="shared" si="4"/>
        <v>170</v>
      </c>
      <c r="AG27" s="70">
        <f t="shared" ca="1" si="10"/>
        <v>10</v>
      </c>
      <c r="AH27" s="64">
        <v>-200</v>
      </c>
      <c r="AI27" s="64">
        <v>-20</v>
      </c>
      <c r="AJ27" s="64">
        <v>40</v>
      </c>
      <c r="AK27" s="64" t="s">
        <v>108</v>
      </c>
      <c r="AL27" s="64" t="s">
        <v>108</v>
      </c>
      <c r="AM27" s="64" t="s">
        <v>108</v>
      </c>
      <c r="AN27" s="64" t="s">
        <v>108</v>
      </c>
      <c r="AO27" s="64" t="s">
        <v>108</v>
      </c>
      <c r="AP27" s="70">
        <f t="shared" ca="1" si="6"/>
        <v>-170</v>
      </c>
      <c r="AQ27" s="57" t="str">
        <f ca="1">IF((Member_Status!$AP27&lt;-240),  "No", "Yes")</f>
        <v>Yes</v>
      </c>
      <c r="AR27" s="74">
        <f ca="1">COUNTIF(Member_Status!$H26:$AE26, "Present") / (MONTH(TODAY()-23 ))</f>
        <v>0.42857142857142855</v>
      </c>
      <c r="AS27" s="76">
        <f>'Bereavment Collection'!C26</f>
        <v>0</v>
      </c>
      <c r="AT27" s="80" t="str">
        <f t="shared" ca="1" si="7"/>
        <v>2+</v>
      </c>
      <c r="AU27" s="57" t="str">
        <f ca="1">IF( OR( (Member_Status!$AP26&lt;-240), (Member_Status!$AS26&lt;&gt;0), (Member_Status!$AR26&lt;58%) ),  "No", "Yes")</f>
        <v>No</v>
      </c>
      <c r="AV27" s="57" t="str">
        <f ca="1">IF( OR(Member_Status!$AQ27&lt;&gt;"Yes",AU27 &lt;&gt;"Yes"  ), "No", "Yes" )</f>
        <v>No</v>
      </c>
      <c r="AW27" s="57" t="str">
        <f ca="1">IF( AND(AX27&lt;149, OR(Member_Status!$AQ27&lt;&gt;"Yes", AT27&lt;2 ) ), "No", "Yes" )</f>
        <v>Yes</v>
      </c>
      <c r="AX27" s="64"/>
      <c r="AY27" s="70" t="s">
        <v>119</v>
      </c>
      <c r="AZ27" s="81">
        <v>1</v>
      </c>
      <c r="BA27" s="82">
        <v>120</v>
      </c>
      <c r="BB27" s="83">
        <v>46174</v>
      </c>
      <c r="BC27" s="82">
        <v>50</v>
      </c>
      <c r="BD27" s="82">
        <v>40</v>
      </c>
      <c r="BE27" s="82"/>
      <c r="BF27" s="84"/>
      <c r="BG27" s="84"/>
    </row>
    <row r="28" spans="1:59" ht="12.75" customHeight="1" x14ac:dyDescent="0.15">
      <c r="A28" s="147" t="s">
        <v>1</v>
      </c>
      <c r="B28" s="147" t="s">
        <v>3</v>
      </c>
      <c r="C28" s="147" t="s">
        <v>149</v>
      </c>
      <c r="D28" s="148" t="s">
        <v>150</v>
      </c>
      <c r="E28" s="87">
        <v>45008</v>
      </c>
      <c r="F28" s="61" t="s">
        <v>407</v>
      </c>
      <c r="H28" s="149"/>
      <c r="I28" s="64"/>
      <c r="J28" s="147" t="s">
        <v>96</v>
      </c>
      <c r="K28" s="64">
        <v>50</v>
      </c>
      <c r="L28" s="58" t="s">
        <v>285</v>
      </c>
      <c r="M28" s="64"/>
      <c r="N28" s="147"/>
      <c r="O28" s="64"/>
      <c r="P28" s="147" t="s">
        <v>96</v>
      </c>
      <c r="Q28" s="64"/>
      <c r="R28" s="149"/>
      <c r="S28" s="64"/>
      <c r="T28" s="147"/>
      <c r="U28" s="64"/>
      <c r="V28" s="57"/>
      <c r="W28" s="64"/>
      <c r="X28" s="149"/>
      <c r="Y28" s="64"/>
      <c r="Z28" s="147"/>
      <c r="AA28" s="64"/>
      <c r="AB28" s="149"/>
      <c r="AC28" s="64"/>
      <c r="AD28" s="57"/>
      <c r="AE28" s="64"/>
      <c r="AF28" s="70">
        <f t="shared" si="4"/>
        <v>50</v>
      </c>
      <c r="AG28" s="70">
        <f t="shared" ca="1" si="10"/>
        <v>-110</v>
      </c>
      <c r="AH28" s="64">
        <v>-160</v>
      </c>
      <c r="AI28" s="64">
        <v>40</v>
      </c>
      <c r="AJ28" s="64">
        <v>-40</v>
      </c>
      <c r="AK28" s="64" t="s">
        <v>108</v>
      </c>
      <c r="AL28" s="64" t="s">
        <v>108</v>
      </c>
      <c r="AM28" s="64" t="s">
        <v>108</v>
      </c>
      <c r="AN28" s="64" t="s">
        <v>108</v>
      </c>
      <c r="AO28" s="64" t="s">
        <v>108</v>
      </c>
      <c r="AP28" s="70">
        <f t="shared" ca="1" si="6"/>
        <v>-270</v>
      </c>
      <c r="AQ28" s="57" t="str">
        <f ca="1">IF((Member_Status!$AP28&lt;-240),  "No", "Yes")</f>
        <v>No</v>
      </c>
      <c r="AR28" s="74">
        <f ca="1">COUNTIF(Member_Status!$H27:$AE27, "Present") / (MONTH(TODAY()-23 ))</f>
        <v>0.42857142857142855</v>
      </c>
      <c r="AS28" s="76">
        <f>'Bereavment Collection'!C27</f>
        <v>0</v>
      </c>
      <c r="AT28" s="80" t="str">
        <f t="shared" ca="1" si="7"/>
        <v>2+</v>
      </c>
      <c r="AU28" s="57" t="str">
        <f ca="1">IF( OR( (Member_Status!$AP27&lt;-240), (Member_Status!$AS27&lt;&gt;0), (Member_Status!$AR27&lt;58%) ),  "No", "Yes")</f>
        <v>No</v>
      </c>
      <c r="AV28" s="57" t="str">
        <f ca="1">IF( OR(Member_Status!$AQ28&lt;&gt;"Yes",AU28 &lt;&gt;"Yes"  ), "No", "Yes" )</f>
        <v>No</v>
      </c>
      <c r="AW28" s="57" t="str">
        <f ca="1">IF( AND(AX28&lt;149, OR(Member_Status!$AQ28&lt;&gt;"Yes", AT28&lt;2 ) ), "No", "Yes" )</f>
        <v>No</v>
      </c>
      <c r="AX28" s="70"/>
      <c r="AY28" s="64" t="s">
        <v>148</v>
      </c>
      <c r="AZ28" s="81">
        <v>1</v>
      </c>
      <c r="BA28" s="82">
        <v>120</v>
      </c>
      <c r="BB28" s="83">
        <v>46054</v>
      </c>
      <c r="BC28" s="82"/>
      <c r="BD28" s="82"/>
      <c r="BE28" s="82"/>
      <c r="BF28" s="84"/>
      <c r="BG28" s="84"/>
    </row>
    <row r="29" spans="1:59" ht="12.75" customHeight="1" x14ac:dyDescent="0.15">
      <c r="A29" s="147" t="s">
        <v>1</v>
      </c>
      <c r="B29" s="147" t="s">
        <v>4</v>
      </c>
      <c r="C29" s="147" t="s">
        <v>149</v>
      </c>
      <c r="D29" s="148" t="s">
        <v>147</v>
      </c>
      <c r="E29" s="87">
        <v>45008</v>
      </c>
      <c r="F29" s="61" t="s">
        <v>419</v>
      </c>
      <c r="H29" s="149"/>
      <c r="I29" s="64"/>
      <c r="J29" s="147" t="s">
        <v>96</v>
      </c>
      <c r="K29" s="64">
        <v>50</v>
      </c>
      <c r="L29" s="58" t="s">
        <v>96</v>
      </c>
      <c r="M29" s="64"/>
      <c r="N29" s="147"/>
      <c r="O29" s="64"/>
      <c r="P29" s="147" t="s">
        <v>96</v>
      </c>
      <c r="Q29" s="64"/>
      <c r="R29" s="149"/>
      <c r="S29" s="64"/>
      <c r="T29" s="147"/>
      <c r="U29" s="64"/>
      <c r="V29" s="57"/>
      <c r="W29" s="64"/>
      <c r="X29" s="149"/>
      <c r="Y29" s="64"/>
      <c r="Z29" s="147"/>
      <c r="AA29" s="64"/>
      <c r="AB29" s="149"/>
      <c r="AC29" s="64"/>
      <c r="AD29" s="57"/>
      <c r="AE29" s="64"/>
      <c r="AF29" s="70">
        <f t="shared" si="4"/>
        <v>50</v>
      </c>
      <c r="AG29" s="70">
        <f t="shared" ca="1" si="10"/>
        <v>-110</v>
      </c>
      <c r="AH29" s="64">
        <v>-160</v>
      </c>
      <c r="AI29" s="64">
        <v>40</v>
      </c>
      <c r="AJ29" s="64">
        <v>-40</v>
      </c>
      <c r="AK29" s="64" t="s">
        <v>108</v>
      </c>
      <c r="AL29" s="64" t="s">
        <v>108</v>
      </c>
      <c r="AM29" s="64" t="s">
        <v>108</v>
      </c>
      <c r="AN29" s="64" t="s">
        <v>108</v>
      </c>
      <c r="AO29" s="64" t="s">
        <v>108</v>
      </c>
      <c r="AP29" s="70">
        <f t="shared" ca="1" si="6"/>
        <v>-270</v>
      </c>
      <c r="AQ29" s="57" t="str">
        <f ca="1">IF((Member_Status!$AP29&lt;-240),  "No", "Yes")</f>
        <v>No</v>
      </c>
      <c r="AR29" s="74">
        <f ca="1">COUNTIF(Member_Status!$H28:$AE28, "Present") / (MONTH(TODAY()-23 ))</f>
        <v>0.2857142857142857</v>
      </c>
      <c r="AS29" s="76">
        <f>'Bereavment Collection'!C28</f>
        <v>0</v>
      </c>
      <c r="AT29" s="80" t="str">
        <f t="shared" ca="1" si="7"/>
        <v>2+</v>
      </c>
      <c r="AU29" s="57" t="str">
        <f ca="1">IF( OR( (Member_Status!$AP28&lt;-240), (Member_Status!$AS28&lt;&gt;0), (Member_Status!$AR28&lt;58%) ),  "No", "Yes")</f>
        <v>No</v>
      </c>
      <c r="AV29" s="57" t="str">
        <f ca="1">IF( OR(Member_Status!$AQ29&lt;&gt;"Yes",AU29 &lt;&gt;"Yes"  ), "No", "Yes" )</f>
        <v>No</v>
      </c>
      <c r="AW29" s="57" t="str">
        <f ca="1">IF( AND(AX29&lt;149, OR(Member_Status!$AQ29&lt;&gt;"Yes", AT29&lt;2 ) ), "No", "Yes" )</f>
        <v>No</v>
      </c>
      <c r="AX29" s="70"/>
      <c r="AY29" s="64" t="s">
        <v>119</v>
      </c>
      <c r="AZ29" s="81">
        <v>1</v>
      </c>
      <c r="BA29" s="82">
        <v>120</v>
      </c>
      <c r="BB29" s="83">
        <v>46054</v>
      </c>
      <c r="BC29" s="82"/>
      <c r="BD29" s="82"/>
      <c r="BE29" s="82"/>
      <c r="BF29" s="84"/>
      <c r="BG29" s="84"/>
    </row>
    <row r="30" spans="1:59" ht="12.75" customHeight="1" x14ac:dyDescent="0.15">
      <c r="A30" s="150" t="s">
        <v>1</v>
      </c>
      <c r="B30" s="150" t="s">
        <v>4</v>
      </c>
      <c r="C30" s="150" t="s">
        <v>162</v>
      </c>
      <c r="D30" s="151" t="s">
        <v>163</v>
      </c>
      <c r="E30" s="104">
        <v>36892</v>
      </c>
      <c r="F30" s="61">
        <v>3132581826</v>
      </c>
      <c r="G30" s="57" t="e">
        <f>VLOOKUP(Member_Status!$D29,contacts!A:G,3,FALSE)</f>
        <v>#N/A</v>
      </c>
      <c r="H30" s="149"/>
      <c r="I30" s="64"/>
      <c r="J30" s="147"/>
      <c r="K30" s="64"/>
      <c r="L30" s="58" t="s">
        <v>96</v>
      </c>
      <c r="M30" s="64"/>
      <c r="N30" s="147"/>
      <c r="O30" s="64"/>
      <c r="P30" s="147" t="s">
        <v>96</v>
      </c>
      <c r="Q30" s="64"/>
      <c r="R30" s="149"/>
      <c r="S30" s="64"/>
      <c r="T30" s="147"/>
      <c r="U30" s="64"/>
      <c r="V30" s="57"/>
      <c r="W30" s="64"/>
      <c r="X30" s="149"/>
      <c r="Y30" s="64"/>
      <c r="Z30" s="147"/>
      <c r="AA30" s="64"/>
      <c r="AB30" s="149"/>
      <c r="AC30" s="64"/>
      <c r="AD30" s="57"/>
      <c r="AE30" s="64"/>
      <c r="AF30" s="70">
        <f t="shared" si="4"/>
        <v>0</v>
      </c>
      <c r="AG30" s="70">
        <f t="shared" ca="1" si="10"/>
        <v>-160</v>
      </c>
      <c r="AH30" s="64">
        <v>20</v>
      </c>
      <c r="AI30" s="64">
        <v>100</v>
      </c>
      <c r="AJ30" s="64">
        <v>0</v>
      </c>
      <c r="AK30" s="64">
        <v>-240</v>
      </c>
      <c r="AL30" s="70">
        <v>0</v>
      </c>
      <c r="AM30" s="70" t="s">
        <v>108</v>
      </c>
      <c r="AN30" s="70" t="s">
        <v>108</v>
      </c>
      <c r="AO30" s="64" t="s">
        <v>108</v>
      </c>
      <c r="AP30" s="70">
        <f t="shared" ca="1" si="6"/>
        <v>-280</v>
      </c>
      <c r="AQ30" s="57" t="str">
        <f ca="1">IF((Member_Status!$AP30&lt;-240),  "No", "Yes")</f>
        <v>No</v>
      </c>
      <c r="AR30" s="74">
        <f ca="1">COUNTIF(Member_Status!$H29:$AE29, "Present") / (MONTH(TODAY()-23 ))</f>
        <v>0.42857142857142855</v>
      </c>
      <c r="AS30" s="76">
        <f>'Bereavment Collection'!C29</f>
        <v>-200</v>
      </c>
      <c r="AT30" s="80" t="str">
        <f t="shared" ca="1" si="7"/>
        <v>2+</v>
      </c>
      <c r="AU30" s="57" t="str">
        <f ca="1">IF( OR( (Member_Status!$AP29&lt;-240), (Member_Status!$AS29&lt;&gt;0), (Member_Status!$AR29&lt;58%) ),  "No", "Yes")</f>
        <v>No</v>
      </c>
      <c r="AV30" s="57" t="str">
        <f ca="1">IF( OR(Member_Status!$AQ30&lt;&gt;"Yes",AU30 &lt;&gt;"Yes"  ), "No", "Yes" )</f>
        <v>No</v>
      </c>
      <c r="AW30" s="57" t="str">
        <f ca="1">IF( AND(AX30&lt;149, OR(Member_Status!$AQ30&lt;&gt;"Yes", AT30&lt;2 ) ), "No", "Yes" )</f>
        <v>No</v>
      </c>
      <c r="AX30" s="70"/>
      <c r="AY30" s="70" t="s">
        <v>119</v>
      </c>
      <c r="AZ30" s="112"/>
      <c r="BA30" s="152"/>
      <c r="BB30" s="83">
        <v>46143</v>
      </c>
      <c r="BC30" s="82"/>
      <c r="BD30" s="82"/>
      <c r="BE30" s="82"/>
      <c r="BF30" s="84"/>
      <c r="BG30" s="84"/>
    </row>
    <row r="31" spans="1:59" ht="12.75" customHeight="1" x14ac:dyDescent="0.15">
      <c r="A31" s="57" t="s">
        <v>1</v>
      </c>
      <c r="B31" s="57" t="s">
        <v>4</v>
      </c>
      <c r="C31" s="57" t="s">
        <v>171</v>
      </c>
      <c r="D31" s="103" t="s">
        <v>174</v>
      </c>
      <c r="E31" s="104">
        <v>44652</v>
      </c>
      <c r="F31" s="125">
        <v>13462821181</v>
      </c>
      <c r="G31" s="57"/>
      <c r="H31" s="58"/>
      <c r="I31" s="64"/>
      <c r="J31" s="58" t="s">
        <v>96</v>
      </c>
      <c r="K31" s="64"/>
      <c r="L31" s="58" t="s">
        <v>96</v>
      </c>
      <c r="M31" s="64">
        <v>120</v>
      </c>
      <c r="N31" s="58"/>
      <c r="O31" s="64"/>
      <c r="P31" s="58"/>
      <c r="Q31" s="64" t="s">
        <v>108</v>
      </c>
      <c r="R31" s="57"/>
      <c r="S31" s="64">
        <v>120</v>
      </c>
      <c r="T31" s="57"/>
      <c r="U31" s="64" t="s">
        <v>108</v>
      </c>
      <c r="V31" s="57"/>
      <c r="W31" s="64"/>
      <c r="X31" s="58"/>
      <c r="Y31" s="64"/>
      <c r="Z31" s="58"/>
      <c r="AA31" s="64"/>
      <c r="AB31" s="57"/>
      <c r="AC31" s="64"/>
      <c r="AD31" s="57"/>
      <c r="AE31" s="64"/>
      <c r="AF31" s="70">
        <f t="shared" si="4"/>
        <v>240</v>
      </c>
      <c r="AG31" s="70">
        <f t="shared" ca="1" si="10"/>
        <v>80</v>
      </c>
      <c r="AH31" s="64">
        <v>-20</v>
      </c>
      <c r="AI31" s="64">
        <v>20</v>
      </c>
      <c r="AJ31" s="64">
        <v>0</v>
      </c>
      <c r="AK31" s="64">
        <v>0</v>
      </c>
      <c r="AL31" s="70" t="s">
        <v>108</v>
      </c>
      <c r="AM31" s="70" t="s">
        <v>108</v>
      </c>
      <c r="AN31" s="70" t="s">
        <v>108</v>
      </c>
      <c r="AO31" s="64" t="s">
        <v>108</v>
      </c>
      <c r="AP31" s="70">
        <f t="shared" ca="1" si="6"/>
        <v>80</v>
      </c>
      <c r="AQ31" s="57" t="str">
        <f ca="1">IF((Member_Status!$AP31&lt;-240),  "No", "Yes")</f>
        <v>Yes</v>
      </c>
      <c r="AR31" s="74">
        <f ca="1">COUNTIF(Member_Status!$H30:$AE30, "Present") / (MONTH(TODAY()-23 ))</f>
        <v>0.2857142857142857</v>
      </c>
      <c r="AS31" s="76">
        <f>'Bereavment Collection'!C30</f>
        <v>-50</v>
      </c>
      <c r="AT31" s="80" t="str">
        <f t="shared" ca="1" si="7"/>
        <v>2+</v>
      </c>
      <c r="AU31" s="57" t="str">
        <f ca="1">IF( OR( (Member_Status!$AP30&lt;-240), (Member_Status!$AS30&lt;&gt;0), (Member_Status!$AR30&lt;58%) ),  "No", "Yes")</f>
        <v>No</v>
      </c>
      <c r="AV31" s="57" t="str">
        <f ca="1">IF( OR(Member_Status!$AQ31&lt;&gt;"Yes",AU31 &lt;&gt;"Yes"  ), "No", "Yes" )</f>
        <v>No</v>
      </c>
      <c r="AW31" s="57" t="str">
        <f ca="1">IF( AND(AX31&lt;149, OR(Member_Status!$AQ31&lt;&gt;"Yes", AT31&lt;2 ) ), "No", "Yes" )</f>
        <v>Yes</v>
      </c>
      <c r="AX31" s="70"/>
      <c r="AY31" s="70" t="s">
        <v>119</v>
      </c>
      <c r="AZ31" s="81">
        <v>1</v>
      </c>
      <c r="BA31" s="82">
        <v>120</v>
      </c>
      <c r="BB31" s="83">
        <v>46082</v>
      </c>
      <c r="BC31" s="82">
        <v>50</v>
      </c>
      <c r="BD31" s="82"/>
      <c r="BE31" s="82"/>
      <c r="BF31" s="84">
        <v>20</v>
      </c>
      <c r="BG31" s="84"/>
    </row>
    <row r="32" spans="1:59" ht="12.75" customHeight="1" x14ac:dyDescent="0.15">
      <c r="A32" s="57" t="s">
        <v>1</v>
      </c>
      <c r="B32" s="57" t="s">
        <v>4</v>
      </c>
      <c r="C32" s="57" t="s">
        <v>175</v>
      </c>
      <c r="D32" s="103" t="s">
        <v>178</v>
      </c>
      <c r="E32" s="104">
        <v>36892</v>
      </c>
      <c r="F32" s="125">
        <v>2487471200</v>
      </c>
      <c r="G32" s="57" t="e">
        <f>VLOOKUP(Member_Status!$D31,contacts!A:G,3,FALSE)</f>
        <v>#N/A</v>
      </c>
      <c r="H32" s="58"/>
      <c r="I32" s="64"/>
      <c r="J32" s="58"/>
      <c r="K32" s="64"/>
      <c r="L32" s="58" t="s">
        <v>96</v>
      </c>
      <c r="M32" s="64">
        <v>240</v>
      </c>
      <c r="N32" s="58"/>
      <c r="O32" s="64"/>
      <c r="P32" s="58"/>
      <c r="Q32" s="64"/>
      <c r="R32" s="57"/>
      <c r="S32" s="64"/>
      <c r="T32" s="58"/>
      <c r="U32" s="64"/>
      <c r="V32" s="57"/>
      <c r="W32" s="64"/>
      <c r="X32" s="57"/>
      <c r="Y32" s="64"/>
      <c r="Z32" s="58"/>
      <c r="AA32" s="64"/>
      <c r="AB32" s="57"/>
      <c r="AC32" s="64"/>
      <c r="AD32" s="57"/>
      <c r="AE32" s="64"/>
      <c r="AF32" s="70">
        <f t="shared" si="4"/>
        <v>240</v>
      </c>
      <c r="AG32" s="70">
        <f t="shared" ca="1" si="10"/>
        <v>80</v>
      </c>
      <c r="AH32" s="64">
        <v>0</v>
      </c>
      <c r="AI32" s="64">
        <v>0</v>
      </c>
      <c r="AJ32" s="64">
        <v>-240</v>
      </c>
      <c r="AK32" s="64">
        <v>240</v>
      </c>
      <c r="AL32" s="70">
        <v>0</v>
      </c>
      <c r="AM32" s="70">
        <v>0</v>
      </c>
      <c r="AN32" s="70">
        <v>0</v>
      </c>
      <c r="AO32" s="64">
        <v>0</v>
      </c>
      <c r="AP32" s="70">
        <f t="shared" ca="1" si="6"/>
        <v>80</v>
      </c>
      <c r="AQ32" s="57" t="str">
        <f ca="1">IF((Member_Status!$AP32&lt;-240),  "No", "Yes")</f>
        <v>Yes</v>
      </c>
      <c r="AR32" s="74">
        <f ca="1">COUNTIF(Member_Status!$H31:$AE31, "Present") / (MONTH(TODAY()-23 ))</f>
        <v>0.2857142857142857</v>
      </c>
      <c r="AS32" s="76">
        <f>'Bereavment Collection'!C31</f>
        <v>0</v>
      </c>
      <c r="AT32" s="80" t="str">
        <f t="shared" ca="1" si="7"/>
        <v>2+</v>
      </c>
      <c r="AU32" s="57" t="str">
        <f ca="1">IF( OR( (Member_Status!$AP31&lt;-240), (Member_Status!$AS31&lt;&gt;0), (Member_Status!$AR31&lt;58%) ),  "No", "Yes")</f>
        <v>No</v>
      </c>
      <c r="AV32" s="57" t="str">
        <f ca="1">IF( OR(Member_Status!$AQ32&lt;&gt;"Yes",AU32 &lt;&gt;"Yes"  ), "No", "Yes" )</f>
        <v>No</v>
      </c>
      <c r="AW32" s="57" t="str">
        <f ca="1">IF( AND(AX32&lt;149, OR(Member_Status!$AQ32&lt;&gt;"Yes", AT32&lt;2 ) ), "No", "Yes" )</f>
        <v>Yes</v>
      </c>
      <c r="AX32" s="70"/>
      <c r="AY32" s="70" t="s">
        <v>119</v>
      </c>
      <c r="AZ32" s="81">
        <v>1</v>
      </c>
      <c r="BA32" s="82">
        <v>120</v>
      </c>
      <c r="BB32" s="83">
        <v>46478</v>
      </c>
      <c r="BC32" s="82">
        <v>50</v>
      </c>
      <c r="BD32" s="82">
        <v>20</v>
      </c>
      <c r="BE32" s="82">
        <v>20</v>
      </c>
      <c r="BF32" s="84">
        <v>20</v>
      </c>
      <c r="BG32" s="84"/>
    </row>
    <row r="33" spans="1:59" ht="12.75" customHeight="1" x14ac:dyDescent="0.15">
      <c r="A33" s="57" t="s">
        <v>1</v>
      </c>
      <c r="B33" s="57" t="s">
        <v>461</v>
      </c>
      <c r="C33" s="57" t="s">
        <v>184</v>
      </c>
      <c r="D33" s="103" t="s">
        <v>186</v>
      </c>
      <c r="E33" s="104">
        <v>36892</v>
      </c>
      <c r="F33" s="125">
        <v>2487471200</v>
      </c>
      <c r="G33" s="106" t="s">
        <v>396</v>
      </c>
      <c r="H33" s="58" t="s">
        <v>96</v>
      </c>
      <c r="I33" s="64"/>
      <c r="J33" s="58" t="s">
        <v>96</v>
      </c>
      <c r="K33" s="64"/>
      <c r="L33" s="58" t="s">
        <v>96</v>
      </c>
      <c r="M33" s="64">
        <v>240</v>
      </c>
      <c r="N33" s="58"/>
      <c r="O33" s="64"/>
      <c r="P33" s="58" t="s">
        <v>96</v>
      </c>
      <c r="Q33" s="64"/>
      <c r="R33" s="57"/>
      <c r="S33" s="64"/>
      <c r="T33" s="58"/>
      <c r="U33" s="64"/>
      <c r="V33" s="57"/>
      <c r="W33" s="64"/>
      <c r="X33" s="58"/>
      <c r="Y33" s="64"/>
      <c r="Z33" s="57"/>
      <c r="AA33" s="64"/>
      <c r="AB33" s="57"/>
      <c r="AC33" s="64"/>
      <c r="AD33" s="57"/>
      <c r="AE33" s="64"/>
      <c r="AF33" s="70">
        <f t="shared" si="4"/>
        <v>240</v>
      </c>
      <c r="AG33" s="70">
        <f t="shared" ca="1" si="10"/>
        <v>80</v>
      </c>
      <c r="AH33" s="64">
        <v>0</v>
      </c>
      <c r="AI33" s="64">
        <v>0</v>
      </c>
      <c r="AJ33" s="64">
        <v>0</v>
      </c>
      <c r="AK33" s="64">
        <v>0</v>
      </c>
      <c r="AL33" s="70">
        <v>0</v>
      </c>
      <c r="AM33" s="70">
        <v>0</v>
      </c>
      <c r="AN33" s="70">
        <v>0</v>
      </c>
      <c r="AO33" s="64">
        <v>0</v>
      </c>
      <c r="AP33" s="70">
        <f t="shared" ca="1" si="6"/>
        <v>80</v>
      </c>
      <c r="AQ33" s="57" t="str">
        <f ca="1">IF((Member_Status!$AP33&lt;-240),  "No", "Yes")</f>
        <v>Yes</v>
      </c>
      <c r="AR33" s="74">
        <f ca="1">COUNTIF(Member_Status!$H32:$AE32, "Present") / (MONTH(TODAY()-23 ))</f>
        <v>0.14285714285714285</v>
      </c>
      <c r="AS33" s="76">
        <f>'Bereavment Collection'!C32</f>
        <v>0</v>
      </c>
      <c r="AT33" s="80" t="str">
        <f t="shared" ca="1" si="7"/>
        <v>2+</v>
      </c>
      <c r="AU33" s="57" t="str">
        <f ca="1">IF( OR( (Member_Status!$AP32&lt;-240), (Member_Status!$AS32&lt;&gt;0), (Member_Status!$AR32&lt;58%) ),  "No", "Yes")</f>
        <v>No</v>
      </c>
      <c r="AV33" s="57" t="str">
        <f ca="1">IF( OR(Member_Status!$AQ33&lt;&gt;"Yes",AU33 &lt;&gt;"Yes"  ), "No", "Yes" )</f>
        <v>No</v>
      </c>
      <c r="AW33" s="57" t="str">
        <f ca="1">IF( AND(AX33&lt;149, OR(Member_Status!$AQ33&lt;&gt;"Yes", AT33&lt;2 ) ), "No", "Yes" )</f>
        <v>Yes</v>
      </c>
      <c r="AX33" s="70"/>
      <c r="AY33" s="70" t="s">
        <v>148</v>
      </c>
      <c r="AZ33" s="112"/>
      <c r="BA33" s="82"/>
      <c r="BB33" s="83">
        <v>46419</v>
      </c>
      <c r="BC33" s="82">
        <v>50</v>
      </c>
      <c r="BD33" s="82">
        <v>20</v>
      </c>
      <c r="BE33" s="82"/>
      <c r="BF33" s="84"/>
      <c r="BG33" s="84"/>
    </row>
    <row r="34" spans="1:59" ht="12.75" customHeight="1" x14ac:dyDescent="0.15">
      <c r="A34" s="57" t="s">
        <v>1</v>
      </c>
      <c r="B34" s="57" t="s">
        <v>4</v>
      </c>
      <c r="C34" s="57" t="s">
        <v>184</v>
      </c>
      <c r="D34" s="103" t="s">
        <v>190</v>
      </c>
      <c r="E34" s="144">
        <v>36892</v>
      </c>
      <c r="F34" s="125">
        <v>2486672255</v>
      </c>
      <c r="G34" s="57" t="e">
        <f>VLOOKUP(Member_Status!$D33,contacts!A:G,3,FALSE)</f>
        <v>#N/A</v>
      </c>
      <c r="H34" s="58" t="s">
        <v>96</v>
      </c>
      <c r="I34" s="64"/>
      <c r="J34" s="58" t="s">
        <v>285</v>
      </c>
      <c r="K34" s="64"/>
      <c r="L34" s="58" t="s">
        <v>285</v>
      </c>
      <c r="M34" s="64">
        <v>240</v>
      </c>
      <c r="N34" s="58"/>
      <c r="O34" s="64"/>
      <c r="P34" s="58"/>
      <c r="Q34" s="64"/>
      <c r="R34" s="57"/>
      <c r="S34" s="64"/>
      <c r="T34" s="58"/>
      <c r="U34" s="64"/>
      <c r="V34" s="57"/>
      <c r="W34" s="64"/>
      <c r="X34" s="58"/>
      <c r="Y34" s="64"/>
      <c r="Z34" s="58"/>
      <c r="AA34" s="64"/>
      <c r="AB34" s="57"/>
      <c r="AC34" s="64"/>
      <c r="AD34" s="57"/>
      <c r="AE34" s="64"/>
      <c r="AF34" s="70">
        <f t="shared" si="4"/>
        <v>240</v>
      </c>
      <c r="AG34" s="70">
        <f t="shared" ca="1" si="10"/>
        <v>80</v>
      </c>
      <c r="AH34" s="64">
        <v>0</v>
      </c>
      <c r="AI34" s="64">
        <v>0</v>
      </c>
      <c r="AJ34" s="64">
        <v>0</v>
      </c>
      <c r="AK34" s="64">
        <v>0</v>
      </c>
      <c r="AL34" s="70">
        <v>0</v>
      </c>
      <c r="AM34" s="70">
        <v>0</v>
      </c>
      <c r="AN34" s="70">
        <v>0</v>
      </c>
      <c r="AO34" s="64">
        <v>0</v>
      </c>
      <c r="AP34" s="70">
        <f t="shared" ca="1" si="6"/>
        <v>80</v>
      </c>
      <c r="AQ34" s="57" t="str">
        <f ca="1">IF((Member_Status!$AP34&lt;-240),  "No", "Yes")</f>
        <v>Yes</v>
      </c>
      <c r="AR34" s="74">
        <f ca="1">COUNTIF(Member_Status!$H33:$AE33, "Present") / (MONTH(TODAY()-23 ))</f>
        <v>0.5714285714285714</v>
      </c>
      <c r="AS34" s="76">
        <f>'Bereavment Collection'!C33</f>
        <v>0</v>
      </c>
      <c r="AT34" s="80" t="str">
        <f t="shared" ca="1" si="7"/>
        <v>2+</v>
      </c>
      <c r="AU34" s="57" t="str">
        <f ca="1">IF( OR( (Member_Status!$AP33&lt;-240), (Member_Status!$AS33&lt;&gt;0), (Member_Status!$AR33&lt;58%) ),  "No", "Yes")</f>
        <v>No</v>
      </c>
      <c r="AV34" s="57" t="str">
        <f ca="1">IF( OR(Member_Status!$AQ34&lt;&gt;"Yes",AU34 &lt;&gt;"Yes"  ), "No", "Yes" )</f>
        <v>No</v>
      </c>
      <c r="AW34" s="57" t="str">
        <f ca="1">IF( AND(AX34&lt;149, OR(Member_Status!$AQ34&lt;&gt;"Yes", AT34&lt;2 ) ), "No", "Yes" )</f>
        <v>Yes</v>
      </c>
      <c r="AX34" s="70"/>
      <c r="AY34" s="70" t="s">
        <v>119</v>
      </c>
      <c r="AZ34" s="81">
        <v>2</v>
      </c>
      <c r="BA34" s="82">
        <v>240</v>
      </c>
      <c r="BB34" s="83">
        <v>46419</v>
      </c>
      <c r="BC34" s="82">
        <v>50</v>
      </c>
      <c r="BD34" s="82">
        <v>20</v>
      </c>
      <c r="BE34" s="82"/>
      <c r="BF34" s="84"/>
      <c r="BG34" s="84"/>
    </row>
    <row r="35" spans="1:59" ht="12" customHeight="1" x14ac:dyDescent="0.15">
      <c r="A35" s="58" t="s">
        <v>1</v>
      </c>
      <c r="B35" s="58" t="s">
        <v>3</v>
      </c>
      <c r="C35" s="58" t="s">
        <v>152</v>
      </c>
      <c r="D35" s="36" t="s">
        <v>169</v>
      </c>
      <c r="E35" s="60">
        <v>46113</v>
      </c>
      <c r="F35" s="61">
        <v>3135566202</v>
      </c>
      <c r="H35" s="57"/>
      <c r="I35" s="64"/>
      <c r="J35" s="58"/>
      <c r="K35" s="64"/>
      <c r="L35" s="58"/>
      <c r="M35" s="64"/>
      <c r="N35" s="57"/>
      <c r="O35" s="64">
        <f>380/2</f>
        <v>190</v>
      </c>
      <c r="P35" s="57"/>
      <c r="Q35" s="64"/>
      <c r="R35" s="57"/>
      <c r="S35" s="64"/>
      <c r="T35" s="57"/>
      <c r="U35" s="64"/>
      <c r="V35" s="57"/>
      <c r="W35" s="64"/>
      <c r="X35" s="57"/>
      <c r="Y35" s="64"/>
      <c r="Z35" s="57"/>
      <c r="AA35" s="64"/>
      <c r="AB35" s="57"/>
      <c r="AC35" s="153"/>
      <c r="AD35" s="57"/>
      <c r="AE35" s="70"/>
      <c r="AF35" s="70">
        <f t="shared" si="4"/>
        <v>190</v>
      </c>
      <c r="AG35" s="70">
        <f t="shared" ca="1" si="10"/>
        <v>30</v>
      </c>
      <c r="AH35" s="64" t="s">
        <v>108</v>
      </c>
      <c r="AI35" s="64" t="s">
        <v>108</v>
      </c>
      <c r="AJ35" s="64" t="s">
        <v>108</v>
      </c>
      <c r="AK35" s="64" t="s">
        <v>108</v>
      </c>
      <c r="AL35" s="64" t="s">
        <v>108</v>
      </c>
      <c r="AM35" s="64" t="s">
        <v>108</v>
      </c>
      <c r="AN35" s="64" t="s">
        <v>108</v>
      </c>
      <c r="AO35" s="64" t="s">
        <v>108</v>
      </c>
      <c r="AP35" s="70">
        <f t="shared" ca="1" si="6"/>
        <v>30</v>
      </c>
      <c r="AQ35" s="57" t="str">
        <f ca="1">IF((Member_Status!$AP35&lt;-240),  "No", "Yes")</f>
        <v>Yes</v>
      </c>
      <c r="AR35" s="74">
        <f ca="1">COUNTIF(Member_Status!$H34:$AE34, "Present") / (MONTH(TODAY()-23 ))</f>
        <v>0.14285714285714285</v>
      </c>
      <c r="AS35" s="76">
        <f>'Bereavment Collection'!C34</f>
        <v>0</v>
      </c>
      <c r="AT35" s="80">
        <f t="shared" ca="1" si="7"/>
        <v>0.34520547945205482</v>
      </c>
      <c r="AU35" s="57" t="str">
        <f ca="1">IF( OR( (Member_Status!$AP34&lt;-240), (Member_Status!$AS34&lt;&gt;0), (Member_Status!$AR34&lt;58%) ),  "No", "Yes")</f>
        <v>No</v>
      </c>
      <c r="AV35" s="57" t="str">
        <f ca="1">IF( OR(Member_Status!$AQ35&lt;&gt;"Yes",AU35 &lt;&gt;"Yes"  ), "No", "Yes" )</f>
        <v>No</v>
      </c>
      <c r="AW35" s="57" t="str">
        <f ca="1">IF( AND(AX35&lt;149, OR(Member_Status!$AQ35&lt;&gt;"Yes", AT35&lt;2 ) ), "No", "Yes" )</f>
        <v>Yes</v>
      </c>
      <c r="AX35" s="64">
        <v>154</v>
      </c>
      <c r="AY35" s="70"/>
      <c r="AZ35" s="81"/>
      <c r="BA35" s="82">
        <v>120</v>
      </c>
      <c r="BB35" s="83"/>
      <c r="BC35" s="82"/>
      <c r="BD35" s="82"/>
      <c r="BE35" s="82"/>
      <c r="BF35" s="84"/>
      <c r="BG35" s="84"/>
    </row>
    <row r="36" spans="1:59" ht="12" customHeight="1" x14ac:dyDescent="0.15">
      <c r="A36" s="57" t="s">
        <v>1</v>
      </c>
      <c r="B36" s="147" t="s">
        <v>4</v>
      </c>
      <c r="C36" s="147" t="s">
        <v>152</v>
      </c>
      <c r="D36" s="36" t="s">
        <v>153</v>
      </c>
      <c r="E36" s="87">
        <v>46113</v>
      </c>
      <c r="F36" s="61">
        <v>3132587910</v>
      </c>
      <c r="H36" s="147"/>
      <c r="I36" s="64"/>
      <c r="J36" s="149"/>
      <c r="K36" s="64"/>
      <c r="L36" s="57"/>
      <c r="M36" s="64"/>
      <c r="N36" s="147"/>
      <c r="O36" s="64">
        <v>190</v>
      </c>
      <c r="P36" s="149"/>
      <c r="Q36" s="64"/>
      <c r="R36" s="149"/>
      <c r="S36" s="64"/>
      <c r="T36" s="147"/>
      <c r="U36" s="64"/>
      <c r="V36" s="57"/>
      <c r="W36" s="64"/>
      <c r="X36" s="149"/>
      <c r="Y36" s="64"/>
      <c r="Z36" s="147"/>
      <c r="AA36" s="64"/>
      <c r="AB36" s="149"/>
      <c r="AC36" s="64"/>
      <c r="AD36" s="57"/>
      <c r="AE36" s="64"/>
      <c r="AF36" s="70">
        <f t="shared" si="4"/>
        <v>190</v>
      </c>
      <c r="AG36" s="70">
        <f t="shared" ca="1" si="10"/>
        <v>30</v>
      </c>
      <c r="AH36" s="64" t="s">
        <v>108</v>
      </c>
      <c r="AI36" s="64" t="s">
        <v>108</v>
      </c>
      <c r="AJ36" s="64" t="s">
        <v>108</v>
      </c>
      <c r="AK36" s="64" t="s">
        <v>108</v>
      </c>
      <c r="AL36" s="64" t="s">
        <v>108</v>
      </c>
      <c r="AM36" s="64" t="s">
        <v>108</v>
      </c>
      <c r="AN36" s="64" t="s">
        <v>108</v>
      </c>
      <c r="AO36" s="64" t="s">
        <v>108</v>
      </c>
      <c r="AP36" s="70">
        <f t="shared" ca="1" si="6"/>
        <v>30</v>
      </c>
      <c r="AQ36" s="57" t="str">
        <f ca="1">IF((Member_Status!$AP36&lt;-240),  "No", "Yes")</f>
        <v>Yes</v>
      </c>
      <c r="AR36" s="74">
        <f ca="1">COUNTIF(Member_Status!$H35:$AE35, "Present") / (MONTH(TODAY()-23 ))</f>
        <v>0</v>
      </c>
      <c r="AS36" s="76">
        <f>'Bereavment Collection'!C35</f>
        <v>0</v>
      </c>
      <c r="AT36" s="80">
        <f t="shared" ca="1" si="7"/>
        <v>0.34520547945205482</v>
      </c>
      <c r="AU36" s="57" t="str">
        <f ca="1">IF( OR( (Member_Status!$AP35&lt;-240), (Member_Status!$AS35&lt;&gt;0), (Member_Status!$AR35&lt;58%) ),  "No", "Yes")</f>
        <v>No</v>
      </c>
      <c r="AV36" s="57" t="str">
        <f ca="1">IF( OR(Member_Status!$AQ36&lt;&gt;"Yes",AU36 &lt;&gt;"Yes"  ), "No", "Yes" )</f>
        <v>No</v>
      </c>
      <c r="AW36" s="57" t="str">
        <f ca="1">IF( AND(AX36&lt;149, OR(Member_Status!$AQ36&lt;&gt;"Yes", AT36&lt;2 ) ), "No", "Yes" )</f>
        <v>Yes</v>
      </c>
      <c r="AX36" s="64">
        <v>154</v>
      </c>
      <c r="AY36" s="64"/>
      <c r="AZ36" s="81"/>
      <c r="BA36" s="82">
        <v>120</v>
      </c>
      <c r="BB36" s="81"/>
      <c r="BC36" s="82"/>
      <c r="BD36" s="82"/>
      <c r="BE36" s="82"/>
      <c r="BF36" s="84"/>
      <c r="BG36" s="84"/>
    </row>
    <row r="37" spans="1:59" ht="12" customHeight="1" x14ac:dyDescent="0.15">
      <c r="A37" s="57" t="s">
        <v>1</v>
      </c>
      <c r="B37" s="58" t="s">
        <v>4</v>
      </c>
      <c r="C37" s="58" t="s">
        <v>196</v>
      </c>
      <c r="D37" s="36" t="s">
        <v>133</v>
      </c>
      <c r="E37" s="144">
        <v>45658</v>
      </c>
      <c r="F37" s="61">
        <v>3138296855</v>
      </c>
      <c r="H37" s="57"/>
      <c r="I37" s="64"/>
      <c r="J37" s="58" t="s">
        <v>96</v>
      </c>
      <c r="K37" s="64"/>
      <c r="L37" s="58" t="s">
        <v>96</v>
      </c>
      <c r="M37" s="64">
        <v>100</v>
      </c>
      <c r="N37" s="57"/>
      <c r="O37" s="64"/>
      <c r="P37" s="58" t="s">
        <v>96</v>
      </c>
      <c r="Q37" s="64"/>
      <c r="R37" s="57"/>
      <c r="S37" s="64"/>
      <c r="T37" s="57"/>
      <c r="U37" s="205">
        <v>140</v>
      </c>
      <c r="V37" s="57"/>
      <c r="W37" s="64"/>
      <c r="X37" s="57"/>
      <c r="Y37" s="64"/>
      <c r="Z37" s="57"/>
      <c r="AA37" s="64"/>
      <c r="AB37" s="57"/>
      <c r="AC37" s="153"/>
      <c r="AD37" s="57"/>
      <c r="AE37" s="70"/>
      <c r="AF37" s="70">
        <f t="shared" si="4"/>
        <v>240</v>
      </c>
      <c r="AG37" s="70">
        <f t="shared" ca="1" si="10"/>
        <v>80</v>
      </c>
      <c r="AH37" s="64">
        <v>0</v>
      </c>
      <c r="AI37" s="64">
        <v>0</v>
      </c>
      <c r="AJ37" s="64">
        <v>0</v>
      </c>
      <c r="AK37" s="64">
        <v>-70</v>
      </c>
      <c r="AL37" s="70">
        <v>50</v>
      </c>
      <c r="AM37" s="70">
        <v>80</v>
      </c>
      <c r="AN37" s="64" t="s">
        <v>108</v>
      </c>
      <c r="AO37" s="64">
        <v>0</v>
      </c>
      <c r="AP37" s="70">
        <f t="shared" ca="1" si="6"/>
        <v>140</v>
      </c>
      <c r="AQ37" s="57" t="str">
        <f ca="1">IF((Member_Status!$AP37&lt;-240),  "No", "Yes")</f>
        <v>Yes</v>
      </c>
      <c r="AR37" s="74">
        <f ca="1">COUNTIF(Member_Status!$H75:$AE75, "Present") / (MONTH(TODAY()-23 ))</f>
        <v>0.5714285714285714</v>
      </c>
      <c r="AS37" s="57">
        <f>'Bereavment Collection'!C72</f>
        <v>0</v>
      </c>
      <c r="AT37" s="80">
        <f t="shared" ca="1" si="7"/>
        <v>1.5917808219178082</v>
      </c>
      <c r="AU37" s="57" t="str">
        <f ca="1">IF( OR( (Member_Status!$AP75&lt;-240), (Member_Status!$AS75&lt;&gt;0), (Member_Status!$AR75&lt;58%) ),  "No", "Yes")</f>
        <v>No</v>
      </c>
      <c r="AV37" s="57" t="str">
        <f ca="1">IF( OR(Member_Status!$AQ37&lt;&gt;"Yes",AU37 &lt;&gt;"Yes"  ), "No", "Yes" )</f>
        <v>No</v>
      </c>
      <c r="AW37" s="57" t="str">
        <f ca="1">IF( AND(AX37&lt;149, OR(Member_Status!$AQ37&lt;&gt;"Yes", AT37&lt;2 ) ), "No", "Yes" )</f>
        <v>Yes</v>
      </c>
      <c r="AX37" s="64">
        <v>153</v>
      </c>
      <c r="AY37" s="70" t="s">
        <v>148</v>
      </c>
      <c r="AZ37" s="81">
        <v>1</v>
      </c>
      <c r="BA37" s="82">
        <v>120</v>
      </c>
      <c r="BB37" s="83">
        <v>46082</v>
      </c>
      <c r="BC37" s="82"/>
      <c r="BD37" s="82">
        <v>20</v>
      </c>
      <c r="BE37" s="82"/>
      <c r="BF37" s="84"/>
      <c r="BG37" s="84">
        <v>20</v>
      </c>
    </row>
    <row r="38" spans="1:59" ht="12.75" customHeight="1" x14ac:dyDescent="0.15">
      <c r="A38" s="57" t="s">
        <v>1</v>
      </c>
      <c r="B38" s="57" t="s">
        <v>4</v>
      </c>
      <c r="C38" s="57" t="s">
        <v>200</v>
      </c>
      <c r="D38" s="103" t="s">
        <v>201</v>
      </c>
      <c r="E38" s="144">
        <v>36892</v>
      </c>
      <c r="F38" s="125">
        <v>7346297746</v>
      </c>
      <c r="G38" s="106" t="s">
        <v>494</v>
      </c>
      <c r="H38" s="58" t="s">
        <v>96</v>
      </c>
      <c r="I38" s="64"/>
      <c r="J38" s="58" t="s">
        <v>96</v>
      </c>
      <c r="K38" s="64"/>
      <c r="L38" s="58" t="s">
        <v>96</v>
      </c>
      <c r="M38" s="64"/>
      <c r="N38" s="206"/>
      <c r="O38" s="64"/>
      <c r="P38" s="206" t="s">
        <v>96</v>
      </c>
      <c r="Q38" s="64"/>
      <c r="R38" s="207"/>
      <c r="S38" s="64"/>
      <c r="T38" s="207"/>
      <c r="U38" s="64"/>
      <c r="V38" s="57"/>
      <c r="W38" s="64"/>
      <c r="X38" s="57"/>
      <c r="Y38" s="64"/>
      <c r="Z38" s="207"/>
      <c r="AA38" s="64"/>
      <c r="AB38" s="207"/>
      <c r="AC38" s="64"/>
      <c r="AD38" s="57"/>
      <c r="AE38" s="64"/>
      <c r="AF38" s="70">
        <f t="shared" si="4"/>
        <v>0</v>
      </c>
      <c r="AG38" s="70">
        <f t="shared" ca="1" si="10"/>
        <v>-160</v>
      </c>
      <c r="AH38" s="64">
        <v>-140</v>
      </c>
      <c r="AI38" s="64">
        <v>180</v>
      </c>
      <c r="AJ38" s="64">
        <v>-20</v>
      </c>
      <c r="AK38" s="64">
        <v>20</v>
      </c>
      <c r="AL38" s="70">
        <v>-120</v>
      </c>
      <c r="AM38" s="70">
        <v>200</v>
      </c>
      <c r="AN38" s="64" t="s">
        <v>108</v>
      </c>
      <c r="AO38" s="64" t="s">
        <v>108</v>
      </c>
      <c r="AP38" s="70">
        <f t="shared" ca="1" si="6"/>
        <v>-40</v>
      </c>
      <c r="AQ38" s="57" t="str">
        <f ca="1">IF((Member_Status!$AP38&lt;-240),  "No", "Yes")</f>
        <v>Yes</v>
      </c>
      <c r="AR38" s="74">
        <f ca="1">COUNTIF(Member_Status!$H34:$AE34, "Present") / (MONTH(TODAY()-23 ))</f>
        <v>0.14285714285714285</v>
      </c>
      <c r="AS38" s="76">
        <f>'Bereavment Collection'!C35</f>
        <v>0</v>
      </c>
      <c r="AT38" s="80" t="str">
        <f t="shared" ca="1" si="7"/>
        <v>2+</v>
      </c>
      <c r="AU38" s="57" t="str">
        <f ca="1">IF( OR( (Member_Status!$AP34&lt;-240), (Member_Status!$AS34&lt;&gt;0), (Member_Status!$AR34&lt;58%) ),  "No", "Yes")</f>
        <v>No</v>
      </c>
      <c r="AV38" s="57" t="str">
        <f ca="1">IF( OR(Member_Status!$AQ38&lt;&gt;"Yes",AU38 &lt;&gt;"Yes"  ), "No", "Yes" )</f>
        <v>No</v>
      </c>
      <c r="AW38" s="57" t="str">
        <f ca="1">IF( AND(AX38&lt;149, OR(Member_Status!$AQ38&lt;&gt;"Yes", AT38&lt;2 ) ), "No", "Yes" )</f>
        <v>Yes</v>
      </c>
      <c r="AX38" s="208"/>
      <c r="AY38" s="208" t="s">
        <v>119</v>
      </c>
      <c r="AZ38" s="196">
        <v>1</v>
      </c>
      <c r="BA38" s="82">
        <v>120</v>
      </c>
      <c r="BB38" s="83">
        <v>46113</v>
      </c>
      <c r="BC38" s="82"/>
      <c r="BD38" s="82"/>
      <c r="BE38" s="82"/>
      <c r="BF38" s="84"/>
      <c r="BG38" s="84"/>
    </row>
    <row r="39" spans="1:59" ht="12" customHeight="1" x14ac:dyDescent="0.15">
      <c r="A39" s="57" t="s">
        <v>1</v>
      </c>
      <c r="B39" s="57" t="s">
        <v>4</v>
      </c>
      <c r="C39" s="57" t="s">
        <v>200</v>
      </c>
      <c r="D39" s="103" t="s">
        <v>195</v>
      </c>
      <c r="E39" s="144">
        <v>43617</v>
      </c>
      <c r="F39" s="125">
        <v>3136758795</v>
      </c>
      <c r="G39" s="57" t="str">
        <f>VLOOKUP(Member_Status!$D34,contacts!A:G,3,FALSE)</f>
        <v>emoubo4real@yahoo.com</v>
      </c>
      <c r="H39" s="58"/>
      <c r="I39" s="64"/>
      <c r="J39" s="58" t="s">
        <v>96</v>
      </c>
      <c r="K39" s="64"/>
      <c r="L39" s="58"/>
      <c r="M39" s="64"/>
      <c r="N39" s="58"/>
      <c r="O39" s="64"/>
      <c r="P39" s="57"/>
      <c r="Q39" s="64"/>
      <c r="R39" s="57"/>
      <c r="S39" s="64"/>
      <c r="T39" s="57"/>
      <c r="U39" s="64"/>
      <c r="V39" s="57"/>
      <c r="W39" s="64"/>
      <c r="X39" s="57"/>
      <c r="Y39" s="64"/>
      <c r="Z39" s="57"/>
      <c r="AA39" s="64"/>
      <c r="AB39" s="57"/>
      <c r="AC39" s="64"/>
      <c r="AD39" s="57"/>
      <c r="AE39" s="64"/>
      <c r="AF39" s="70">
        <f t="shared" si="4"/>
        <v>0</v>
      </c>
      <c r="AG39" s="70">
        <f t="shared" ca="1" si="10"/>
        <v>-160</v>
      </c>
      <c r="AH39" s="64">
        <v>-240</v>
      </c>
      <c r="AI39" s="64">
        <v>240</v>
      </c>
      <c r="AJ39" s="64">
        <v>0</v>
      </c>
      <c r="AK39" s="64">
        <v>-240</v>
      </c>
      <c r="AL39" s="70">
        <v>-120</v>
      </c>
      <c r="AM39" s="70">
        <v>0</v>
      </c>
      <c r="AN39" s="64" t="s">
        <v>108</v>
      </c>
      <c r="AO39" s="64" t="s">
        <v>108</v>
      </c>
      <c r="AP39" s="70">
        <f t="shared" ca="1" si="6"/>
        <v>-520</v>
      </c>
      <c r="AQ39" s="57" t="str">
        <f ca="1">IF((Member_Status!$AP39&lt;-240),  "No", "Yes")</f>
        <v>No</v>
      </c>
      <c r="AR39" s="74">
        <f ca="1">COUNTIF(Member_Status!$H38:$AE38, "Present") / (MONTH(TODAY()-23 ))</f>
        <v>0.5714285714285714</v>
      </c>
      <c r="AS39" s="76">
        <f>'Bereavment Collection'!C37</f>
        <v>-200</v>
      </c>
      <c r="AT39" s="80" t="str">
        <f t="shared" ca="1" si="7"/>
        <v>2+</v>
      </c>
      <c r="AU39" s="57" t="str">
        <f ca="1">IF( OR( (Member_Status!$AP38&lt;-240), (Member_Status!$AS38&lt;&gt;0), (Member_Status!$AR38&lt;58%) ),  "No", "Yes")</f>
        <v>No</v>
      </c>
      <c r="AV39" s="57" t="str">
        <f ca="1">IF( OR(Member_Status!$AQ39&lt;&gt;"Yes",AU39 &lt;&gt;"Yes"  ), "No", "Yes" )</f>
        <v>No</v>
      </c>
      <c r="AW39" s="57" t="str">
        <f ca="1">IF( AND(AX39&lt;149, OR(Member_Status!$AQ39&lt;&gt;"Yes", AT39&lt;2 ) ), "No", "Yes" )</f>
        <v>No</v>
      </c>
      <c r="AX39" s="70"/>
      <c r="AY39" s="70" t="s">
        <v>119</v>
      </c>
      <c r="AZ39" s="112"/>
      <c r="BA39" s="152"/>
      <c r="BB39" s="83">
        <v>46113</v>
      </c>
      <c r="BC39" s="82"/>
      <c r="BD39" s="82"/>
      <c r="BE39" s="82"/>
      <c r="BF39" s="84"/>
      <c r="BG39" s="84"/>
    </row>
    <row r="40" spans="1:59" ht="12" customHeight="1" x14ac:dyDescent="0.15">
      <c r="A40" s="179" t="s">
        <v>1</v>
      </c>
      <c r="B40" s="179" t="s">
        <v>495</v>
      </c>
      <c r="C40" s="179" t="s">
        <v>200</v>
      </c>
      <c r="D40" s="209" t="s">
        <v>203</v>
      </c>
      <c r="E40" s="210">
        <v>36892</v>
      </c>
      <c r="F40" s="211">
        <v>7346297746</v>
      </c>
      <c r="G40" s="155" t="e">
        <f>VLOOKUP(Member_Status!$D38,contacts!A:G,3,FALSE)</f>
        <v>#N/A</v>
      </c>
      <c r="H40" s="178"/>
      <c r="I40" s="159"/>
      <c r="J40" s="155"/>
      <c r="K40" s="159"/>
      <c r="L40" s="160"/>
      <c r="M40" s="159"/>
      <c r="N40" s="178"/>
      <c r="O40" s="159"/>
      <c r="P40" s="212"/>
      <c r="Q40" s="159"/>
      <c r="R40" s="212"/>
      <c r="S40" s="159"/>
      <c r="T40" s="178"/>
      <c r="U40" s="159"/>
      <c r="V40" s="57"/>
      <c r="W40" s="159"/>
      <c r="X40" s="155"/>
      <c r="Y40" s="159"/>
      <c r="Z40" s="212"/>
      <c r="AA40" s="159"/>
      <c r="AB40" s="212"/>
      <c r="AC40" s="159"/>
      <c r="AD40" s="57"/>
      <c r="AE40" s="159"/>
      <c r="AF40" s="70">
        <f t="shared" si="4"/>
        <v>0</v>
      </c>
      <c r="AG40" s="161">
        <f ca="1">(SUM(H40:AE40) - (20* (MONTH(TODAY()) )))</f>
        <v>-160</v>
      </c>
      <c r="AH40" s="159">
        <v>-120</v>
      </c>
      <c r="AI40" s="159">
        <v>-120</v>
      </c>
      <c r="AJ40" s="159">
        <v>0</v>
      </c>
      <c r="AK40" s="159">
        <v>0</v>
      </c>
      <c r="AL40" s="161">
        <v>0</v>
      </c>
      <c r="AM40" s="161">
        <v>0</v>
      </c>
      <c r="AN40" s="161">
        <v>0</v>
      </c>
      <c r="AO40" s="159">
        <v>-60</v>
      </c>
      <c r="AP40" s="161">
        <f t="shared" ca="1" si="6"/>
        <v>-460</v>
      </c>
      <c r="AQ40" s="155" t="str">
        <f ca="1">IF((Member_Status!$AP40&lt;-120),  "No", "Yes")</f>
        <v>No</v>
      </c>
      <c r="AR40" s="162">
        <f ca="1">COUNTIF(Member_Status!$H37:$AE37, "Present") / (MONTH(TODAY()-23 ))</f>
        <v>0.42857142857142855</v>
      </c>
      <c r="AS40" s="163">
        <f>'Bereavment Collection'!C36</f>
        <v>-150</v>
      </c>
      <c r="AT40" s="164" t="str">
        <f t="shared" ca="1" si="7"/>
        <v>2+</v>
      </c>
      <c r="AU40" s="155" t="str">
        <f ca="1">IF( OR( (Member_Status!$AP37&lt;-240), (Member_Status!$AS37&lt;&gt;0), (Member_Status!$AR37&lt;58%) ),  "No", "Yes")</f>
        <v>No</v>
      </c>
      <c r="AV40" s="155" t="str">
        <f ca="1">IF( OR(Member_Status!$AQ40&lt;&gt;"Yes",AU40 &lt;&gt;"Yes"  ), "No", "Yes" )</f>
        <v>No</v>
      </c>
      <c r="AW40" s="155" t="str">
        <f ca="1">IF( AND(AX40&lt;149, OR(Member_Status!$AQ40&lt;&gt;"Yes", AT40&lt;2 ) ), "No", "Yes" )</f>
        <v>No</v>
      </c>
      <c r="AX40" s="161"/>
      <c r="AY40" s="161" t="s">
        <v>148</v>
      </c>
      <c r="AZ40" s="167"/>
      <c r="BA40" s="213"/>
      <c r="BB40" s="214" t="s">
        <v>297</v>
      </c>
      <c r="BC40" s="215"/>
      <c r="BD40" s="215"/>
      <c r="BE40" s="215"/>
      <c r="BF40" s="216"/>
      <c r="BG40" s="216"/>
    </row>
    <row r="41" spans="1:59" ht="12" customHeight="1" x14ac:dyDescent="0.15">
      <c r="A41" s="150" t="s">
        <v>1</v>
      </c>
      <c r="B41" s="147" t="s">
        <v>4</v>
      </c>
      <c r="C41" s="147" t="s">
        <v>197</v>
      </c>
      <c r="D41" s="148" t="s">
        <v>198</v>
      </c>
      <c r="E41" s="60">
        <v>46046</v>
      </c>
      <c r="F41" s="61">
        <v>7347575901</v>
      </c>
      <c r="G41" s="58" t="s">
        <v>496</v>
      </c>
      <c r="H41" s="58" t="s">
        <v>96</v>
      </c>
      <c r="I41" s="64"/>
      <c r="J41" s="58" t="s">
        <v>96</v>
      </c>
      <c r="K41" s="64"/>
      <c r="L41" s="58"/>
      <c r="M41" s="64"/>
      <c r="N41" s="58"/>
      <c r="O41" s="64">
        <v>80</v>
      </c>
      <c r="P41" s="58" t="s">
        <v>96</v>
      </c>
      <c r="Q41" s="64"/>
      <c r="R41" s="57"/>
      <c r="S41" s="64"/>
      <c r="T41" s="57"/>
      <c r="U41" s="64"/>
      <c r="V41" s="57"/>
      <c r="W41" s="64"/>
      <c r="X41" s="57"/>
      <c r="Y41" s="64"/>
      <c r="Z41" s="58"/>
      <c r="AA41" s="64"/>
      <c r="AB41" s="57"/>
      <c r="AC41" s="64"/>
      <c r="AD41" s="57"/>
      <c r="AE41" s="64"/>
      <c r="AF41" s="70">
        <f t="shared" si="4"/>
        <v>80</v>
      </c>
      <c r="AG41" s="161">
        <f ca="1">(SUM(H41:AE41) - (10* (MONTH(TODAY()) )))</f>
        <v>0</v>
      </c>
      <c r="AH41" s="64" t="s">
        <v>108</v>
      </c>
      <c r="AI41" s="64" t="s">
        <v>108</v>
      </c>
      <c r="AJ41" s="64" t="s">
        <v>108</v>
      </c>
      <c r="AK41" s="64" t="s">
        <v>108</v>
      </c>
      <c r="AL41" s="64" t="s">
        <v>108</v>
      </c>
      <c r="AM41" s="64" t="s">
        <v>108</v>
      </c>
      <c r="AN41" s="64" t="s">
        <v>108</v>
      </c>
      <c r="AO41" s="64" t="s">
        <v>108</v>
      </c>
      <c r="AP41" s="161">
        <f t="shared" ca="1" si="6"/>
        <v>0</v>
      </c>
      <c r="AQ41" s="155" t="str">
        <f ca="1">IF((Member_Status!$AP41&lt;-120),  "No", "Yes")</f>
        <v>Yes</v>
      </c>
      <c r="AR41" s="162">
        <f ca="1">COUNTIF(Member_Status!$H38:$AE38, "Present") / (MONTH(TODAY()-23 ))</f>
        <v>0.5714285714285714</v>
      </c>
      <c r="AS41" s="163">
        <f>'Bereavment Collection'!C37</f>
        <v>-200</v>
      </c>
      <c r="AT41" s="164">
        <f t="shared" ca="1" si="7"/>
        <v>0.52876712328767128</v>
      </c>
      <c r="AU41" s="155" t="str">
        <f ca="1">IF( OR( (Member_Status!$AP38&lt;-240), (Member_Status!$AS38&lt;&gt;0), (Member_Status!$AR38&lt;58%) ),  "No", "Yes")</f>
        <v>No</v>
      </c>
      <c r="AV41" s="155" t="str">
        <f ca="1">IF( OR(Member_Status!$AQ41&lt;&gt;"Yes",AU41 &lt;&gt;"Yes"  ), "No", "Yes" )</f>
        <v>No</v>
      </c>
      <c r="AW41" s="155" t="str">
        <f ca="1">IF( AND(AX41&lt;149, OR(Member_Status!$AQ41&lt;&gt;"Yes", AT41&lt;2 ) ), "No", "Yes" )</f>
        <v>No</v>
      </c>
      <c r="AX41" s="70"/>
      <c r="AY41" s="70"/>
      <c r="AZ41" s="81">
        <v>1</v>
      </c>
      <c r="BA41" s="82">
        <v>120</v>
      </c>
      <c r="BB41" s="83">
        <v>46023</v>
      </c>
      <c r="BC41" s="82"/>
      <c r="BD41" s="82"/>
      <c r="BE41" s="82"/>
      <c r="BF41" s="84"/>
      <c r="BG41" s="84"/>
    </row>
    <row r="42" spans="1:59" ht="12.75" customHeight="1" x14ac:dyDescent="0.15">
      <c r="A42" s="116" t="s">
        <v>1</v>
      </c>
      <c r="B42" s="113" t="s">
        <v>4</v>
      </c>
      <c r="C42" s="217" t="s">
        <v>200</v>
      </c>
      <c r="D42" s="218" t="s">
        <v>224</v>
      </c>
      <c r="E42" s="219">
        <v>46081</v>
      </c>
      <c r="F42" s="115">
        <v>3133169728</v>
      </c>
      <c r="G42" s="116"/>
      <c r="H42" s="113"/>
      <c r="I42" s="117"/>
      <c r="J42" s="113" t="s">
        <v>96</v>
      </c>
      <c r="K42" s="117">
        <v>120</v>
      </c>
      <c r="L42" s="113" t="s">
        <v>96</v>
      </c>
      <c r="M42" s="117"/>
      <c r="N42" s="113"/>
      <c r="O42" s="117"/>
      <c r="P42" s="113"/>
      <c r="Q42" s="117"/>
      <c r="R42" s="116"/>
      <c r="S42" s="117"/>
      <c r="T42" s="113"/>
      <c r="U42" s="117"/>
      <c r="V42" s="116"/>
      <c r="W42" s="117"/>
      <c r="X42" s="113"/>
      <c r="Y42" s="117"/>
      <c r="Z42" s="113"/>
      <c r="AA42" s="117"/>
      <c r="AB42" s="116"/>
      <c r="AC42" s="117"/>
      <c r="AD42" s="116"/>
      <c r="AE42" s="117"/>
      <c r="AF42" s="118">
        <f t="shared" si="4"/>
        <v>120</v>
      </c>
      <c r="AG42" s="118">
        <f ca="1">(SUM(H42:AE42) - (20* (MONTH(TODAY()) ))+40)</f>
        <v>0</v>
      </c>
      <c r="AH42" s="117" t="s">
        <v>108</v>
      </c>
      <c r="AI42" s="117" t="s">
        <v>108</v>
      </c>
      <c r="AJ42" s="117" t="s">
        <v>108</v>
      </c>
      <c r="AK42" s="117" t="s">
        <v>108</v>
      </c>
      <c r="AL42" s="118" t="s">
        <v>108</v>
      </c>
      <c r="AM42" s="118" t="s">
        <v>108</v>
      </c>
      <c r="AN42" s="117" t="s">
        <v>108</v>
      </c>
      <c r="AO42" s="117" t="s">
        <v>108</v>
      </c>
      <c r="AP42" s="118">
        <f t="shared" ca="1" si="6"/>
        <v>0</v>
      </c>
      <c r="AQ42" s="155" t="str">
        <f ca="1">IF((Member_Status!$AP42&lt;-120),  "No", "Yes")</f>
        <v>Yes</v>
      </c>
      <c r="AR42" s="162">
        <f ca="1">COUNTIF(Member_Status!$H39:$AE39, "Present") / (MONTH(TODAY()-23 ))</f>
        <v>0.14285714285714285</v>
      </c>
      <c r="AS42" s="163">
        <f>'Bereavment Collection'!C38</f>
        <v>-200</v>
      </c>
      <c r="AT42" s="164">
        <f t="shared" ca="1" si="7"/>
        <v>0.43287671232876712</v>
      </c>
      <c r="AU42" s="155" t="str">
        <f ca="1">IF( OR( (Member_Status!$AP39&lt;-240), (Member_Status!$AS39&lt;&gt;0), (Member_Status!$AR39&lt;58%) ),  "No", "Yes")</f>
        <v>No</v>
      </c>
      <c r="AV42" s="155" t="str">
        <f ca="1">IF( OR(Member_Status!$AQ42&lt;&gt;"Yes",AU42 &lt;&gt;"Yes"  ), "No", "Yes" )</f>
        <v>No</v>
      </c>
      <c r="AW42" s="155" t="str">
        <f ca="1">IF( AND(AX42&lt;149, OR(Member_Status!$AQ42&lt;&gt;"Yes", AT42&lt;2 ) ), "No", "Yes" )</f>
        <v>No</v>
      </c>
      <c r="AX42" s="118"/>
      <c r="AY42" s="117" t="s">
        <v>119</v>
      </c>
      <c r="AZ42" s="121">
        <v>1</v>
      </c>
      <c r="BA42" s="122">
        <v>120</v>
      </c>
      <c r="BB42" s="121" t="s">
        <v>265</v>
      </c>
      <c r="BC42" s="122"/>
      <c r="BD42" s="122"/>
      <c r="BE42" s="122"/>
      <c r="BF42" s="122"/>
      <c r="BG42" s="122"/>
    </row>
    <row r="43" spans="1:59" ht="12" customHeight="1" x14ac:dyDescent="0.15">
      <c r="A43" s="150" t="s">
        <v>1</v>
      </c>
      <c r="B43" s="150" t="s">
        <v>4</v>
      </c>
      <c r="C43" s="150" t="s">
        <v>225</v>
      </c>
      <c r="D43" s="151" t="s">
        <v>226</v>
      </c>
      <c r="E43" s="104">
        <v>36892</v>
      </c>
      <c r="F43" s="125">
        <v>3134099022</v>
      </c>
      <c r="G43" s="57" t="e">
        <f>VLOOKUP(#REF!,contacts!A:G,3,FALSE)</f>
        <v>#REF!</v>
      </c>
      <c r="H43" s="58" t="s">
        <v>96</v>
      </c>
      <c r="I43" s="64"/>
      <c r="J43" s="58" t="s">
        <v>96</v>
      </c>
      <c r="K43" s="64">
        <v>50</v>
      </c>
      <c r="L43" s="58" t="s">
        <v>96</v>
      </c>
      <c r="M43" s="64"/>
      <c r="N43" s="58"/>
      <c r="O43" s="64"/>
      <c r="P43" s="58" t="s">
        <v>96</v>
      </c>
      <c r="Q43" s="64">
        <v>100</v>
      </c>
      <c r="R43" s="57"/>
      <c r="S43" s="64"/>
      <c r="T43" s="57"/>
      <c r="U43" s="64"/>
      <c r="V43" s="57"/>
      <c r="W43" s="64"/>
      <c r="X43" s="57"/>
      <c r="Y43" s="64"/>
      <c r="Z43" s="58"/>
      <c r="AA43" s="64"/>
      <c r="AB43" s="57"/>
      <c r="AC43" s="64"/>
      <c r="AD43" s="57"/>
      <c r="AE43" s="64"/>
      <c r="AF43" s="70">
        <f t="shared" si="4"/>
        <v>150</v>
      </c>
      <c r="AG43" s="70">
        <f t="shared" ref="AG43:AG48" ca="1" si="11">(AF43 - (20* (MONTH(TODAY()) )))</f>
        <v>-10</v>
      </c>
      <c r="AH43" s="64">
        <v>-190</v>
      </c>
      <c r="AI43" s="64">
        <v>60</v>
      </c>
      <c r="AJ43" s="64">
        <v>160</v>
      </c>
      <c r="AK43" s="64">
        <v>-170</v>
      </c>
      <c r="AL43" s="70">
        <v>0</v>
      </c>
      <c r="AM43" s="70">
        <v>110</v>
      </c>
      <c r="AN43" s="64">
        <v>30</v>
      </c>
      <c r="AO43" s="64" t="s">
        <v>108</v>
      </c>
      <c r="AP43" s="70">
        <f t="shared" ca="1" si="6"/>
        <v>-10</v>
      </c>
      <c r="AQ43" s="57" t="str">
        <f ca="1">IF((Member_Status!$AP43&lt;-240),  "No", "Yes")</f>
        <v>Yes</v>
      </c>
      <c r="AR43" s="74">
        <f ca="1">COUNTIF(Member_Status!$H39:$AE39, "Present") / (MONTH(TODAY()-23 ))</f>
        <v>0.14285714285714285</v>
      </c>
      <c r="AS43" s="76">
        <f>'Bereavment Collection'!C40</f>
        <v>0</v>
      </c>
      <c r="AT43" s="80" t="str">
        <f t="shared" ca="1" si="7"/>
        <v>2+</v>
      </c>
      <c r="AU43" s="57" t="str">
        <f ca="1">IF( OR( (Member_Status!$AP39&lt;-240), (Member_Status!$AS39&lt;&gt;0), (Member_Status!$AR39&lt;58%) ),  "No", "Yes")</f>
        <v>No</v>
      </c>
      <c r="AV43" s="57" t="str">
        <f ca="1">IF( OR(Member_Status!$AQ43&lt;&gt;"Yes",AU43 &lt;&gt;"Yes"  ), "No", "Yes" )</f>
        <v>No</v>
      </c>
      <c r="AW43" s="57" t="str">
        <f ca="1">IF( AND(AX43&lt;149, OR(Member_Status!$AQ43&lt;&gt;"Yes", AT43&lt;2 ) ), "No", "Yes" )</f>
        <v>Yes</v>
      </c>
      <c r="AX43" s="70"/>
      <c r="AY43" s="70" t="s">
        <v>119</v>
      </c>
      <c r="AZ43" s="81">
        <v>1</v>
      </c>
      <c r="BA43" s="82">
        <v>120</v>
      </c>
      <c r="BB43" s="83">
        <v>46447</v>
      </c>
      <c r="BC43" s="82"/>
      <c r="BD43" s="82">
        <v>20</v>
      </c>
      <c r="BE43" s="82"/>
      <c r="BF43" s="84"/>
      <c r="BG43" s="84"/>
    </row>
    <row r="44" spans="1:59" ht="12.75" customHeight="1" x14ac:dyDescent="0.15">
      <c r="A44" s="150" t="s">
        <v>1</v>
      </c>
      <c r="B44" s="150" t="s">
        <v>298</v>
      </c>
      <c r="C44" s="150" t="s">
        <v>225</v>
      </c>
      <c r="D44" s="151" t="s">
        <v>228</v>
      </c>
      <c r="E44" s="104">
        <v>36892</v>
      </c>
      <c r="F44" s="125">
        <v>3134099011</v>
      </c>
      <c r="G44" s="57" t="e">
        <f>VLOOKUP(Member_Status!$D39,contacts!A:G,3,FALSE)</f>
        <v>#N/A</v>
      </c>
      <c r="H44" s="58" t="s">
        <v>285</v>
      </c>
      <c r="I44" s="64"/>
      <c r="J44" s="58" t="s">
        <v>96</v>
      </c>
      <c r="K44" s="64">
        <v>50</v>
      </c>
      <c r="L44" s="58" t="s">
        <v>285</v>
      </c>
      <c r="M44" s="64">
        <v>50</v>
      </c>
      <c r="N44" s="58"/>
      <c r="O44" s="64"/>
      <c r="P44" s="58" t="s">
        <v>96</v>
      </c>
      <c r="Q44" s="64">
        <v>100</v>
      </c>
      <c r="R44" s="57"/>
      <c r="S44" s="64"/>
      <c r="T44" s="57"/>
      <c r="U44" s="64"/>
      <c r="V44" s="57"/>
      <c r="W44" s="64"/>
      <c r="X44" s="57"/>
      <c r="Y44" s="64"/>
      <c r="Z44" s="58"/>
      <c r="AA44" s="64"/>
      <c r="AB44" s="57"/>
      <c r="AC44" s="64"/>
      <c r="AD44" s="57"/>
      <c r="AE44" s="64"/>
      <c r="AF44" s="70">
        <f t="shared" si="4"/>
        <v>200</v>
      </c>
      <c r="AG44" s="70">
        <f t="shared" ca="1" si="11"/>
        <v>40</v>
      </c>
      <c r="AH44" s="64">
        <v>-190</v>
      </c>
      <c r="AI44" s="64">
        <v>60</v>
      </c>
      <c r="AJ44" s="64">
        <v>160</v>
      </c>
      <c r="AK44" s="64">
        <v>-170</v>
      </c>
      <c r="AL44" s="70">
        <v>0</v>
      </c>
      <c r="AM44" s="70">
        <v>110</v>
      </c>
      <c r="AN44" s="64">
        <v>30</v>
      </c>
      <c r="AO44" s="64" t="s">
        <v>108</v>
      </c>
      <c r="AP44" s="70">
        <f t="shared" ca="1" si="6"/>
        <v>40</v>
      </c>
      <c r="AQ44" s="57" t="str">
        <f ca="1">IF((Member_Status!$AP44&lt;-240),  "No", "Yes")</f>
        <v>Yes</v>
      </c>
      <c r="AR44" s="74">
        <f ca="1">COUNTIF(Member_Status!$H40:$AE40, "Present") / (MONTH(TODAY()-23 ))</f>
        <v>0</v>
      </c>
      <c r="AS44" s="76">
        <f>'Bereavment Collection'!C41</f>
        <v>0</v>
      </c>
      <c r="AT44" s="80" t="str">
        <f t="shared" ca="1" si="7"/>
        <v>2+</v>
      </c>
      <c r="AU44" s="57" t="str">
        <f ca="1">IF( OR( (Member_Status!$AP40&lt;-240), (Member_Status!$AS40&lt;&gt;0), (Member_Status!$AR40&lt;58%) ),  "No", "Yes")</f>
        <v>No</v>
      </c>
      <c r="AV44" s="57" t="str">
        <f ca="1">IF( OR(Member_Status!$AQ44&lt;&gt;"Yes",AU44 &lt;&gt;"Yes"  ), "No", "Yes" )</f>
        <v>No</v>
      </c>
      <c r="AW44" s="57" t="str">
        <f ca="1">IF( AND(AX44&lt;149, OR(Member_Status!$AQ44&lt;&gt;"Yes", AT44&lt;2 ) ), "No", "Yes" )</f>
        <v>Yes</v>
      </c>
      <c r="AX44" s="70"/>
      <c r="AY44" s="70" t="s">
        <v>148</v>
      </c>
      <c r="AZ44" s="81">
        <v>1</v>
      </c>
      <c r="BA44" s="82">
        <v>120</v>
      </c>
      <c r="BB44" s="83">
        <v>46447</v>
      </c>
      <c r="BC44" s="82"/>
      <c r="BD44" s="82">
        <v>20</v>
      </c>
      <c r="BE44" s="82">
        <v>30</v>
      </c>
      <c r="BF44" s="84">
        <v>30</v>
      </c>
      <c r="BG44" s="84"/>
    </row>
    <row r="45" spans="1:59" ht="12.75" customHeight="1" x14ac:dyDescent="0.15">
      <c r="A45" s="57" t="s">
        <v>1</v>
      </c>
      <c r="B45" s="57" t="s">
        <v>3</v>
      </c>
      <c r="C45" s="57" t="s">
        <v>233</v>
      </c>
      <c r="D45" s="103" t="s">
        <v>234</v>
      </c>
      <c r="E45" s="104">
        <v>36892</v>
      </c>
      <c r="F45" s="125">
        <v>2486366884</v>
      </c>
      <c r="G45" s="57" t="e">
        <f>VLOOKUP(Member_Status!$D43,contacts!A:G,3,FALSE)</f>
        <v>#N/A</v>
      </c>
      <c r="H45" s="57"/>
      <c r="I45" s="64"/>
      <c r="J45" s="57"/>
      <c r="K45" s="64"/>
      <c r="L45" s="58"/>
      <c r="M45" s="64">
        <v>50</v>
      </c>
      <c r="N45" s="58"/>
      <c r="O45" s="64"/>
      <c r="P45" s="57"/>
      <c r="Q45" s="64"/>
      <c r="R45" s="57"/>
      <c r="S45" s="64"/>
      <c r="T45" s="57"/>
      <c r="U45" s="64"/>
      <c r="V45" s="57"/>
      <c r="W45" s="64"/>
      <c r="X45" s="57"/>
      <c r="Y45" s="64"/>
      <c r="Z45" s="57"/>
      <c r="AA45" s="64"/>
      <c r="AB45" s="57"/>
      <c r="AC45" s="64"/>
      <c r="AD45" s="57"/>
      <c r="AE45" s="64"/>
      <c r="AF45" s="70">
        <f t="shared" si="4"/>
        <v>50</v>
      </c>
      <c r="AG45" s="70">
        <f t="shared" ca="1" si="11"/>
        <v>-110</v>
      </c>
      <c r="AH45" s="64">
        <v>-240</v>
      </c>
      <c r="AI45" s="64">
        <v>-240</v>
      </c>
      <c r="AJ45" s="64">
        <v>-240</v>
      </c>
      <c r="AK45" s="64">
        <v>-80</v>
      </c>
      <c r="AL45" s="70">
        <v>-60</v>
      </c>
      <c r="AM45" s="70">
        <v>0</v>
      </c>
      <c r="AN45" s="70">
        <v>0</v>
      </c>
      <c r="AO45" s="64">
        <v>0</v>
      </c>
      <c r="AP45" s="70">
        <f t="shared" ca="1" si="6"/>
        <v>-970</v>
      </c>
      <c r="AQ45" s="57" t="str">
        <f ca="1">IF((Member_Status!$AP45&lt;-240),  "No", "Yes")</f>
        <v>No</v>
      </c>
      <c r="AR45" s="74">
        <f ca="1">COUNTIF(Member_Status!$H43:$AE43, "Present") / (MONTH(TODAY()-23 ))</f>
        <v>0.5714285714285714</v>
      </c>
      <c r="AS45" s="76">
        <f>'Bereavment Collection'!C42</f>
        <v>0</v>
      </c>
      <c r="AT45" s="80" t="str">
        <f t="shared" ca="1" si="7"/>
        <v>2+</v>
      </c>
      <c r="AU45" s="57" t="str">
        <f ca="1">IF( OR( (Member_Status!$AP43&lt;-240), (Member_Status!$AS43&lt;&gt;0), (Member_Status!$AR43&lt;58%) ),  "No", "Yes")</f>
        <v>No</v>
      </c>
      <c r="AV45" s="57" t="str">
        <f ca="1">IF( OR(Member_Status!$AQ45&lt;&gt;"Yes",AU45 &lt;&gt;"Yes"  ), "No", "Yes" )</f>
        <v>No</v>
      </c>
      <c r="AW45" s="57" t="str">
        <f ca="1">IF( AND(AX45&lt;149, OR(Member_Status!$AQ45&lt;&gt;"Yes", AT45&lt;2 ) ), "No", "Yes" )</f>
        <v>No</v>
      </c>
      <c r="AX45" s="70"/>
      <c r="AY45" s="70" t="s">
        <v>148</v>
      </c>
      <c r="AZ45" s="112"/>
      <c r="BA45" s="152"/>
      <c r="BB45" s="81" t="s">
        <v>108</v>
      </c>
      <c r="BC45" s="82"/>
      <c r="BD45" s="82"/>
      <c r="BE45" s="82"/>
      <c r="BF45" s="84"/>
      <c r="BG45" s="84"/>
    </row>
    <row r="46" spans="1:59" ht="12.75" customHeight="1" x14ac:dyDescent="0.15">
      <c r="A46" s="57" t="s">
        <v>1</v>
      </c>
      <c r="B46" s="57" t="s">
        <v>3</v>
      </c>
      <c r="C46" s="57" t="s">
        <v>6</v>
      </c>
      <c r="D46" s="103" t="s">
        <v>236</v>
      </c>
      <c r="E46" s="104">
        <v>36892</v>
      </c>
      <c r="F46" s="61">
        <v>2483764669</v>
      </c>
      <c r="G46" s="106" t="s">
        <v>497</v>
      </c>
      <c r="H46" s="58" t="s">
        <v>96</v>
      </c>
      <c r="I46" s="64"/>
      <c r="J46" s="58" t="s">
        <v>96</v>
      </c>
      <c r="K46" s="64">
        <v>240</v>
      </c>
      <c r="L46" s="58" t="s">
        <v>96</v>
      </c>
      <c r="M46" s="64"/>
      <c r="N46" s="58"/>
      <c r="O46" s="64"/>
      <c r="P46" s="58" t="s">
        <v>96</v>
      </c>
      <c r="Q46" s="64"/>
      <c r="R46" s="220"/>
      <c r="S46" s="64"/>
      <c r="T46" s="58"/>
      <c r="U46" s="64"/>
      <c r="V46" s="57"/>
      <c r="W46" s="64"/>
      <c r="X46" s="58"/>
      <c r="Y46" s="64"/>
      <c r="Z46" s="58"/>
      <c r="AA46" s="64"/>
      <c r="AB46" s="57"/>
      <c r="AC46" s="64"/>
      <c r="AD46" s="57"/>
      <c r="AE46" s="64"/>
      <c r="AF46" s="70">
        <f t="shared" si="4"/>
        <v>240</v>
      </c>
      <c r="AG46" s="70">
        <f t="shared" ca="1" si="11"/>
        <v>80</v>
      </c>
      <c r="AH46" s="64">
        <v>110</v>
      </c>
      <c r="AI46" s="64">
        <v>160</v>
      </c>
      <c r="AJ46" s="64">
        <v>10</v>
      </c>
      <c r="AK46" s="64">
        <v>10</v>
      </c>
      <c r="AL46" s="70">
        <v>10</v>
      </c>
      <c r="AM46" s="70">
        <v>360</v>
      </c>
      <c r="AN46" s="70">
        <v>100</v>
      </c>
      <c r="AO46" s="64" t="s">
        <v>108</v>
      </c>
      <c r="AP46" s="70">
        <f ca="1">SUM(AG46:AO46)-340</f>
        <v>500</v>
      </c>
      <c r="AQ46" s="57" t="str">
        <f ca="1">IF((Member_Status!$AP46&lt;-240),  "No", "Yes")</f>
        <v>Yes</v>
      </c>
      <c r="AR46" s="74">
        <f ca="1">COUNTIF(Member_Status!$H44:$AE44, "Present") / (MONTH(TODAY()-23 ))</f>
        <v>0.2857142857142857</v>
      </c>
      <c r="AS46" s="76">
        <f>'Bereavment Collection'!C43</f>
        <v>0</v>
      </c>
      <c r="AT46" s="80" t="str">
        <f t="shared" ca="1" si="7"/>
        <v>2+</v>
      </c>
      <c r="AU46" s="57" t="str">
        <f ca="1">IF( OR( (Member_Status!$AP44&lt;-240), (Member_Status!$AS44&lt;&gt;0), (Member_Status!$AR44&lt;58%) ),  "No", "Yes")</f>
        <v>No</v>
      </c>
      <c r="AV46" s="57" t="str">
        <f ca="1">IF( OR(Member_Status!$AQ46&lt;&gt;"Yes",AU46 &lt;&gt;"Yes"  ), "No", "Yes" )</f>
        <v>No</v>
      </c>
      <c r="AW46" s="57" t="str">
        <f ca="1">IF( AND(AX46&lt;149, OR(Member_Status!$AQ46&lt;&gt;"Yes", AT46&lt;2 ) ), "No", "Yes" )</f>
        <v>Yes</v>
      </c>
      <c r="AX46" s="70"/>
      <c r="AY46" s="70" t="s">
        <v>148</v>
      </c>
      <c r="AZ46" s="81">
        <v>2</v>
      </c>
      <c r="BA46" s="82">
        <v>240</v>
      </c>
      <c r="BB46" s="83">
        <v>46266</v>
      </c>
      <c r="BC46" s="82">
        <v>50</v>
      </c>
      <c r="BD46" s="82">
        <v>20</v>
      </c>
      <c r="BE46" s="82">
        <v>60</v>
      </c>
      <c r="BF46" s="84">
        <v>100</v>
      </c>
      <c r="BG46" s="84">
        <v>40</v>
      </c>
    </row>
    <row r="47" spans="1:59" ht="12.75" customHeight="1" x14ac:dyDescent="0.15">
      <c r="A47" s="57" t="s">
        <v>1</v>
      </c>
      <c r="B47" s="57" t="s">
        <v>3</v>
      </c>
      <c r="C47" s="57" t="s">
        <v>6</v>
      </c>
      <c r="D47" s="103" t="s">
        <v>8</v>
      </c>
      <c r="E47" s="104">
        <v>36892</v>
      </c>
      <c r="F47" s="125">
        <v>2483465357</v>
      </c>
      <c r="G47" s="57" t="str">
        <f>VLOOKUP(Member_Status!$D45,contacts!A:G,3,FALSE)</f>
        <v>mobo1777@gmail.com</v>
      </c>
      <c r="H47" s="58" t="s">
        <v>96</v>
      </c>
      <c r="I47" s="64"/>
      <c r="J47" s="58" t="s">
        <v>96</v>
      </c>
      <c r="K47" s="64"/>
      <c r="L47" s="58" t="s">
        <v>96</v>
      </c>
      <c r="M47" s="64">
        <v>240</v>
      </c>
      <c r="N47" s="58"/>
      <c r="O47" s="64"/>
      <c r="P47" s="58" t="s">
        <v>96</v>
      </c>
      <c r="Q47" s="64"/>
      <c r="R47" s="220"/>
      <c r="S47" s="64"/>
      <c r="T47" s="58"/>
      <c r="U47" s="64"/>
      <c r="V47" s="57"/>
      <c r="W47" s="64"/>
      <c r="X47" s="58"/>
      <c r="Y47" s="64"/>
      <c r="Z47" s="58"/>
      <c r="AA47" s="64"/>
      <c r="AB47" s="57"/>
      <c r="AC47" s="64"/>
      <c r="AD47" s="57"/>
      <c r="AE47" s="64"/>
      <c r="AF47" s="70">
        <f t="shared" si="4"/>
        <v>240</v>
      </c>
      <c r="AG47" s="70">
        <f t="shared" ca="1" si="11"/>
        <v>80</v>
      </c>
      <c r="AH47" s="64">
        <v>20</v>
      </c>
      <c r="AI47" s="64">
        <v>50</v>
      </c>
      <c r="AJ47" s="64">
        <v>0</v>
      </c>
      <c r="AK47" s="64">
        <v>20</v>
      </c>
      <c r="AL47" s="70">
        <v>-20</v>
      </c>
      <c r="AM47" s="70">
        <v>-5</v>
      </c>
      <c r="AN47" s="64" t="s">
        <v>108</v>
      </c>
      <c r="AO47" s="64">
        <v>-5</v>
      </c>
      <c r="AP47" s="70">
        <f t="shared" ref="AP47:AP75" ca="1" si="12">SUM(AG47:AO47)</f>
        <v>140</v>
      </c>
      <c r="AQ47" s="57" t="str">
        <f ca="1">IF((Member_Status!$AP47&lt;-240),  "No", "Yes")</f>
        <v>Yes</v>
      </c>
      <c r="AR47" s="74">
        <f ca="1">COUNTIF(Member_Status!$H45:$AE45, "Present") / (MONTH(TODAY()-23 ))</f>
        <v>0</v>
      </c>
      <c r="AS47" s="76">
        <f>'Bereavment Collection'!C44</f>
        <v>0</v>
      </c>
      <c r="AT47" s="80" t="str">
        <f t="shared" ca="1" si="7"/>
        <v>2+</v>
      </c>
      <c r="AU47" s="57" t="str">
        <f ca="1">IF( OR( (Member_Status!$AP45&lt;-240), (Member_Status!$AS45&lt;&gt;0), (Member_Status!$AR45&lt;58%) ),  "No", "Yes")</f>
        <v>No</v>
      </c>
      <c r="AV47" s="57" t="str">
        <f ca="1">IF( OR(Member_Status!$AQ47&lt;&gt;"Yes",AU47 &lt;&gt;"Yes"  ), "No", "Yes" )</f>
        <v>No</v>
      </c>
      <c r="AW47" s="57" t="str">
        <f ca="1">IF( AND(AX47&lt;149, OR(Member_Status!$AQ47&lt;&gt;"Yes", AT47&lt;2 ) ), "No", "Yes" )</f>
        <v>Yes</v>
      </c>
      <c r="AX47" s="70"/>
      <c r="AY47" s="70" t="s">
        <v>148</v>
      </c>
      <c r="AZ47" s="81">
        <v>1</v>
      </c>
      <c r="BA47" s="82">
        <v>120</v>
      </c>
      <c r="BB47" s="83">
        <v>46266</v>
      </c>
      <c r="BC47" s="82"/>
      <c r="BD47" s="82">
        <v>20</v>
      </c>
      <c r="BE47" s="82">
        <v>20</v>
      </c>
      <c r="BF47" s="154">
        <v>20</v>
      </c>
      <c r="BG47" s="154"/>
    </row>
    <row r="48" spans="1:59" ht="12.75" customHeight="1" x14ac:dyDescent="0.15">
      <c r="A48" s="57" t="s">
        <v>1</v>
      </c>
      <c r="B48" s="57" t="s">
        <v>4</v>
      </c>
      <c r="C48" s="57" t="s">
        <v>6</v>
      </c>
      <c r="D48" s="103" t="s">
        <v>10</v>
      </c>
      <c r="E48" s="144">
        <v>36892</v>
      </c>
      <c r="F48" s="125">
        <v>2485953225</v>
      </c>
      <c r="G48" s="57" t="str">
        <f>VLOOKUP(Member_Status!$D47,contacts!A:G,3,FALSE)</f>
        <v>daddyprince73@yahoo.com</v>
      </c>
      <c r="H48" s="58" t="s">
        <v>96</v>
      </c>
      <c r="I48" s="64"/>
      <c r="J48" s="58" t="s">
        <v>96</v>
      </c>
      <c r="K48" s="64"/>
      <c r="L48" s="58" t="s">
        <v>96</v>
      </c>
      <c r="M48" s="64">
        <v>240</v>
      </c>
      <c r="N48" s="58"/>
      <c r="O48" s="64"/>
      <c r="P48" s="58" t="s">
        <v>285</v>
      </c>
      <c r="Q48" s="64"/>
      <c r="R48" s="220"/>
      <c r="S48" s="64"/>
      <c r="T48" s="58"/>
      <c r="U48" s="64"/>
      <c r="V48" s="57"/>
      <c r="W48" s="64"/>
      <c r="X48" s="58"/>
      <c r="Y48" s="64"/>
      <c r="Z48" s="58"/>
      <c r="AA48" s="64"/>
      <c r="AB48" s="57"/>
      <c r="AC48" s="64"/>
      <c r="AD48" s="57"/>
      <c r="AE48" s="64"/>
      <c r="AF48" s="70">
        <f t="shared" si="4"/>
        <v>240</v>
      </c>
      <c r="AG48" s="70">
        <f t="shared" ca="1" si="11"/>
        <v>80</v>
      </c>
      <c r="AH48" s="64">
        <v>20</v>
      </c>
      <c r="AI48" s="64">
        <v>40</v>
      </c>
      <c r="AJ48" s="64">
        <v>0</v>
      </c>
      <c r="AK48" s="64">
        <v>20</v>
      </c>
      <c r="AL48" s="70">
        <v>-20</v>
      </c>
      <c r="AM48" s="70">
        <v>5</v>
      </c>
      <c r="AN48" s="64" t="s">
        <v>108</v>
      </c>
      <c r="AO48" s="64">
        <v>-5</v>
      </c>
      <c r="AP48" s="70">
        <f t="shared" ca="1" si="12"/>
        <v>140</v>
      </c>
      <c r="AQ48" s="57" t="str">
        <f ca="1">IF((Member_Status!$AP48&lt;-240),  "No", "Yes")</f>
        <v>Yes</v>
      </c>
      <c r="AR48" s="74">
        <f ca="1">COUNTIF(Member_Status!$H46:$AE46, "Present") / (MONTH(TODAY()-23 ))</f>
        <v>0.5714285714285714</v>
      </c>
      <c r="AS48" s="76">
        <f>'Bereavment Collection'!C46</f>
        <v>0</v>
      </c>
      <c r="AT48" s="80" t="str">
        <f t="shared" ca="1" si="7"/>
        <v>2+</v>
      </c>
      <c r="AU48" s="57" t="str">
        <f ca="1">IF( OR( (Member_Status!$AP46&lt;-240), (Member_Status!$AS46&lt;&gt;0), (Member_Status!$AR46&lt;58%) ),  "No", "Yes")</f>
        <v>No</v>
      </c>
      <c r="AV48" s="57" t="str">
        <f ca="1">IF( OR(Member_Status!$AQ48&lt;&gt;"Yes",AU48 &lt;&gt;"Yes"  ), "No", "Yes" )</f>
        <v>No</v>
      </c>
      <c r="AW48" s="57" t="str">
        <f ca="1">IF( AND(AX48&lt;149, OR(Member_Status!$AQ48&lt;&gt;"Yes", AT48&lt;2 ) ), "No", "Yes" )</f>
        <v>Yes</v>
      </c>
      <c r="AX48" s="70"/>
      <c r="AY48" s="70" t="s">
        <v>119</v>
      </c>
      <c r="AZ48" s="81">
        <v>1</v>
      </c>
      <c r="BA48" s="82">
        <v>120</v>
      </c>
      <c r="BB48" s="83">
        <v>46266</v>
      </c>
      <c r="BC48" s="82"/>
      <c r="BD48" s="82">
        <v>20</v>
      </c>
      <c r="BE48" s="82">
        <v>20</v>
      </c>
      <c r="BF48" s="84">
        <v>20</v>
      </c>
      <c r="BG48" s="84"/>
    </row>
    <row r="49" spans="1:59" ht="12.75" customHeight="1" x14ac:dyDescent="0.15">
      <c r="A49" s="155" t="s">
        <v>1</v>
      </c>
      <c r="B49" s="155" t="s">
        <v>3</v>
      </c>
      <c r="C49" s="155" t="s">
        <v>6</v>
      </c>
      <c r="D49" s="156" t="s">
        <v>9</v>
      </c>
      <c r="E49" s="157">
        <v>36892</v>
      </c>
      <c r="F49" s="221">
        <v>2486671660</v>
      </c>
      <c r="G49" s="155" t="str">
        <f>VLOOKUP(Member_Status!$D44,contacts!A:G,3,FALSE)</f>
        <v>toben4@yahoo.com</v>
      </c>
      <c r="H49" s="160" t="s">
        <v>96</v>
      </c>
      <c r="I49" s="159"/>
      <c r="J49" s="160" t="s">
        <v>96</v>
      </c>
      <c r="K49" s="159"/>
      <c r="L49" s="160" t="s">
        <v>96</v>
      </c>
      <c r="M49" s="159">
        <v>240</v>
      </c>
      <c r="N49" s="160"/>
      <c r="O49" s="159"/>
      <c r="P49" s="160" t="s">
        <v>96</v>
      </c>
      <c r="Q49" s="159"/>
      <c r="R49" s="222"/>
      <c r="S49" s="159"/>
      <c r="T49" s="160"/>
      <c r="U49" s="159"/>
      <c r="V49" s="155"/>
      <c r="W49" s="159"/>
      <c r="X49" s="160"/>
      <c r="Y49" s="159"/>
      <c r="Z49" s="160"/>
      <c r="AA49" s="159"/>
      <c r="AB49" s="155"/>
      <c r="AC49" s="159"/>
      <c r="AD49" s="155"/>
      <c r="AE49" s="159"/>
      <c r="AF49" s="70">
        <f t="shared" si="4"/>
        <v>240</v>
      </c>
      <c r="AG49" s="161">
        <f ca="1">(AF49 - (10* (MONTH(TODAY()) )))</f>
        <v>160</v>
      </c>
      <c r="AH49" s="159">
        <v>80</v>
      </c>
      <c r="AI49" s="159">
        <v>-20</v>
      </c>
      <c r="AJ49" s="159">
        <v>0</v>
      </c>
      <c r="AK49" s="159">
        <v>-120</v>
      </c>
      <c r="AL49" s="161">
        <v>-20</v>
      </c>
      <c r="AM49" s="161">
        <v>220</v>
      </c>
      <c r="AN49" s="159" t="s">
        <v>108</v>
      </c>
      <c r="AO49" s="159" t="s">
        <v>108</v>
      </c>
      <c r="AP49" s="161">
        <f t="shared" ca="1" si="12"/>
        <v>300</v>
      </c>
      <c r="AQ49" s="155" t="str">
        <f ca="1">IF((Member_Status!$AP49&lt;-120),  "No", "Yes")</f>
        <v>Yes</v>
      </c>
      <c r="AR49" s="162">
        <f ca="1">COUNTIF(Member_Status!$H47:$AE47, "Present") / (MONTH(TODAY()-23 ))</f>
        <v>0.5714285714285714</v>
      </c>
      <c r="AS49" s="163">
        <f>'Bereavment Collection'!C45</f>
        <v>0</v>
      </c>
      <c r="AT49" s="164" t="str">
        <f t="shared" ca="1" si="7"/>
        <v>2+</v>
      </c>
      <c r="AU49" s="155" t="str">
        <f ca="1">IF( OR( (Member_Status!$AP47&lt;-240), (Member_Status!$AS47&lt;&gt;0), (Member_Status!$AR47&lt;58%) ),  "No", "Yes")</f>
        <v>No</v>
      </c>
      <c r="AV49" s="155" t="str">
        <f ca="1">IF( OR(Member_Status!$AQ49&lt;&gt;"Yes",AU49 &lt;&gt;"Yes"  ), "No", "Yes" )</f>
        <v>No</v>
      </c>
      <c r="AW49" s="155" t="str">
        <f ca="1">IF( AND(AX49&lt;149, OR(Member_Status!$AQ49&lt;&gt;"Yes", AT49&lt;2 ) ), "No", "Yes" )</f>
        <v>Yes</v>
      </c>
      <c r="AX49" s="161"/>
      <c r="AY49" s="161" t="s">
        <v>148</v>
      </c>
      <c r="AZ49" s="167">
        <v>1</v>
      </c>
      <c r="BA49" s="168">
        <v>120</v>
      </c>
      <c r="BB49" s="167" t="s">
        <v>297</v>
      </c>
      <c r="BC49" s="168" t="s">
        <v>108</v>
      </c>
      <c r="BD49" s="168">
        <v>20</v>
      </c>
      <c r="BE49" s="82">
        <v>50</v>
      </c>
      <c r="BF49" s="154">
        <v>50</v>
      </c>
      <c r="BG49" s="154"/>
    </row>
    <row r="50" spans="1:59" ht="12.75" customHeight="1" x14ac:dyDescent="0.15">
      <c r="A50" s="57" t="s">
        <v>1</v>
      </c>
      <c r="B50" s="57" t="s">
        <v>3</v>
      </c>
      <c r="C50" s="57" t="s">
        <v>237</v>
      </c>
      <c r="D50" s="103" t="s">
        <v>238</v>
      </c>
      <c r="E50" s="104">
        <v>36892</v>
      </c>
      <c r="F50" s="125">
        <v>5862223482</v>
      </c>
      <c r="G50" s="57" t="str">
        <f>VLOOKUP(Member_Status!$D49,contacts!A:G,3,FALSE)</f>
        <v>goddeyok@gmail.com</v>
      </c>
      <c r="H50" s="57"/>
      <c r="I50" s="64"/>
      <c r="J50" s="57"/>
      <c r="K50" s="64"/>
      <c r="L50" s="58"/>
      <c r="M50" s="64"/>
      <c r="N50" s="58"/>
      <c r="O50" s="64"/>
      <c r="P50" s="57"/>
      <c r="Q50" s="64"/>
      <c r="R50" s="220"/>
      <c r="S50" s="64"/>
      <c r="T50" s="57"/>
      <c r="U50" s="64"/>
      <c r="V50" s="57"/>
      <c r="W50" s="64"/>
      <c r="X50" s="57"/>
      <c r="Y50" s="64"/>
      <c r="Z50" s="57"/>
      <c r="AA50" s="64"/>
      <c r="AB50" s="57"/>
      <c r="AC50" s="64"/>
      <c r="AD50" s="57"/>
      <c r="AE50" s="64"/>
      <c r="AF50" s="70">
        <f t="shared" si="4"/>
        <v>0</v>
      </c>
      <c r="AG50" s="70">
        <f ca="1">(AF50 - (20* (MONTH(TODAY()) )))</f>
        <v>-160</v>
      </c>
      <c r="AH50" s="64">
        <v>-240</v>
      </c>
      <c r="AI50" s="64">
        <v>-240</v>
      </c>
      <c r="AJ50" s="64">
        <v>-240</v>
      </c>
      <c r="AK50" s="64">
        <v>120</v>
      </c>
      <c r="AL50" s="70">
        <v>0</v>
      </c>
      <c r="AM50" s="70">
        <v>0</v>
      </c>
      <c r="AN50" s="64" t="s">
        <v>108</v>
      </c>
      <c r="AO50" s="64">
        <v>0</v>
      </c>
      <c r="AP50" s="70">
        <f t="shared" ca="1" si="12"/>
        <v>-760</v>
      </c>
      <c r="AQ50" s="57" t="str">
        <f ca="1">IF((Member_Status!$AP50&lt;-240),  "No", "Yes")</f>
        <v>No</v>
      </c>
      <c r="AR50" s="74">
        <f ca="1">COUNTIF(Member_Status!$H48:$AE48, "Present") / (MONTH(TODAY()-23 ))</f>
        <v>0.42857142857142855</v>
      </c>
      <c r="AS50" s="76">
        <f>'Bereavment Collection'!C47</f>
        <v>-50</v>
      </c>
      <c r="AT50" s="80" t="str">
        <f t="shared" ca="1" si="7"/>
        <v>2+</v>
      </c>
      <c r="AU50" s="57" t="str">
        <f ca="1">IF( OR( (Member_Status!$AP48&lt;-240), (Member_Status!$AS48&lt;&gt;0), (Member_Status!$AR48&lt;58%) ),  "No", "Yes")</f>
        <v>No</v>
      </c>
      <c r="AV50" s="57" t="str">
        <f ca="1">IF( OR(Member_Status!$AQ50&lt;&gt;"Yes",AU50 &lt;&gt;"Yes"  ), "No", "Yes" )</f>
        <v>No</v>
      </c>
      <c r="AW50" s="57" t="str">
        <f ca="1">IF( AND(AX50&lt;149, OR(Member_Status!$AQ50&lt;&gt;"Yes", AT50&lt;2 ) ), "No", "Yes" )</f>
        <v>No</v>
      </c>
      <c r="AX50" s="70"/>
      <c r="AY50" s="70" t="s">
        <v>148</v>
      </c>
      <c r="AZ50" s="112"/>
      <c r="BA50" s="152"/>
      <c r="BB50" s="81" t="s">
        <v>108</v>
      </c>
      <c r="BC50" s="82"/>
      <c r="BD50" s="82"/>
      <c r="BE50" s="82"/>
      <c r="BF50" s="84"/>
      <c r="BG50" s="84"/>
    </row>
    <row r="51" spans="1:59" ht="12.75" customHeight="1" x14ac:dyDescent="0.15">
      <c r="A51" s="155" t="s">
        <v>1</v>
      </c>
      <c r="B51" s="155" t="s">
        <v>4</v>
      </c>
      <c r="C51" s="155" t="s">
        <v>239</v>
      </c>
      <c r="D51" s="156" t="s">
        <v>240</v>
      </c>
      <c r="E51" s="157">
        <v>44378</v>
      </c>
      <c r="F51" s="158" t="s">
        <v>498</v>
      </c>
      <c r="G51" s="155" t="str">
        <f>VLOOKUP(Member_Status!$D48,contacts!A:G,3,FALSE)</f>
        <v>mail2vokeus@yahoo.com</v>
      </c>
      <c r="H51" s="160"/>
      <c r="I51" s="159"/>
      <c r="J51" s="160" t="s">
        <v>96</v>
      </c>
      <c r="K51" s="159"/>
      <c r="L51" s="160" t="s">
        <v>96</v>
      </c>
      <c r="M51" s="159"/>
      <c r="N51" s="160"/>
      <c r="O51" s="159"/>
      <c r="P51" s="160" t="s">
        <v>96</v>
      </c>
      <c r="Q51" s="159"/>
      <c r="R51" s="222"/>
      <c r="S51" s="159"/>
      <c r="T51" s="155"/>
      <c r="U51" s="159"/>
      <c r="V51" s="160"/>
      <c r="W51" s="159"/>
      <c r="X51" s="160"/>
      <c r="Y51" s="159"/>
      <c r="Z51" s="160"/>
      <c r="AA51" s="159"/>
      <c r="AB51" s="155"/>
      <c r="AC51" s="159"/>
      <c r="AD51" s="160"/>
      <c r="AE51" s="159"/>
      <c r="AF51" s="70">
        <f t="shared" si="4"/>
        <v>0</v>
      </c>
      <c r="AG51" s="161">
        <f ca="1">(AF51 - (10* (MONTH(TODAY()) )))</f>
        <v>-80</v>
      </c>
      <c r="AH51" s="159">
        <v>-10</v>
      </c>
      <c r="AI51" s="159">
        <v>-20</v>
      </c>
      <c r="AJ51" s="159">
        <v>10</v>
      </c>
      <c r="AK51" s="159">
        <v>0</v>
      </c>
      <c r="AL51" s="161">
        <v>-40</v>
      </c>
      <c r="AM51" s="161" t="s">
        <v>108</v>
      </c>
      <c r="AN51" s="161" t="s">
        <v>108</v>
      </c>
      <c r="AO51" s="159" t="s">
        <v>108</v>
      </c>
      <c r="AP51" s="161">
        <f t="shared" ca="1" si="12"/>
        <v>-140</v>
      </c>
      <c r="AQ51" s="155" t="str">
        <f ca="1">IF((Member_Status!$AP51&lt;-120),  "No", "Yes")</f>
        <v>No</v>
      </c>
      <c r="AR51" s="162">
        <f ca="1">COUNTIF(Member_Status!$H49:$AE49, "Present") / (MONTH(TODAY()-23 ))</f>
        <v>0.5714285714285714</v>
      </c>
      <c r="AS51" s="163">
        <f>'Bereavment Collection'!C48</f>
        <v>-150</v>
      </c>
      <c r="AT51" s="164" t="str">
        <f t="shared" ca="1" si="7"/>
        <v>2+</v>
      </c>
      <c r="AU51" s="155" t="str">
        <f ca="1">IF( OR( (Member_Status!$AP49&lt;-240), (Member_Status!$AS49&lt;&gt;0), (Member_Status!$AR49&lt;58%) ),  "No", "Yes")</f>
        <v>No</v>
      </c>
      <c r="AV51" s="155" t="str">
        <f ca="1">IF( OR(Member_Status!$AQ51&lt;&gt;"Yes",AU51 &lt;&gt;"Yes"  ), "No", "Yes" )</f>
        <v>No</v>
      </c>
      <c r="AW51" s="155" t="str">
        <f ca="1">IF( AND(AX51&lt;149, OR(Member_Status!$AQ51&lt;&gt;"Yes", AT51&lt;2 ) ), "No", "Yes" )</f>
        <v>No</v>
      </c>
      <c r="AX51" s="161"/>
      <c r="AY51" s="161" t="s">
        <v>119</v>
      </c>
      <c r="AZ51" s="167">
        <v>1</v>
      </c>
      <c r="BA51" s="168">
        <v>120</v>
      </c>
      <c r="BB51" s="167" t="s">
        <v>297</v>
      </c>
      <c r="BC51" s="168"/>
      <c r="BD51" s="168"/>
      <c r="BE51" s="82"/>
      <c r="BF51" s="154"/>
      <c r="BG51" s="154"/>
    </row>
    <row r="52" spans="1:59" ht="12.75" customHeight="1" x14ac:dyDescent="0.15">
      <c r="A52" s="57" t="s">
        <v>1</v>
      </c>
      <c r="B52" s="58" t="s">
        <v>3</v>
      </c>
      <c r="C52" s="58" t="s">
        <v>241</v>
      </c>
      <c r="D52" s="59" t="s">
        <v>242</v>
      </c>
      <c r="E52" s="87">
        <v>36892</v>
      </c>
      <c r="F52" s="61">
        <v>8323878068</v>
      </c>
      <c r="G52" s="58" t="str">
        <f>VLOOKUP(Member_Status!$D50,contacts!A:G,3,FALSE)</f>
        <v>b_okere@yahoo.com</v>
      </c>
      <c r="H52" s="57"/>
      <c r="I52" s="64"/>
      <c r="J52" s="57"/>
      <c r="K52" s="64"/>
      <c r="L52" s="58" t="s">
        <v>96</v>
      </c>
      <c r="M52" s="64">
        <v>240</v>
      </c>
      <c r="N52" s="57"/>
      <c r="O52" s="64"/>
      <c r="P52" s="58" t="s">
        <v>96</v>
      </c>
      <c r="Q52" s="64"/>
      <c r="R52" s="220"/>
      <c r="S52" s="64"/>
      <c r="T52" s="57"/>
      <c r="U52" s="64"/>
      <c r="V52" s="57"/>
      <c r="W52" s="64"/>
      <c r="X52" s="57"/>
      <c r="Y52" s="64"/>
      <c r="Z52" s="57"/>
      <c r="AA52" s="64"/>
      <c r="AB52" s="57"/>
      <c r="AC52" s="64"/>
      <c r="AD52" s="57"/>
      <c r="AE52" s="64"/>
      <c r="AF52" s="70">
        <f t="shared" si="4"/>
        <v>240</v>
      </c>
      <c r="AG52" s="70">
        <f t="shared" ref="AG52:AG55" ca="1" si="13">(AF52 - (20* (MONTH(TODAY()) )))</f>
        <v>80</v>
      </c>
      <c r="AH52" s="64">
        <v>-90</v>
      </c>
      <c r="AI52" s="64">
        <v>60</v>
      </c>
      <c r="AJ52" s="64">
        <v>-240</v>
      </c>
      <c r="AK52" s="64">
        <v>-140</v>
      </c>
      <c r="AL52" s="70">
        <v>-120</v>
      </c>
      <c r="AM52" s="70">
        <v>90</v>
      </c>
      <c r="AN52" s="70">
        <f t="shared" ref="AN52:AN53" si="14">160-160</f>
        <v>0</v>
      </c>
      <c r="AO52" s="64">
        <v>70</v>
      </c>
      <c r="AP52" s="70">
        <f t="shared" ca="1" si="12"/>
        <v>-290</v>
      </c>
      <c r="AQ52" s="57" t="str">
        <f ca="1">IF((Member_Status!$AP52&lt;-240),  "No", "Yes")</f>
        <v>No</v>
      </c>
      <c r="AR52" s="74">
        <f ca="1">COUNTIF(Member_Status!$H50:$AE50, "Present") / (MONTH(TODAY()-23 ))</f>
        <v>0</v>
      </c>
      <c r="AS52" s="76">
        <f>'Bereavment Collection'!C49</f>
        <v>-200</v>
      </c>
      <c r="AT52" s="80" t="str">
        <f t="shared" ca="1" si="7"/>
        <v>2+</v>
      </c>
      <c r="AU52" s="57" t="str">
        <f ca="1">IF( OR( (Member_Status!$AP50&lt;-240), (Member_Status!$AS50&lt;&gt;0), (Member_Status!$AR50&lt;58%) ),  "No", "Yes")</f>
        <v>No</v>
      </c>
      <c r="AV52" s="57" t="str">
        <f ca="1">IF( OR(Member_Status!$AQ52&lt;&gt;"Yes",AU52 &lt;&gt;"Yes"  ), "No", "Yes" )</f>
        <v>No</v>
      </c>
      <c r="AW52" s="57" t="str">
        <f ca="1">IF( AND(AX52&lt;149, OR(Member_Status!$AQ52&lt;&gt;"Yes", AT52&lt;2 ) ), "No", "Yes" )</f>
        <v>No</v>
      </c>
      <c r="AX52" s="70"/>
      <c r="AY52" s="70" t="s">
        <v>148</v>
      </c>
      <c r="AZ52" s="81">
        <v>1</v>
      </c>
      <c r="BA52" s="82">
        <v>120</v>
      </c>
      <c r="BB52" s="83">
        <v>46204</v>
      </c>
      <c r="BC52" s="82"/>
      <c r="BD52" s="82"/>
      <c r="BE52" s="82"/>
      <c r="BF52" s="84"/>
      <c r="BG52" s="84"/>
    </row>
    <row r="53" spans="1:59" ht="12" customHeight="1" x14ac:dyDescent="0.15">
      <c r="A53" s="57" t="s">
        <v>1</v>
      </c>
      <c r="B53" s="57" t="s">
        <v>4</v>
      </c>
      <c r="C53" s="58" t="s">
        <v>241</v>
      </c>
      <c r="D53" s="59" t="s">
        <v>243</v>
      </c>
      <c r="E53" s="87">
        <v>36892</v>
      </c>
      <c r="F53" s="61">
        <v>7133677639</v>
      </c>
      <c r="G53" s="58" t="e">
        <f>VLOOKUP(Member_Status!$D51,contacts!A:G,3,FALSE)</f>
        <v>#N/A</v>
      </c>
      <c r="H53" s="57"/>
      <c r="I53" s="64"/>
      <c r="J53" s="57"/>
      <c r="K53" s="64"/>
      <c r="L53" s="58" t="s">
        <v>96</v>
      </c>
      <c r="M53" s="64">
        <v>240</v>
      </c>
      <c r="N53" s="57"/>
      <c r="O53" s="64"/>
      <c r="P53" s="57"/>
      <c r="Q53" s="64"/>
      <c r="R53" s="220"/>
      <c r="S53" s="64"/>
      <c r="T53" s="57"/>
      <c r="U53" s="64"/>
      <c r="V53" s="57"/>
      <c r="W53" s="64"/>
      <c r="X53" s="57"/>
      <c r="Y53" s="64"/>
      <c r="Z53" s="57"/>
      <c r="AA53" s="64"/>
      <c r="AB53" s="57"/>
      <c r="AC53" s="64"/>
      <c r="AD53" s="57"/>
      <c r="AE53" s="64"/>
      <c r="AF53" s="70">
        <f t="shared" si="4"/>
        <v>240</v>
      </c>
      <c r="AG53" s="70">
        <f t="shared" ca="1" si="13"/>
        <v>80</v>
      </c>
      <c r="AH53" s="64">
        <v>-90</v>
      </c>
      <c r="AI53" s="64">
        <v>60</v>
      </c>
      <c r="AJ53" s="64">
        <v>-240</v>
      </c>
      <c r="AK53" s="64">
        <v>-140</v>
      </c>
      <c r="AL53" s="70">
        <v>-120</v>
      </c>
      <c r="AM53" s="70">
        <v>90</v>
      </c>
      <c r="AN53" s="70">
        <f t="shared" si="14"/>
        <v>0</v>
      </c>
      <c r="AO53" s="64">
        <v>70</v>
      </c>
      <c r="AP53" s="70">
        <f t="shared" ca="1" si="12"/>
        <v>-290</v>
      </c>
      <c r="AQ53" s="57" t="str">
        <f ca="1">IF((Member_Status!$AP53&lt;-240),  "No", "Yes")</f>
        <v>No</v>
      </c>
      <c r="AR53" s="74">
        <f ca="1">COUNTIF(Member_Status!$H51:$AE51, "Present") / (MONTH(TODAY()-23 ))</f>
        <v>0.42857142857142855</v>
      </c>
      <c r="AS53" s="76">
        <f>'Bereavment Collection'!C50</f>
        <v>-150</v>
      </c>
      <c r="AT53" s="80" t="str">
        <f t="shared" ca="1" si="7"/>
        <v>2+</v>
      </c>
      <c r="AU53" s="57" t="str">
        <f ca="1">IF( OR( (Member_Status!$AP51&lt;-240), (Member_Status!$AS51&lt;&gt;0), (Member_Status!$AR51&lt;58%) ),  "No", "Yes")</f>
        <v>No</v>
      </c>
      <c r="AV53" s="57" t="str">
        <f ca="1">IF( OR(Member_Status!$AQ53&lt;&gt;"Yes",AU53 &lt;&gt;"Yes"  ), "No", "Yes" )</f>
        <v>No</v>
      </c>
      <c r="AW53" s="57" t="str">
        <f ca="1">IF( AND(AX53&lt;149, OR(Member_Status!$AQ53&lt;&gt;"Yes", AT53&lt;2 ) ), "No", "Yes" )</f>
        <v>No</v>
      </c>
      <c r="AX53" s="70"/>
      <c r="AY53" s="70" t="s">
        <v>119</v>
      </c>
      <c r="AZ53" s="81">
        <v>1</v>
      </c>
      <c r="BA53" s="82">
        <v>120</v>
      </c>
      <c r="BB53" s="83">
        <v>46204</v>
      </c>
      <c r="BC53" s="82"/>
      <c r="BD53" s="82"/>
      <c r="BE53" s="82"/>
      <c r="BF53" s="84"/>
      <c r="BG53" s="84"/>
    </row>
    <row r="54" spans="1:59" ht="12" customHeight="1" x14ac:dyDescent="0.15">
      <c r="A54" s="147" t="s">
        <v>1</v>
      </c>
      <c r="B54" s="147" t="s">
        <v>4</v>
      </c>
      <c r="C54" s="147" t="s">
        <v>247</v>
      </c>
      <c r="D54" s="148" t="s">
        <v>248</v>
      </c>
      <c r="E54" s="87">
        <v>43160</v>
      </c>
      <c r="F54" s="61">
        <v>5173317291</v>
      </c>
      <c r="G54" s="57" t="e">
        <f>VLOOKUP(Member_Status!$D53,contacts!A:G,3,FALSE)</f>
        <v>#N/A</v>
      </c>
      <c r="H54" s="147" t="s">
        <v>96</v>
      </c>
      <c r="I54" s="64"/>
      <c r="J54" s="147" t="s">
        <v>96</v>
      </c>
      <c r="K54" s="64"/>
      <c r="L54" s="57"/>
      <c r="M54" s="64"/>
      <c r="N54" s="147"/>
      <c r="O54" s="64"/>
      <c r="P54" s="206"/>
      <c r="Q54" s="64"/>
      <c r="R54" s="220"/>
      <c r="S54" s="64"/>
      <c r="T54" s="58"/>
      <c r="U54" s="64"/>
      <c r="V54" s="57"/>
      <c r="W54" s="64"/>
      <c r="X54" s="57"/>
      <c r="Y54" s="64"/>
      <c r="Z54" s="206"/>
      <c r="AA54" s="64"/>
      <c r="AB54" s="207"/>
      <c r="AC54" s="64"/>
      <c r="AD54" s="57"/>
      <c r="AE54" s="64"/>
      <c r="AF54" s="70">
        <f t="shared" si="4"/>
        <v>0</v>
      </c>
      <c r="AG54" s="70">
        <f t="shared" ca="1" si="13"/>
        <v>-160</v>
      </c>
      <c r="AH54" s="64">
        <v>40</v>
      </c>
      <c r="AI54" s="64">
        <v>0</v>
      </c>
      <c r="AJ54" s="64">
        <v>-10</v>
      </c>
      <c r="AK54" s="64">
        <v>80</v>
      </c>
      <c r="AL54" s="70">
        <v>50</v>
      </c>
      <c r="AM54" s="70">
        <v>0</v>
      </c>
      <c r="AN54" s="64" t="s">
        <v>108</v>
      </c>
      <c r="AO54" s="64" t="s">
        <v>108</v>
      </c>
      <c r="AP54" s="70">
        <f t="shared" ca="1" si="12"/>
        <v>0</v>
      </c>
      <c r="AQ54" s="57" t="str">
        <f ca="1">IF((Member_Status!$AP54&lt;-240),  "No", "Yes")</f>
        <v>Yes</v>
      </c>
      <c r="AR54" s="74">
        <f ca="1">COUNTIF(Member_Status!$H52:$AE52, "Present") / (MONTH(TODAY()-23 ))</f>
        <v>0.2857142857142857</v>
      </c>
      <c r="AS54" s="76">
        <f>'Bereavment Collection'!C51</f>
        <v>0</v>
      </c>
      <c r="AT54" s="80" t="str">
        <f t="shared" ca="1" si="7"/>
        <v>2+</v>
      </c>
      <c r="AU54" s="57" t="str">
        <f ca="1">IF( OR( (Member_Status!$AP52&lt;-240), (Member_Status!$AS52&lt;&gt;0), (Member_Status!$AR52&lt;58%) ),  "No", "Yes")</f>
        <v>No</v>
      </c>
      <c r="AV54" s="57" t="str">
        <f ca="1">IF( OR(Member_Status!$AQ54&lt;&gt;"Yes",AU54 &lt;&gt;"Yes"  ), "No", "Yes" )</f>
        <v>No</v>
      </c>
      <c r="AW54" s="57" t="str">
        <f ca="1">IF( AND(AX54&lt;149, OR(Member_Status!$AQ54&lt;&gt;"Yes", AT54&lt;2 ) ), "No", "Yes" )</f>
        <v>Yes</v>
      </c>
      <c r="AX54" s="208"/>
      <c r="AY54" s="208" t="s">
        <v>119</v>
      </c>
      <c r="AZ54" s="196">
        <v>1</v>
      </c>
      <c r="BA54" s="82">
        <v>120</v>
      </c>
      <c r="BB54" s="83">
        <v>46204</v>
      </c>
      <c r="BC54" s="82"/>
      <c r="BD54" s="82"/>
      <c r="BE54" s="82"/>
      <c r="BF54" s="154"/>
      <c r="BG54" s="154"/>
    </row>
    <row r="55" spans="1:59" ht="12.75" customHeight="1" x14ac:dyDescent="0.15">
      <c r="A55" s="147" t="s">
        <v>1</v>
      </c>
      <c r="B55" s="147" t="s">
        <v>3</v>
      </c>
      <c r="C55" s="147" t="s">
        <v>247</v>
      </c>
      <c r="D55" s="148" t="s">
        <v>281</v>
      </c>
      <c r="E55" s="87">
        <v>43160</v>
      </c>
      <c r="F55" s="61">
        <v>5172750770</v>
      </c>
      <c r="G55" s="57" t="str">
        <f>VLOOKUP(Member_Status!$D52,contacts!A:G,3,FALSE)</f>
        <v>oleitaj@gmail.com</v>
      </c>
      <c r="H55" s="147" t="s">
        <v>96</v>
      </c>
      <c r="I55" s="64"/>
      <c r="J55" s="149"/>
      <c r="K55" s="64"/>
      <c r="L55" s="57"/>
      <c r="M55" s="64"/>
      <c r="N55" s="147"/>
      <c r="O55" s="64"/>
      <c r="P55" s="58"/>
      <c r="Q55" s="64"/>
      <c r="R55" s="220"/>
      <c r="S55" s="64"/>
      <c r="T55" s="58"/>
      <c r="U55" s="64"/>
      <c r="V55" s="57"/>
      <c r="W55" s="64"/>
      <c r="X55" s="57"/>
      <c r="Y55" s="64"/>
      <c r="Z55" s="58"/>
      <c r="AA55" s="64"/>
      <c r="AB55" s="57"/>
      <c r="AC55" s="64"/>
      <c r="AD55" s="57"/>
      <c r="AE55" s="64"/>
      <c r="AF55" s="70">
        <f t="shared" si="4"/>
        <v>0</v>
      </c>
      <c r="AG55" s="70">
        <f t="shared" ca="1" si="13"/>
        <v>-160</v>
      </c>
      <c r="AH55" s="64">
        <v>40</v>
      </c>
      <c r="AI55" s="64">
        <v>0</v>
      </c>
      <c r="AJ55" s="64">
        <v>-10</v>
      </c>
      <c r="AK55" s="64">
        <v>90</v>
      </c>
      <c r="AL55" s="70">
        <v>40</v>
      </c>
      <c r="AM55" s="70">
        <v>0</v>
      </c>
      <c r="AN55" s="64" t="s">
        <v>108</v>
      </c>
      <c r="AO55" s="64" t="s">
        <v>108</v>
      </c>
      <c r="AP55" s="70">
        <f t="shared" ca="1" si="12"/>
        <v>0</v>
      </c>
      <c r="AQ55" s="57" t="str">
        <f ca="1">IF((Member_Status!$AP55&lt;-240),  "No", "Yes")</f>
        <v>Yes</v>
      </c>
      <c r="AR55" s="74">
        <f ca="1">COUNTIF(Member_Status!$H53:$AE53, "Present") / (MONTH(TODAY()-23 ))</f>
        <v>0.14285714285714285</v>
      </c>
      <c r="AS55" s="76">
        <f>'Bereavment Collection'!C52</f>
        <v>0</v>
      </c>
      <c r="AT55" s="80" t="str">
        <f t="shared" ca="1" si="7"/>
        <v>2+</v>
      </c>
      <c r="AU55" s="57" t="str">
        <f ca="1">IF( OR( (Member_Status!$AP53&lt;-240), (Member_Status!$AS53&lt;&gt;0), (Member_Status!$AR53&lt;58%) ),  "No", "Yes")</f>
        <v>No</v>
      </c>
      <c r="AV55" s="57" t="str">
        <f ca="1">IF( OR(Member_Status!$AQ55&lt;&gt;"Yes",AU55 &lt;&gt;"Yes"  ), "No", "Yes" )</f>
        <v>No</v>
      </c>
      <c r="AW55" s="57" t="str">
        <f ca="1">IF( AND(AX55&lt;149, OR(Member_Status!$AQ55&lt;&gt;"Yes", AT55&lt;2 ) ), "No", "Yes" )</f>
        <v>Yes</v>
      </c>
      <c r="AX55" s="70"/>
      <c r="AY55" s="70" t="s">
        <v>148</v>
      </c>
      <c r="AZ55" s="81">
        <v>1</v>
      </c>
      <c r="BA55" s="82">
        <v>120</v>
      </c>
      <c r="BB55" s="83">
        <v>46204</v>
      </c>
      <c r="BC55" s="82"/>
      <c r="BD55" s="82"/>
      <c r="BE55" s="82"/>
      <c r="BF55" s="84"/>
      <c r="BG55" s="84"/>
    </row>
    <row r="56" spans="1:59" ht="12.75" customHeight="1" x14ac:dyDescent="0.15">
      <c r="A56" s="179" t="s">
        <v>1</v>
      </c>
      <c r="B56" s="179" t="s">
        <v>3</v>
      </c>
      <c r="C56" s="179" t="s">
        <v>180</v>
      </c>
      <c r="D56" s="209" t="s">
        <v>179</v>
      </c>
      <c r="E56" s="210">
        <v>36892</v>
      </c>
      <c r="F56" s="221">
        <v>2488926183</v>
      </c>
      <c r="G56" s="155" t="str">
        <f>VLOOKUP(Member_Status!$D54,contacts!A:G,3,FALSE)</f>
        <v>eguonochantex@gmail.com</v>
      </c>
      <c r="H56" s="212"/>
      <c r="I56" s="159"/>
      <c r="J56" s="155"/>
      <c r="K56" s="159"/>
      <c r="L56" s="160" t="s">
        <v>96</v>
      </c>
      <c r="M56" s="159"/>
      <c r="N56" s="178"/>
      <c r="O56" s="159"/>
      <c r="P56" s="178"/>
      <c r="Q56" s="159"/>
      <c r="R56" s="222"/>
      <c r="S56" s="159"/>
      <c r="T56" s="212"/>
      <c r="U56" s="159"/>
      <c r="V56" s="57"/>
      <c r="W56" s="159"/>
      <c r="X56" s="155"/>
      <c r="Y56" s="159"/>
      <c r="Z56" s="212"/>
      <c r="AA56" s="159"/>
      <c r="AB56" s="212"/>
      <c r="AC56" s="159"/>
      <c r="AD56" s="57"/>
      <c r="AE56" s="159"/>
      <c r="AF56" s="70">
        <f t="shared" si="4"/>
        <v>0</v>
      </c>
      <c r="AG56" s="161">
        <f ca="1">(SUM(H56:AE56) - (10* (MONTH(TODAY()) )))</f>
        <v>-80</v>
      </c>
      <c r="AH56" s="159">
        <v>-120</v>
      </c>
      <c r="AI56" s="159">
        <v>-20</v>
      </c>
      <c r="AJ56" s="159">
        <v>0</v>
      </c>
      <c r="AK56" s="159">
        <v>10</v>
      </c>
      <c r="AL56" s="161">
        <v>0</v>
      </c>
      <c r="AM56" s="161">
        <v>0</v>
      </c>
      <c r="AN56" s="161">
        <v>0</v>
      </c>
      <c r="AO56" s="159">
        <v>0</v>
      </c>
      <c r="AP56" s="161">
        <f t="shared" ca="1" si="12"/>
        <v>-210</v>
      </c>
      <c r="AQ56" s="155" t="str">
        <f ca="1">IF((Member_Status!$AP56&lt;-120),  "No", "Yes")</f>
        <v>No</v>
      </c>
      <c r="AR56" s="162">
        <f ca="1">COUNTIF(Member_Status!$H54:$AE54, "Present") / (MONTH(TODAY()-23 ))</f>
        <v>0.2857142857142857</v>
      </c>
      <c r="AS56" s="163">
        <f>'Bereavment Collection'!C53</f>
        <v>0</v>
      </c>
      <c r="AT56" s="164" t="str">
        <f t="shared" ca="1" si="7"/>
        <v>2+</v>
      </c>
      <c r="AU56" s="155" t="str">
        <f ca="1">IF( OR( (Member_Status!$AP54&lt;-240), (Member_Status!$AS54&lt;&gt;0), (Member_Status!$AR54&lt;58%) ),  "No", "Yes")</f>
        <v>No</v>
      </c>
      <c r="AV56" s="155" t="str">
        <f ca="1">IF( OR(Member_Status!$AQ56&lt;&gt;"Yes",AU56 &lt;&gt;"Yes"  ), "No", "Yes" )</f>
        <v>No</v>
      </c>
      <c r="AW56" s="155" t="str">
        <f ca="1">IF( AND(AX56&lt;149, OR(Member_Status!$AQ56&lt;&gt;"Yes", AT56&lt;2 ) ), "No", "Yes" )</f>
        <v>No</v>
      </c>
      <c r="AX56" s="161"/>
      <c r="AY56" s="161" t="s">
        <v>148</v>
      </c>
      <c r="AZ56" s="165"/>
      <c r="BA56" s="168"/>
      <c r="BB56" s="167" t="s">
        <v>297</v>
      </c>
      <c r="BC56" s="82" t="s">
        <v>108</v>
      </c>
      <c r="BD56" s="152"/>
      <c r="BE56" s="152"/>
      <c r="BF56" s="226"/>
      <c r="BG56" s="226"/>
    </row>
    <row r="57" spans="1:59" ht="12" customHeight="1" x14ac:dyDescent="0.15">
      <c r="A57" s="57" t="s">
        <v>1</v>
      </c>
      <c r="B57" s="57" t="s">
        <v>3</v>
      </c>
      <c r="C57" s="57" t="s">
        <v>202</v>
      </c>
      <c r="D57" s="103" t="s">
        <v>150</v>
      </c>
      <c r="E57" s="144">
        <v>36892</v>
      </c>
      <c r="F57" s="125">
        <v>2484447478</v>
      </c>
      <c r="G57" s="57" t="e">
        <f>VLOOKUP(Member_Status!$D55,contacts!A:G,3,FALSE)</f>
        <v>#N/A</v>
      </c>
      <c r="H57" s="58" t="s">
        <v>96</v>
      </c>
      <c r="I57" s="64">
        <v>100</v>
      </c>
      <c r="J57" s="58" t="s">
        <v>96</v>
      </c>
      <c r="K57" s="64"/>
      <c r="L57" s="58" t="s">
        <v>96</v>
      </c>
      <c r="M57" s="64"/>
      <c r="N57" s="58"/>
      <c r="O57" s="64"/>
      <c r="P57" s="58" t="s">
        <v>96</v>
      </c>
      <c r="Q57" s="64"/>
      <c r="R57" s="220"/>
      <c r="S57" s="64"/>
      <c r="T57" s="58"/>
      <c r="U57" s="64"/>
      <c r="V57" s="57"/>
      <c r="W57" s="64"/>
      <c r="X57" s="58"/>
      <c r="Y57" s="64"/>
      <c r="Z57" s="58"/>
      <c r="AA57" s="64"/>
      <c r="AB57" s="57"/>
      <c r="AC57" s="64"/>
      <c r="AD57" s="57"/>
      <c r="AE57" s="64"/>
      <c r="AF57" s="70">
        <f t="shared" si="4"/>
        <v>100</v>
      </c>
      <c r="AG57" s="70">
        <f t="shared" ref="AG57:AG58" ca="1" si="15">(AF57 - (20* (MONTH(TODAY()) )))</f>
        <v>-60</v>
      </c>
      <c r="AH57" s="64">
        <v>-200</v>
      </c>
      <c r="AI57" s="64">
        <v>120</v>
      </c>
      <c r="AJ57" s="64">
        <v>0</v>
      </c>
      <c r="AK57" s="64">
        <v>60</v>
      </c>
      <c r="AL57" s="70">
        <v>-50</v>
      </c>
      <c r="AM57" s="70">
        <v>50</v>
      </c>
      <c r="AN57" s="64" t="s">
        <v>108</v>
      </c>
      <c r="AO57" s="64" t="s">
        <v>108</v>
      </c>
      <c r="AP57" s="70">
        <f t="shared" ca="1" si="12"/>
        <v>-80</v>
      </c>
      <c r="AQ57" s="57" t="str">
        <f ca="1">IF((Member_Status!$AP57&lt;-240),  "No", "Yes")</f>
        <v>Yes</v>
      </c>
      <c r="AR57" s="74">
        <f ca="1">COUNTIF(Member_Status!$H55:$AE55, "Present") / (MONTH(TODAY()-23 ))</f>
        <v>0.14285714285714285</v>
      </c>
      <c r="AS57" s="76">
        <f>'Bereavment Collection'!C54</f>
        <v>0</v>
      </c>
      <c r="AT57" s="80" t="str">
        <f t="shared" ca="1" si="7"/>
        <v>2+</v>
      </c>
      <c r="AU57" s="57" t="str">
        <f ca="1">IF( OR( (Member_Status!$AP55&lt;-240), (Member_Status!$AS55&lt;&gt;0), (Member_Status!$AR55&lt;58%) ),  "No", "Yes")</f>
        <v>No</v>
      </c>
      <c r="AV57" s="57" t="str">
        <f ca="1">IF( OR(Member_Status!$AQ57&lt;&gt;"Yes",AU57 &lt;&gt;"Yes"  ), "No", "Yes" )</f>
        <v>No</v>
      </c>
      <c r="AW57" s="57" t="str">
        <f ca="1">IF( AND(AX57&lt;149, OR(Member_Status!$AQ57&lt;&gt;"Yes", AT57&lt;2 ) ), "No", "Yes" )</f>
        <v>Yes</v>
      </c>
      <c r="AX57" s="70"/>
      <c r="AY57" s="70" t="s">
        <v>148</v>
      </c>
      <c r="AZ57" s="81">
        <v>1</v>
      </c>
      <c r="BA57" s="82">
        <v>120</v>
      </c>
      <c r="BB57" s="83">
        <v>46023</v>
      </c>
      <c r="BC57" s="82">
        <v>50</v>
      </c>
      <c r="BD57" s="82">
        <v>-20</v>
      </c>
      <c r="BE57" s="82">
        <v>20</v>
      </c>
      <c r="BF57" s="84">
        <v>20</v>
      </c>
      <c r="BG57" s="84"/>
    </row>
    <row r="58" spans="1:59" ht="12" customHeight="1" x14ac:dyDescent="0.15">
      <c r="A58" s="57" t="s">
        <v>1</v>
      </c>
      <c r="B58" s="57" t="s">
        <v>4</v>
      </c>
      <c r="C58" s="57" t="s">
        <v>202</v>
      </c>
      <c r="D58" s="103" t="s">
        <v>215</v>
      </c>
      <c r="E58" s="104">
        <v>43282</v>
      </c>
      <c r="F58" s="61">
        <v>2484447679</v>
      </c>
      <c r="G58" s="57" t="str">
        <f>VLOOKUP(Member_Status!$D56,contacts!A:G,3,FALSE)</f>
        <v>oviehonomake@aol.com</v>
      </c>
      <c r="H58" s="58" t="s">
        <v>96</v>
      </c>
      <c r="I58" s="64">
        <v>100</v>
      </c>
      <c r="J58" s="58" t="s">
        <v>96</v>
      </c>
      <c r="K58" s="64"/>
      <c r="L58" s="58" t="s">
        <v>285</v>
      </c>
      <c r="M58" s="64">
        <v>80</v>
      </c>
      <c r="N58" s="58"/>
      <c r="O58" s="64"/>
      <c r="P58" s="58"/>
      <c r="Q58" s="64"/>
      <c r="R58" s="220"/>
      <c r="S58" s="64"/>
      <c r="T58" s="58"/>
      <c r="U58" s="64"/>
      <c r="V58" s="57"/>
      <c r="W58" s="64"/>
      <c r="X58" s="58"/>
      <c r="Y58" s="64"/>
      <c r="Z58" s="57"/>
      <c r="AA58" s="64"/>
      <c r="AB58" s="57"/>
      <c r="AC58" s="64"/>
      <c r="AD58" s="57"/>
      <c r="AE58" s="64"/>
      <c r="AF58" s="70">
        <f t="shared" si="4"/>
        <v>180</v>
      </c>
      <c r="AG58" s="70">
        <f t="shared" ca="1" si="15"/>
        <v>20</v>
      </c>
      <c r="AH58" s="64">
        <v>-200</v>
      </c>
      <c r="AI58" s="64">
        <v>40</v>
      </c>
      <c r="AJ58" s="64">
        <v>0</v>
      </c>
      <c r="AK58" s="64">
        <v>60</v>
      </c>
      <c r="AL58" s="70">
        <v>-50</v>
      </c>
      <c r="AM58" s="70">
        <v>50</v>
      </c>
      <c r="AN58" s="64" t="s">
        <v>108</v>
      </c>
      <c r="AO58" s="64">
        <v>0</v>
      </c>
      <c r="AP58" s="70">
        <f t="shared" ca="1" si="12"/>
        <v>-80</v>
      </c>
      <c r="AQ58" s="57" t="str">
        <f ca="1">IF((Member_Status!$AP58&lt;-240),  "No", "Yes")</f>
        <v>Yes</v>
      </c>
      <c r="AR58" s="74">
        <f ca="1">COUNTIF(Member_Status!$H56:$AE56, "Present") / (MONTH(TODAY()-23 ))</f>
        <v>0.14285714285714285</v>
      </c>
      <c r="AS58" s="76">
        <f>'Bereavment Collection'!C55</f>
        <v>0</v>
      </c>
      <c r="AT58" s="80" t="str">
        <f t="shared" ca="1" si="7"/>
        <v>2+</v>
      </c>
      <c r="AU58" s="57" t="str">
        <f ca="1">IF( OR( (Member_Status!$AP56&lt;-240), (Member_Status!$AS56&lt;&gt;0), (Member_Status!$AR56&lt;58%) ),  "No", "Yes")</f>
        <v>No</v>
      </c>
      <c r="AV58" s="57" t="str">
        <f ca="1">IF( OR(Member_Status!$AQ58&lt;&gt;"Yes",AU58 &lt;&gt;"Yes"  ), "No", "Yes" )</f>
        <v>No</v>
      </c>
      <c r="AW58" s="57" t="str">
        <f ca="1">IF( AND(AX58&lt;149, OR(Member_Status!$AQ58&lt;&gt;"Yes", AT58&lt;2 ) ), "No", "Yes" )</f>
        <v>Yes</v>
      </c>
      <c r="AX58" s="70"/>
      <c r="AY58" s="70" t="s">
        <v>119</v>
      </c>
      <c r="AZ58" s="81">
        <v>2</v>
      </c>
      <c r="BA58" s="82">
        <v>240</v>
      </c>
      <c r="BB58" s="83">
        <v>46023</v>
      </c>
      <c r="BC58" s="82">
        <v>50</v>
      </c>
      <c r="BD58" s="82">
        <v>-20</v>
      </c>
      <c r="BE58" s="82">
        <v>20</v>
      </c>
      <c r="BF58" s="84">
        <v>20</v>
      </c>
      <c r="BG58" s="84"/>
    </row>
    <row r="59" spans="1:59" ht="12" customHeight="1" x14ac:dyDescent="0.15">
      <c r="A59" s="155" t="s">
        <v>1</v>
      </c>
      <c r="B59" s="155" t="s">
        <v>501</v>
      </c>
      <c r="C59" s="155" t="s">
        <v>263</v>
      </c>
      <c r="D59" s="156" t="s">
        <v>264</v>
      </c>
      <c r="E59" s="157">
        <v>43739</v>
      </c>
      <c r="F59" s="158">
        <v>4199121533</v>
      </c>
      <c r="G59" s="155" t="str">
        <f>VLOOKUP(Member_Status!$D57,contacts!A:G,3,FALSE)</f>
        <v>e_onosode@yahoo.com</v>
      </c>
      <c r="H59" s="160"/>
      <c r="I59" s="159"/>
      <c r="J59" s="155"/>
      <c r="K59" s="159"/>
      <c r="L59" s="160"/>
      <c r="M59" s="159"/>
      <c r="N59" s="160"/>
      <c r="O59" s="159"/>
      <c r="P59" s="160"/>
      <c r="Q59" s="159"/>
      <c r="R59" s="222"/>
      <c r="S59" s="159"/>
      <c r="T59" s="155"/>
      <c r="U59" s="159"/>
      <c r="V59" s="155"/>
      <c r="W59" s="159"/>
      <c r="X59" s="155"/>
      <c r="Y59" s="159"/>
      <c r="Z59" s="155"/>
      <c r="AA59" s="159"/>
      <c r="AB59" s="155"/>
      <c r="AC59" s="159"/>
      <c r="AD59" s="155"/>
      <c r="AE59" s="159"/>
      <c r="AF59" s="70">
        <f t="shared" si="4"/>
        <v>0</v>
      </c>
      <c r="AG59" s="161">
        <f ca="1">(AF59 - (10* (MONTH(TODAY()) )))</f>
        <v>-80</v>
      </c>
      <c r="AH59" s="159">
        <v>-10</v>
      </c>
      <c r="AI59" s="159">
        <v>-80</v>
      </c>
      <c r="AJ59" s="159">
        <v>-100</v>
      </c>
      <c r="AK59" s="159">
        <v>0</v>
      </c>
      <c r="AL59" s="161">
        <v>-120</v>
      </c>
      <c r="AM59" s="161">
        <v>0</v>
      </c>
      <c r="AN59" s="161" t="s">
        <v>108</v>
      </c>
      <c r="AO59" s="159" t="s">
        <v>108</v>
      </c>
      <c r="AP59" s="161">
        <f t="shared" ca="1" si="12"/>
        <v>-390</v>
      </c>
      <c r="AQ59" s="155" t="str">
        <f ca="1">IF((Member_Status!$AP59&lt;-120),  "No", "Yes")</f>
        <v>No</v>
      </c>
      <c r="AR59" s="162">
        <f ca="1">COUNTIF(Member_Status!$H57:$AE57, "Present") / (MONTH(TODAY()-23 ))</f>
        <v>0.5714285714285714</v>
      </c>
      <c r="AS59" s="163">
        <f>'Bereavment Collection'!C56</f>
        <v>-200</v>
      </c>
      <c r="AT59" s="164" t="str">
        <f t="shared" ca="1" si="7"/>
        <v>2+</v>
      </c>
      <c r="AU59" s="155" t="str">
        <f ca="1">IF( OR( (Member_Status!$AP57&lt;-240), (Member_Status!$AS57&lt;&gt;0), (Member_Status!$AR57&lt;58%) ),  "No", "Yes")</f>
        <v>No</v>
      </c>
      <c r="AV59" s="155" t="str">
        <f ca="1">IF( OR(Member_Status!$AQ59&lt;&gt;"Yes",AU59 &lt;&gt;"Yes"  ), "No", "Yes" )</f>
        <v>No</v>
      </c>
      <c r="AW59" s="155" t="str">
        <f ca="1">IF( AND(AX59&lt;149, OR(Member_Status!$AQ59&lt;&gt;"Yes", AT59&lt;2 ) ), "No", "Yes" )</f>
        <v>No</v>
      </c>
      <c r="AX59" s="161"/>
      <c r="AY59" s="161" t="s">
        <v>119</v>
      </c>
      <c r="AZ59" s="167"/>
      <c r="BA59" s="168"/>
      <c r="BB59" s="167" t="s">
        <v>297</v>
      </c>
      <c r="BC59" s="168"/>
      <c r="BD59" s="168"/>
      <c r="BE59" s="168"/>
      <c r="BF59" s="168"/>
      <c r="BG59" s="168"/>
    </row>
    <row r="60" spans="1:59" ht="12" customHeight="1" x14ac:dyDescent="0.15">
      <c r="A60" s="207" t="s">
        <v>1</v>
      </c>
      <c r="B60" s="207" t="s">
        <v>3</v>
      </c>
      <c r="C60" s="207" t="s">
        <v>176</v>
      </c>
      <c r="D60" s="225" t="s">
        <v>246</v>
      </c>
      <c r="E60" s="104">
        <v>36892</v>
      </c>
      <c r="F60" s="125">
        <v>3132317305</v>
      </c>
      <c r="G60" s="57" t="str">
        <f>VLOOKUP(Member_Status!$D58,contacts!A:G,3,FALSE)</f>
        <v>oghogho_ng@yahoo.com</v>
      </c>
      <c r="H60" s="206" t="s">
        <v>96</v>
      </c>
      <c r="I60" s="64"/>
      <c r="J60" s="58"/>
      <c r="K60" s="64"/>
      <c r="L60" s="58" t="s">
        <v>96</v>
      </c>
      <c r="M60" s="64"/>
      <c r="N60" s="206"/>
      <c r="O60" s="64"/>
      <c r="P60" s="206" t="s">
        <v>96</v>
      </c>
      <c r="Q60" s="64">
        <v>100</v>
      </c>
      <c r="R60" s="220"/>
      <c r="S60" s="64"/>
      <c r="T60" s="206"/>
      <c r="U60" s="64"/>
      <c r="V60" s="57"/>
      <c r="W60" s="64"/>
      <c r="X60" s="58"/>
      <c r="Y60" s="64"/>
      <c r="Z60" s="206"/>
      <c r="AA60" s="64"/>
      <c r="AB60" s="207"/>
      <c r="AC60" s="64"/>
      <c r="AD60" s="57"/>
      <c r="AE60" s="64"/>
      <c r="AF60" s="70">
        <f t="shared" si="4"/>
        <v>100</v>
      </c>
      <c r="AG60" s="70">
        <f t="shared" ref="AG60:AG61" ca="1" si="16">(AF60 - (20* (MONTH(TODAY()) )))</f>
        <v>-60</v>
      </c>
      <c r="AH60" s="64">
        <v>-90</v>
      </c>
      <c r="AI60" s="64">
        <v>0</v>
      </c>
      <c r="AJ60" s="64">
        <v>10</v>
      </c>
      <c r="AK60" s="64">
        <v>0</v>
      </c>
      <c r="AL60" s="70">
        <v>0</v>
      </c>
      <c r="AM60" s="70">
        <v>0</v>
      </c>
      <c r="AN60" s="70">
        <v>0</v>
      </c>
      <c r="AO60" s="64" t="s">
        <v>108</v>
      </c>
      <c r="AP60" s="70">
        <f t="shared" ca="1" si="12"/>
        <v>-140</v>
      </c>
      <c r="AQ60" s="57" t="str">
        <f ca="1">IF((Member_Status!$AP60&lt;-240),  "No", "Yes")</f>
        <v>Yes</v>
      </c>
      <c r="AR60" s="74">
        <f ca="1">COUNTIF(Member_Status!$H58:$AE58, "Present") / (MONTH(TODAY()-23 ))</f>
        <v>0.2857142857142857</v>
      </c>
      <c r="AS60" s="76">
        <f>'Bereavment Collection'!C57</f>
        <v>0</v>
      </c>
      <c r="AT60" s="80" t="str">
        <f t="shared" ca="1" si="7"/>
        <v>2+</v>
      </c>
      <c r="AU60" s="57" t="str">
        <f ca="1">IF( OR( (Member_Status!$AP58&lt;-240), (Member_Status!$AS58&lt;&gt;0), (Member_Status!$AR58&lt;58%) ),  "No", "Yes")</f>
        <v>No</v>
      </c>
      <c r="AV60" s="57" t="str">
        <f ca="1">IF( OR(Member_Status!$AQ60&lt;&gt;"Yes",AU60 &lt;&gt;"Yes"  ), "No", "Yes" )</f>
        <v>No</v>
      </c>
      <c r="AW60" s="57" t="str">
        <f ca="1">IF( AND(AX60&lt;149, OR(Member_Status!$AQ60&lt;&gt;"Yes", AT60&lt;2 ) ), "No", "Yes" )</f>
        <v>Yes</v>
      </c>
      <c r="AX60" s="208"/>
      <c r="AY60" s="208" t="s">
        <v>148</v>
      </c>
      <c r="AZ60" s="196">
        <v>1</v>
      </c>
      <c r="BA60" s="82">
        <v>120</v>
      </c>
      <c r="BB60" s="83">
        <v>46113</v>
      </c>
      <c r="BC60" s="82"/>
      <c r="BD60" s="82">
        <v>20</v>
      </c>
      <c r="BE60" s="82"/>
      <c r="BF60" s="154"/>
      <c r="BG60" s="154"/>
    </row>
    <row r="61" spans="1:59" ht="12" customHeight="1" x14ac:dyDescent="0.15">
      <c r="A61" s="57" t="s">
        <v>1</v>
      </c>
      <c r="B61" s="57" t="s">
        <v>4</v>
      </c>
      <c r="C61" s="57" t="s">
        <v>176</v>
      </c>
      <c r="D61" s="103" t="s">
        <v>121</v>
      </c>
      <c r="E61" s="104">
        <v>36892</v>
      </c>
      <c r="F61" s="125">
        <v>3133774234</v>
      </c>
      <c r="G61" s="57" t="e">
        <f>VLOOKUP(Member_Status!$D59,contacts!A:G,3,FALSE)</f>
        <v>#N/A</v>
      </c>
      <c r="H61" s="58" t="s">
        <v>96</v>
      </c>
      <c r="I61" s="64"/>
      <c r="J61" s="58"/>
      <c r="K61" s="64"/>
      <c r="L61" s="58" t="s">
        <v>285</v>
      </c>
      <c r="M61" s="64"/>
      <c r="N61" s="58"/>
      <c r="O61" s="64"/>
      <c r="P61" s="58" t="s">
        <v>285</v>
      </c>
      <c r="Q61" s="64">
        <v>100</v>
      </c>
      <c r="R61" s="220"/>
      <c r="S61" s="64"/>
      <c r="T61" s="58"/>
      <c r="U61" s="64"/>
      <c r="V61" s="57"/>
      <c r="W61" s="64"/>
      <c r="X61" s="58"/>
      <c r="Y61" s="64"/>
      <c r="Z61" s="58"/>
      <c r="AA61" s="64"/>
      <c r="AB61" s="57"/>
      <c r="AC61" s="64"/>
      <c r="AD61" s="57"/>
      <c r="AE61" s="64"/>
      <c r="AF61" s="70">
        <f t="shared" si="4"/>
        <v>100</v>
      </c>
      <c r="AG61" s="70">
        <f t="shared" ca="1" si="16"/>
        <v>-60</v>
      </c>
      <c r="AH61" s="64">
        <v>-90</v>
      </c>
      <c r="AI61" s="64">
        <v>0</v>
      </c>
      <c r="AJ61" s="64">
        <v>10</v>
      </c>
      <c r="AK61" s="64">
        <v>0</v>
      </c>
      <c r="AL61" s="70">
        <v>0</v>
      </c>
      <c r="AM61" s="70">
        <v>0</v>
      </c>
      <c r="AN61" s="70">
        <v>0</v>
      </c>
      <c r="AO61" s="64" t="s">
        <v>108</v>
      </c>
      <c r="AP61" s="70">
        <f t="shared" ca="1" si="12"/>
        <v>-140</v>
      </c>
      <c r="AQ61" s="57" t="str">
        <f ca="1">IF((Member_Status!$AP61&lt;-240),  "No", "Yes")</f>
        <v>Yes</v>
      </c>
      <c r="AR61" s="74">
        <f ca="1">COUNTIF(Member_Status!$H59:$AE59, "Present") / (MONTH(TODAY()-23 ))</f>
        <v>0</v>
      </c>
      <c r="AS61" s="76">
        <f>'Bereavment Collection'!C58</f>
        <v>0</v>
      </c>
      <c r="AT61" s="80" t="str">
        <f t="shared" ca="1" si="7"/>
        <v>2+</v>
      </c>
      <c r="AU61" s="57" t="str">
        <f ca="1">IF( OR( (Member_Status!$AP59&lt;-240), (Member_Status!$AS59&lt;&gt;0), (Member_Status!$AR59&lt;58%) ),  "No", "Yes")</f>
        <v>No</v>
      </c>
      <c r="AV61" s="57" t="str">
        <f ca="1">IF( OR(Member_Status!$AQ61&lt;&gt;"Yes",AU61 &lt;&gt;"Yes"  ), "No", "Yes" )</f>
        <v>No</v>
      </c>
      <c r="AW61" s="57" t="str">
        <f ca="1">IF( AND(AX61&lt;149, OR(Member_Status!$AQ61&lt;&gt;"Yes", AT61&lt;2 ) ), "No", "Yes" )</f>
        <v>Yes</v>
      </c>
      <c r="AX61" s="70"/>
      <c r="AY61" s="70" t="s">
        <v>119</v>
      </c>
      <c r="AZ61" s="81">
        <v>1</v>
      </c>
      <c r="BA61" s="82">
        <v>120</v>
      </c>
      <c r="BB61" s="83">
        <v>46113</v>
      </c>
      <c r="BC61" s="82"/>
      <c r="BD61" s="82">
        <v>20</v>
      </c>
      <c r="BE61" s="82"/>
      <c r="BF61" s="84"/>
      <c r="BG61" s="84"/>
    </row>
    <row r="62" spans="1:59" ht="12.75" customHeight="1" x14ac:dyDescent="0.15">
      <c r="A62" s="178" t="s">
        <v>1</v>
      </c>
      <c r="B62" s="178" t="s">
        <v>3</v>
      </c>
      <c r="C62" s="178" t="s">
        <v>176</v>
      </c>
      <c r="D62" s="227" t="s">
        <v>177</v>
      </c>
      <c r="E62" s="228">
        <v>46113</v>
      </c>
      <c r="F62" s="158">
        <v>3133356953</v>
      </c>
      <c r="G62" s="155"/>
      <c r="H62" s="212"/>
      <c r="I62" s="159"/>
      <c r="J62" s="155"/>
      <c r="K62" s="159"/>
      <c r="L62" s="160"/>
      <c r="M62" s="159"/>
      <c r="N62" s="178"/>
      <c r="O62" s="159">
        <v>160</v>
      </c>
      <c r="P62" s="178" t="s">
        <v>96</v>
      </c>
      <c r="Q62" s="159"/>
      <c r="R62" s="222"/>
      <c r="S62" s="159"/>
      <c r="T62" s="178"/>
      <c r="U62" s="159"/>
      <c r="V62" s="57"/>
      <c r="W62" s="159"/>
      <c r="X62" s="155"/>
      <c r="Y62" s="159"/>
      <c r="Z62" s="212"/>
      <c r="AA62" s="159"/>
      <c r="AB62" s="212"/>
      <c r="AC62" s="159"/>
      <c r="AD62" s="57"/>
      <c r="AE62" s="159"/>
      <c r="AF62" s="70">
        <f t="shared" si="4"/>
        <v>160</v>
      </c>
      <c r="AG62" s="161">
        <f t="shared" ref="AG62:AG63" ca="1" si="17">(AF62 - (10* (MONTH(TODAY()) )))</f>
        <v>80</v>
      </c>
      <c r="AH62" s="64" t="s">
        <v>108</v>
      </c>
      <c r="AI62" s="64" t="s">
        <v>108</v>
      </c>
      <c r="AJ62" s="64" t="s">
        <v>108</v>
      </c>
      <c r="AK62" s="64" t="s">
        <v>108</v>
      </c>
      <c r="AL62" s="64" t="s">
        <v>108</v>
      </c>
      <c r="AM62" s="64" t="s">
        <v>108</v>
      </c>
      <c r="AN62" s="64" t="s">
        <v>108</v>
      </c>
      <c r="AO62" s="64" t="s">
        <v>108</v>
      </c>
      <c r="AP62" s="161">
        <f t="shared" ca="1" si="12"/>
        <v>80</v>
      </c>
      <c r="AQ62" s="155" t="str">
        <f ca="1">IF((Member_Status!$AP62&lt;-120),  "No", "Yes")</f>
        <v>Yes</v>
      </c>
      <c r="AR62" s="162">
        <f ca="1">COUNTIF(Member_Status!$H60:$AE60, "Present") / (MONTH(TODAY()-23 ))</f>
        <v>0.42857142857142855</v>
      </c>
      <c r="AS62" s="163">
        <f>'Bereavment Collection'!C59</f>
        <v>0</v>
      </c>
      <c r="AT62" s="164">
        <f t="shared" ca="1" si="7"/>
        <v>0.34520547945205482</v>
      </c>
      <c r="AU62" s="155" t="str">
        <f ca="1">IF( OR( (Member_Status!$AP60&lt;-240), (Member_Status!$AS60&lt;&gt;0), (Member_Status!$AR60&lt;58%) ),  "No", "Yes")</f>
        <v>No</v>
      </c>
      <c r="AV62" s="155" t="str">
        <f ca="1">IF( OR(Member_Status!$AQ62&lt;&gt;"Yes",AU62 &lt;&gt;"Yes"  ), "No", "Yes" )</f>
        <v>No</v>
      </c>
      <c r="AW62" s="155" t="str">
        <f ca="1">IF( AND(AX62&lt;149, OR(Member_Status!$AQ62&lt;&gt;"Yes", AT62&lt;2 ) ), "No", "Yes" )</f>
        <v>No</v>
      </c>
      <c r="AX62" s="161"/>
      <c r="AY62" s="161"/>
      <c r="AZ62" s="165"/>
      <c r="BA62" s="168"/>
      <c r="BB62" s="167"/>
      <c r="BC62" s="82"/>
      <c r="BD62" s="152"/>
      <c r="BE62" s="152"/>
      <c r="BF62" s="226"/>
      <c r="BG62" s="226"/>
    </row>
    <row r="63" spans="1:59" ht="12.75" customHeight="1" x14ac:dyDescent="0.15">
      <c r="A63" s="147" t="s">
        <v>1</v>
      </c>
      <c r="B63" s="147" t="s">
        <v>3</v>
      </c>
      <c r="C63" s="147" t="s">
        <v>187</v>
      </c>
      <c r="D63" s="148" t="s">
        <v>188</v>
      </c>
      <c r="E63" s="87">
        <v>46113</v>
      </c>
      <c r="F63" s="61">
        <v>2699992446</v>
      </c>
      <c r="H63" s="149"/>
      <c r="I63" s="64"/>
      <c r="J63" s="57"/>
      <c r="K63" s="64"/>
      <c r="L63" s="58"/>
      <c r="M63" s="64"/>
      <c r="N63" s="147"/>
      <c r="O63" s="64">
        <v>180</v>
      </c>
      <c r="P63" s="149"/>
      <c r="Q63" s="64"/>
      <c r="R63" s="220"/>
      <c r="S63" s="64"/>
      <c r="T63" s="147"/>
      <c r="U63" s="64"/>
      <c r="V63" s="57"/>
      <c r="W63" s="64"/>
      <c r="X63" s="57"/>
      <c r="Y63" s="64"/>
      <c r="Z63" s="149"/>
      <c r="AA63" s="64"/>
      <c r="AB63" s="149"/>
      <c r="AC63" s="64"/>
      <c r="AD63" s="57"/>
      <c r="AE63" s="64"/>
      <c r="AF63" s="70">
        <f t="shared" si="4"/>
        <v>180</v>
      </c>
      <c r="AG63" s="161">
        <f t="shared" ca="1" si="17"/>
        <v>100</v>
      </c>
      <c r="AH63" s="64" t="s">
        <v>108</v>
      </c>
      <c r="AI63" s="64" t="s">
        <v>108</v>
      </c>
      <c r="AJ63" s="64" t="s">
        <v>108</v>
      </c>
      <c r="AK63" s="64" t="s">
        <v>108</v>
      </c>
      <c r="AL63" s="64" t="s">
        <v>108</v>
      </c>
      <c r="AM63" s="64" t="s">
        <v>108</v>
      </c>
      <c r="AN63" s="64" t="s">
        <v>108</v>
      </c>
      <c r="AO63" s="64" t="s">
        <v>108</v>
      </c>
      <c r="AP63" s="161">
        <f t="shared" ca="1" si="12"/>
        <v>100</v>
      </c>
      <c r="AQ63" s="155" t="str">
        <f ca="1">IF((Member_Status!$AP63&lt;-120),  "No", "Yes")</f>
        <v>Yes</v>
      </c>
      <c r="AR63" s="162">
        <f ca="1">COUNTIF(Member_Status!$H61:$AE61, "Present") / (MONTH(TODAY()-23 ))</f>
        <v>0.14285714285714285</v>
      </c>
      <c r="AS63" s="163">
        <f>'Bereavment Collection'!C60</f>
        <v>0</v>
      </c>
      <c r="AT63" s="164">
        <f t="shared" ca="1" si="7"/>
        <v>0.34520547945205482</v>
      </c>
      <c r="AU63" s="155" t="str">
        <f ca="1">IF( OR( (Member_Status!$AP61&lt;-240), (Member_Status!$AS61&lt;&gt;0), (Member_Status!$AR61&lt;58%) ),  "No", "Yes")</f>
        <v>No</v>
      </c>
      <c r="AV63" s="155" t="str">
        <f ca="1">IF( OR(Member_Status!$AQ63&lt;&gt;"Yes",AU63 &lt;&gt;"Yes"  ), "No", "Yes" )</f>
        <v>No</v>
      </c>
      <c r="AW63" s="155" t="str">
        <f ca="1">IF( AND(AX63&lt;149, OR(Member_Status!$AQ63&lt;&gt;"Yes", AT63&lt;2 ) ), "No", "Yes" )</f>
        <v>No</v>
      </c>
      <c r="AX63" s="70"/>
      <c r="AY63" s="70"/>
      <c r="AZ63" s="112"/>
      <c r="BA63" s="82"/>
      <c r="BB63" s="81"/>
      <c r="BC63" s="82"/>
      <c r="BD63" s="152"/>
      <c r="BE63" s="152"/>
      <c r="BF63" s="229"/>
      <c r="BG63" s="229"/>
    </row>
    <row r="64" spans="1:59" ht="12.75" customHeight="1" x14ac:dyDescent="0.15">
      <c r="A64" s="179" t="s">
        <v>1</v>
      </c>
      <c r="B64" s="179" t="s">
        <v>461</v>
      </c>
      <c r="C64" s="179" t="s">
        <v>182</v>
      </c>
      <c r="D64" s="209" t="s">
        <v>85</v>
      </c>
      <c r="E64" s="157">
        <v>36892</v>
      </c>
      <c r="F64" s="221">
        <v>5172901677</v>
      </c>
      <c r="G64" s="230" t="str">
        <f>VLOOKUP(Member_Status!$D60,contacts!A:G,3,FALSE)</f>
        <v>danorhorhoro@yahoo.com</v>
      </c>
      <c r="H64" s="212"/>
      <c r="I64" s="159"/>
      <c r="J64" s="155"/>
      <c r="K64" s="159"/>
      <c r="L64" s="160"/>
      <c r="M64" s="159"/>
      <c r="N64" s="178"/>
      <c r="O64" s="159"/>
      <c r="P64" s="212"/>
      <c r="Q64" s="159" t="s">
        <v>108</v>
      </c>
      <c r="R64" s="222"/>
      <c r="S64" s="159">
        <v>120</v>
      </c>
      <c r="T64" s="178"/>
      <c r="U64" s="159" t="s">
        <v>108</v>
      </c>
      <c r="V64" s="57"/>
      <c r="W64" s="159"/>
      <c r="X64" s="155"/>
      <c r="Y64" s="159"/>
      <c r="Z64" s="212"/>
      <c r="AA64" s="159"/>
      <c r="AB64" s="212"/>
      <c r="AC64" s="159"/>
      <c r="AD64" s="57"/>
      <c r="AE64" s="159"/>
      <c r="AF64" s="70">
        <f t="shared" si="4"/>
        <v>120</v>
      </c>
      <c r="AG64" s="161">
        <f ca="1">(SUM(H64:AE64) - (10* (MONTH(TODAY()) )))</f>
        <v>40</v>
      </c>
      <c r="AH64" s="159">
        <v>-110</v>
      </c>
      <c r="AI64" s="159">
        <v>70</v>
      </c>
      <c r="AJ64" s="159">
        <v>0</v>
      </c>
      <c r="AK64" s="159">
        <v>0</v>
      </c>
      <c r="AL64" s="161">
        <v>0</v>
      </c>
      <c r="AM64" s="161">
        <v>50</v>
      </c>
      <c r="AN64" s="161">
        <v>0</v>
      </c>
      <c r="AO64" s="159">
        <v>0</v>
      </c>
      <c r="AP64" s="161">
        <f t="shared" ca="1" si="12"/>
        <v>50</v>
      </c>
      <c r="AQ64" s="155" t="str">
        <f ca="1">IF((Member_Status!$AP64&lt;-120),  "No", "Yes")</f>
        <v>Yes</v>
      </c>
      <c r="AR64" s="162">
        <f ca="1">COUNTIF(Member_Status!$H60:$AE60, "Present") / (MONTH(TODAY()-23 ))</f>
        <v>0.42857142857142855</v>
      </c>
      <c r="AS64" s="163">
        <f>'Bereavment Collection'!C60</f>
        <v>0</v>
      </c>
      <c r="AT64" s="164" t="str">
        <f t="shared" ca="1" si="7"/>
        <v>2+</v>
      </c>
      <c r="AU64" s="155" t="str">
        <f ca="1">IF( OR( (Member_Status!$AP60&lt;-240), (Member_Status!$AS60&lt;&gt;0), (Member_Status!$AR60&lt;58%) ),  "No", "Yes")</f>
        <v>No</v>
      </c>
      <c r="AV64" s="155" t="str">
        <f ca="1">IF( OR(Member_Status!$AQ64&lt;&gt;"Yes",AU64 &lt;&gt;"Yes"  ), "No", "Yes" )</f>
        <v>No</v>
      </c>
      <c r="AW64" s="155" t="str">
        <f ca="1">IF( AND(AX64&lt;149, OR(Member_Status!$AQ64&lt;&gt;"Yes", AT64&lt;2 ) ), "No", "Yes" )</f>
        <v>Yes</v>
      </c>
      <c r="AX64" s="161"/>
      <c r="AY64" s="161" t="s">
        <v>119</v>
      </c>
      <c r="AZ64" s="165"/>
      <c r="BA64" s="168"/>
      <c r="BB64" s="167" t="s">
        <v>299</v>
      </c>
      <c r="BC64" s="82" t="s">
        <v>108</v>
      </c>
      <c r="BD64" s="152"/>
      <c r="BE64" s="152"/>
      <c r="BF64" s="226"/>
      <c r="BG64" s="226"/>
    </row>
    <row r="65" spans="1:59" ht="12.75" customHeight="1" x14ac:dyDescent="0.15">
      <c r="A65" s="57" t="s">
        <v>1</v>
      </c>
      <c r="B65" s="57" t="s">
        <v>461</v>
      </c>
      <c r="C65" s="57" t="s">
        <v>269</v>
      </c>
      <c r="D65" s="103" t="s">
        <v>270</v>
      </c>
      <c r="E65" s="104">
        <v>36892</v>
      </c>
      <c r="F65" s="61">
        <v>2693399903</v>
      </c>
      <c r="G65" s="57" t="e">
        <f>VLOOKUP(Member_Status!$D61,contacts!A:G,3,FALSE)</f>
        <v>#N/A</v>
      </c>
      <c r="H65" s="57"/>
      <c r="I65" s="64"/>
      <c r="J65" s="58"/>
      <c r="K65" s="64">
        <v>480</v>
      </c>
      <c r="L65" s="58"/>
      <c r="M65" s="64"/>
      <c r="N65" s="58"/>
      <c r="O65" s="64"/>
      <c r="P65" s="57"/>
      <c r="Q65" s="64"/>
      <c r="R65" s="220"/>
      <c r="S65" s="64"/>
      <c r="T65" s="58"/>
      <c r="U65" s="64"/>
      <c r="V65" s="57"/>
      <c r="W65" s="64"/>
      <c r="X65" s="57"/>
      <c r="Y65" s="64"/>
      <c r="Z65" s="57"/>
      <c r="AA65" s="64"/>
      <c r="AB65" s="57"/>
      <c r="AC65" s="64"/>
      <c r="AD65" s="57"/>
      <c r="AE65" s="64"/>
      <c r="AF65" s="70">
        <f t="shared" si="4"/>
        <v>480</v>
      </c>
      <c r="AG65" s="70">
        <f ca="1">(AF65 - (20* (MONTH(TODAY()) )))</f>
        <v>320</v>
      </c>
      <c r="AH65" s="64">
        <v>-240</v>
      </c>
      <c r="AI65" s="64">
        <v>0</v>
      </c>
      <c r="AJ65" s="64">
        <v>0</v>
      </c>
      <c r="AK65" s="64">
        <v>0</v>
      </c>
      <c r="AL65" s="70">
        <v>0</v>
      </c>
      <c r="AM65" s="70">
        <v>0</v>
      </c>
      <c r="AN65" s="70">
        <v>0</v>
      </c>
      <c r="AO65" s="64">
        <v>0</v>
      </c>
      <c r="AP65" s="70">
        <f t="shared" ca="1" si="12"/>
        <v>80</v>
      </c>
      <c r="AQ65" s="57" t="str">
        <f ca="1">IF((Member_Status!$AP65&lt;-240),  "No", "Yes")</f>
        <v>Yes</v>
      </c>
      <c r="AR65" s="74">
        <f ca="1">COUNTIF(Member_Status!$H61:$AE61, "Present") / (MONTH(TODAY()-23 ))</f>
        <v>0.14285714285714285</v>
      </c>
      <c r="AS65" s="76">
        <f>'Bereavment Collection'!C61</f>
        <v>0</v>
      </c>
      <c r="AT65" s="80" t="str">
        <f t="shared" ca="1" si="7"/>
        <v>2+</v>
      </c>
      <c r="AU65" s="57" t="str">
        <f ca="1">IF( OR( (Member_Status!$AP61&lt;-240), (Member_Status!$AS61&lt;&gt;0), (Member_Status!$AR61&lt;58%) ),  "No", "Yes")</f>
        <v>No</v>
      </c>
      <c r="AV65" s="57" t="str">
        <f ca="1">IF( OR(Member_Status!$AQ65&lt;&gt;"Yes",AU65 &lt;&gt;"Yes"  ), "No", "Yes" )</f>
        <v>No</v>
      </c>
      <c r="AW65" s="57" t="str">
        <f ca="1">IF( AND(AX65&lt;149, OR(Member_Status!$AQ65&lt;&gt;"Yes", AT65&lt;2 ) ), "No", "Yes" )</f>
        <v>Yes</v>
      </c>
      <c r="AX65" s="70"/>
      <c r="AY65" s="70" t="s">
        <v>148</v>
      </c>
      <c r="AZ65" s="112"/>
      <c r="BA65" s="82"/>
      <c r="BB65" s="83">
        <v>46388</v>
      </c>
      <c r="BC65" s="82"/>
      <c r="BD65" s="82"/>
      <c r="BE65" s="82"/>
      <c r="BF65" s="84"/>
      <c r="BG65" s="84"/>
    </row>
    <row r="66" spans="1:59" ht="12.75" customHeight="1" x14ac:dyDescent="0.15">
      <c r="A66" s="116" t="s">
        <v>1</v>
      </c>
      <c r="B66" s="116" t="s">
        <v>4</v>
      </c>
      <c r="C66" s="113" t="s">
        <v>272</v>
      </c>
      <c r="D66" s="218" t="s">
        <v>274</v>
      </c>
      <c r="E66" s="231">
        <v>45809</v>
      </c>
      <c r="F66" s="115">
        <v>7347722949</v>
      </c>
      <c r="G66" s="116"/>
      <c r="H66" s="116"/>
      <c r="I66" s="117"/>
      <c r="J66" s="113"/>
      <c r="K66" s="117"/>
      <c r="L66" s="113"/>
      <c r="M66" s="117"/>
      <c r="N66" s="113"/>
      <c r="O66" s="117"/>
      <c r="P66" s="116"/>
      <c r="Q66" s="117"/>
      <c r="R66" s="232"/>
      <c r="S66" s="117"/>
      <c r="T66" s="113"/>
      <c r="U66" s="117"/>
      <c r="V66" s="116"/>
      <c r="W66" s="117"/>
      <c r="X66" s="116"/>
      <c r="Y66" s="117"/>
      <c r="Z66" s="116"/>
      <c r="AA66" s="117"/>
      <c r="AB66" s="116"/>
      <c r="AC66" s="117"/>
      <c r="AD66" s="116"/>
      <c r="AE66" s="117"/>
      <c r="AF66" s="70">
        <f t="shared" si="4"/>
        <v>0</v>
      </c>
      <c r="AG66" s="118">
        <f t="shared" ref="AG66:AG67" ca="1" si="18">(AF66 - (20* (MONTH(TODAY()) ))/2)</f>
        <v>-80</v>
      </c>
      <c r="AH66" s="117">
        <v>-180</v>
      </c>
      <c r="AI66" s="117" t="s">
        <v>108</v>
      </c>
      <c r="AJ66" s="117" t="s">
        <v>108</v>
      </c>
      <c r="AK66" s="117" t="s">
        <v>108</v>
      </c>
      <c r="AL66" s="117" t="s">
        <v>108</v>
      </c>
      <c r="AM66" s="117" t="s">
        <v>108</v>
      </c>
      <c r="AN66" s="117" t="s">
        <v>108</v>
      </c>
      <c r="AO66" s="117" t="s">
        <v>108</v>
      </c>
      <c r="AP66" s="118">
        <f t="shared" ca="1" si="12"/>
        <v>-260</v>
      </c>
      <c r="AQ66" s="57" t="str">
        <f ca="1">IF((Member_Status!$AP66&lt;-240),  "No", "Yes")</f>
        <v>No</v>
      </c>
      <c r="AR66" s="74">
        <f ca="1">COUNTIF(Member_Status!$H65:$AE65, "Present") / (MONTH(TODAY()-23 ))</f>
        <v>0</v>
      </c>
      <c r="AS66" s="76">
        <f>'Bereavment Collection'!C64</f>
        <v>-50</v>
      </c>
      <c r="AT66" s="80">
        <f t="shared" ca="1" si="7"/>
        <v>1.178082191780822</v>
      </c>
      <c r="AU66" s="57" t="str">
        <f ca="1">IF( OR( (Member_Status!$AP65&lt;-240), (Member_Status!$AS65&lt;&gt;0), (Member_Status!$AR65&lt;58%) ),  "No", "Yes")</f>
        <v>No</v>
      </c>
      <c r="AV66" s="57" t="str">
        <f ca="1">IF( OR(Member_Status!$AQ66&lt;&gt;"Yes",AU66 &lt;&gt;"Yes"  ), "No", "Yes" )</f>
        <v>No</v>
      </c>
      <c r="AW66" s="57" t="str">
        <f ca="1">IF( AND(AX66&lt;149, OR(Member_Status!$AQ66&lt;&gt;"Yes", AT66&lt;2 ) ), "No", "Yes" )</f>
        <v>No</v>
      </c>
      <c r="AX66" s="70"/>
      <c r="AY66" s="117" t="s">
        <v>148</v>
      </c>
      <c r="AZ66" s="121"/>
      <c r="BA66" s="122"/>
      <c r="BB66" s="233">
        <v>46296</v>
      </c>
      <c r="BC66" s="122" t="s">
        <v>108</v>
      </c>
      <c r="BD66" s="122" t="s">
        <v>108</v>
      </c>
      <c r="BE66" s="122" t="s">
        <v>108</v>
      </c>
      <c r="BF66" s="122" t="s">
        <v>108</v>
      </c>
      <c r="BG66" s="122"/>
    </row>
    <row r="67" spans="1:59" ht="12.75" customHeight="1" x14ac:dyDescent="0.15">
      <c r="A67" s="116" t="s">
        <v>1</v>
      </c>
      <c r="B67" s="116" t="s">
        <v>3</v>
      </c>
      <c r="C67" s="113" t="s">
        <v>272</v>
      </c>
      <c r="D67" s="218" t="s">
        <v>273</v>
      </c>
      <c r="E67" s="231">
        <v>45809</v>
      </c>
      <c r="F67" s="115">
        <v>7347728050</v>
      </c>
      <c r="G67" s="116"/>
      <c r="H67" s="116"/>
      <c r="I67" s="117"/>
      <c r="J67" s="113"/>
      <c r="K67" s="117"/>
      <c r="L67" s="113"/>
      <c r="M67" s="117"/>
      <c r="N67" s="113"/>
      <c r="O67" s="117"/>
      <c r="P67" s="116"/>
      <c r="Q67" s="117"/>
      <c r="R67" s="232"/>
      <c r="S67" s="117"/>
      <c r="T67" s="113"/>
      <c r="U67" s="117"/>
      <c r="V67" s="116"/>
      <c r="W67" s="117"/>
      <c r="X67" s="116"/>
      <c r="Y67" s="117"/>
      <c r="Z67" s="116"/>
      <c r="AA67" s="117"/>
      <c r="AB67" s="116"/>
      <c r="AC67" s="117"/>
      <c r="AD67" s="116"/>
      <c r="AE67" s="117"/>
      <c r="AF67" s="70">
        <f t="shared" si="4"/>
        <v>0</v>
      </c>
      <c r="AG67" s="118">
        <f t="shared" ca="1" si="18"/>
        <v>-80</v>
      </c>
      <c r="AH67" s="117">
        <v>-180</v>
      </c>
      <c r="AI67" s="117" t="s">
        <v>108</v>
      </c>
      <c r="AJ67" s="117" t="s">
        <v>108</v>
      </c>
      <c r="AK67" s="117" t="s">
        <v>108</v>
      </c>
      <c r="AL67" s="117" t="s">
        <v>108</v>
      </c>
      <c r="AM67" s="117" t="s">
        <v>108</v>
      </c>
      <c r="AN67" s="117" t="s">
        <v>108</v>
      </c>
      <c r="AO67" s="117" t="s">
        <v>108</v>
      </c>
      <c r="AP67" s="118">
        <f t="shared" ca="1" si="12"/>
        <v>-260</v>
      </c>
      <c r="AQ67" s="57" t="str">
        <f ca="1">IF((Member_Status!$AP67&lt;-240),  "No", "Yes")</f>
        <v>No</v>
      </c>
      <c r="AR67" s="74" t="e">
        <f ca="1">COUNTIF(#REF!, "Present") / (MONTH(TODAY()-23 ))</f>
        <v>#REF!</v>
      </c>
      <c r="AS67" s="76">
        <f>'Bereavment Collection'!C65</f>
        <v>-50</v>
      </c>
      <c r="AT67" s="80">
        <f t="shared" ca="1" si="7"/>
        <v>1.178082191780822</v>
      </c>
      <c r="AU67" s="57" t="str">
        <f ca="1">IF( OR( (Member_Status!$AP66&lt;-240), (Member_Status!$AS66&lt;&gt;0), (Member_Status!$AR66&lt;58%) ),  "No", "Yes")</f>
        <v>No</v>
      </c>
      <c r="AV67" s="57" t="str">
        <f ca="1">IF( OR(Member_Status!$AQ67&lt;&gt;"Yes",AU67 &lt;&gt;"Yes"  ), "No", "Yes" )</f>
        <v>No</v>
      </c>
      <c r="AW67" s="57" t="str">
        <f ca="1">IF( AND(AX67&lt;149, OR(Member_Status!$AQ67&lt;&gt;"Yes", AT67&lt;2 ) ), "No", "Yes" )</f>
        <v>No</v>
      </c>
      <c r="AX67" s="70"/>
      <c r="AY67" s="117" t="s">
        <v>119</v>
      </c>
      <c r="AZ67" s="121"/>
      <c r="BA67" s="122"/>
      <c r="BB67" s="233">
        <v>46296</v>
      </c>
      <c r="BC67" s="122" t="s">
        <v>108</v>
      </c>
      <c r="BD67" s="122" t="s">
        <v>108</v>
      </c>
      <c r="BE67" s="122" t="s">
        <v>108</v>
      </c>
      <c r="BF67" s="122" t="s">
        <v>108</v>
      </c>
      <c r="BG67" s="122"/>
    </row>
    <row r="68" spans="1:59" ht="12.75" customHeight="1" x14ac:dyDescent="0.15">
      <c r="A68" s="57" t="s">
        <v>1</v>
      </c>
      <c r="B68" s="57" t="s">
        <v>4</v>
      </c>
      <c r="C68" s="57" t="s">
        <v>275</v>
      </c>
      <c r="D68" s="103" t="s">
        <v>276</v>
      </c>
      <c r="E68" s="104">
        <v>36892</v>
      </c>
      <c r="F68" s="125">
        <v>3133030114</v>
      </c>
      <c r="G68" s="57" t="e">
        <f>VLOOKUP(#REF!,contacts!A:G,3,FALSE)</f>
        <v>#REF!</v>
      </c>
      <c r="H68" s="58" t="s">
        <v>96</v>
      </c>
      <c r="I68" s="64"/>
      <c r="J68" s="58"/>
      <c r="K68" s="64"/>
      <c r="L68" s="58"/>
      <c r="M68" s="64"/>
      <c r="N68" s="58"/>
      <c r="O68" s="64"/>
      <c r="P68" s="58" t="s">
        <v>96</v>
      </c>
      <c r="Q68" s="64"/>
      <c r="R68" s="220"/>
      <c r="S68" s="64"/>
      <c r="T68" s="58"/>
      <c r="U68" s="64"/>
      <c r="V68" s="57"/>
      <c r="W68" s="64"/>
      <c r="X68" s="57"/>
      <c r="Y68" s="64"/>
      <c r="Z68" s="57"/>
      <c r="AA68" s="64"/>
      <c r="AB68" s="57"/>
      <c r="AC68" s="64"/>
      <c r="AD68" s="57"/>
      <c r="AE68" s="64"/>
      <c r="AF68" s="70">
        <f t="shared" si="4"/>
        <v>0</v>
      </c>
      <c r="AG68" s="70">
        <f t="shared" ref="AG68:AG72" ca="1" si="19">(AF68 - (20* (MONTH(TODAY()) )))</f>
        <v>-160</v>
      </c>
      <c r="AH68" s="64">
        <v>0</v>
      </c>
      <c r="AI68" s="64">
        <v>0</v>
      </c>
      <c r="AJ68" s="64">
        <v>0</v>
      </c>
      <c r="AK68" s="64">
        <v>0</v>
      </c>
      <c r="AL68" s="70">
        <v>0</v>
      </c>
      <c r="AM68" s="70">
        <v>340</v>
      </c>
      <c r="AN68" s="70">
        <v>0</v>
      </c>
      <c r="AO68" s="64" t="s">
        <v>108</v>
      </c>
      <c r="AP68" s="70">
        <f t="shared" ca="1" si="12"/>
        <v>180</v>
      </c>
      <c r="AQ68" s="57" t="str">
        <f ca="1">IF((Member_Status!$AP68&lt;-240),  "No", "Yes")</f>
        <v>Yes</v>
      </c>
      <c r="AR68" s="74">
        <f ca="1">COUNTIF(Member_Status!$H65:$AE65, "Present") / (MONTH(TODAY()-23 ))</f>
        <v>0</v>
      </c>
      <c r="AS68" s="76">
        <f>'Bereavment Collection'!C64</f>
        <v>-50</v>
      </c>
      <c r="AT68" s="80" t="str">
        <f t="shared" ca="1" si="7"/>
        <v>2+</v>
      </c>
      <c r="AU68" s="57" t="e">
        <f ca="1">IF( OR( (Member_Status!$AP67&lt;-240), (Member_Status!$AS67&lt;&gt;0), (Member_Status!$AR67&lt;58%) ),  "No", "Yes")</f>
        <v>#REF!</v>
      </c>
      <c r="AV68" s="57" t="e">
        <f ca="1">IF( OR(Member_Status!$AQ68&lt;&gt;"Yes",AU68 &lt;&gt;"Yes"  ), "No", "Yes" )</f>
        <v>#REF!</v>
      </c>
      <c r="AW68" s="57" t="str">
        <f ca="1">IF( AND(AX68&lt;149, OR(Member_Status!$AQ68&lt;&gt;"Yes", AT68&lt;2 ) ), "No", "Yes" )</f>
        <v>Yes</v>
      </c>
      <c r="AX68" s="70"/>
      <c r="AY68" s="70" t="s">
        <v>119</v>
      </c>
      <c r="AZ68" s="81">
        <v>1</v>
      </c>
      <c r="BA68" s="82">
        <v>120</v>
      </c>
      <c r="BB68" s="83">
        <v>46388</v>
      </c>
      <c r="BC68" s="82">
        <v>50</v>
      </c>
      <c r="BD68" s="82"/>
      <c r="BE68" s="82"/>
      <c r="BF68" s="84">
        <v>50</v>
      </c>
      <c r="BG68" s="84"/>
    </row>
    <row r="69" spans="1:59" ht="12.75" customHeight="1" x14ac:dyDescent="0.15">
      <c r="A69" s="57" t="s">
        <v>1</v>
      </c>
      <c r="B69" s="57" t="s">
        <v>3</v>
      </c>
      <c r="C69" s="57" t="s">
        <v>275</v>
      </c>
      <c r="D69" s="103" t="s">
        <v>278</v>
      </c>
      <c r="E69" s="104">
        <v>36892</v>
      </c>
      <c r="F69" s="125">
        <v>3133038792</v>
      </c>
      <c r="G69" s="57" t="str">
        <f>VLOOKUP(Member_Status!$D69,contacts!A:G,3,FALSE)</f>
        <v>ukavwe@icloud.com</v>
      </c>
      <c r="H69" s="58" t="s">
        <v>285</v>
      </c>
      <c r="I69" s="64"/>
      <c r="J69" s="58"/>
      <c r="K69" s="64"/>
      <c r="L69" s="58"/>
      <c r="M69" s="64"/>
      <c r="N69" s="58"/>
      <c r="O69" s="64"/>
      <c r="P69" s="58" t="s">
        <v>96</v>
      </c>
      <c r="Q69" s="64"/>
      <c r="R69" s="220"/>
      <c r="S69" s="64"/>
      <c r="T69" s="58"/>
      <c r="U69" s="64"/>
      <c r="V69" s="57"/>
      <c r="W69" s="64"/>
      <c r="X69" s="57"/>
      <c r="Y69" s="64"/>
      <c r="Z69" s="58"/>
      <c r="AA69" s="64"/>
      <c r="AB69" s="57"/>
      <c r="AC69" s="64"/>
      <c r="AD69" s="57"/>
      <c r="AE69" s="64"/>
      <c r="AF69" s="70">
        <f t="shared" si="4"/>
        <v>0</v>
      </c>
      <c r="AG69" s="70">
        <f t="shared" ca="1" si="19"/>
        <v>-160</v>
      </c>
      <c r="AH69" s="64">
        <v>0</v>
      </c>
      <c r="AI69" s="64">
        <v>0</v>
      </c>
      <c r="AJ69" s="64">
        <v>0</v>
      </c>
      <c r="AK69" s="64">
        <v>0</v>
      </c>
      <c r="AL69" s="70">
        <v>0</v>
      </c>
      <c r="AM69" s="70">
        <v>325</v>
      </c>
      <c r="AN69" s="70">
        <v>0</v>
      </c>
      <c r="AO69" s="64" t="s">
        <v>108</v>
      </c>
      <c r="AP69" s="70">
        <f t="shared" ca="1" si="12"/>
        <v>165</v>
      </c>
      <c r="AQ69" s="57" t="str">
        <f ca="1">IF((Member_Status!$AP69&lt;-240),  "No", "Yes")</f>
        <v>Yes</v>
      </c>
      <c r="AR69" s="74" t="e">
        <f ca="1">COUNTIF(#REF!, "Present") / (MONTH(TODAY()-23 ))</f>
        <v>#REF!</v>
      </c>
      <c r="AS69" s="76">
        <f>'Bereavment Collection'!C65</f>
        <v>-50</v>
      </c>
      <c r="AT69" s="80" t="str">
        <f t="shared" ca="1" si="7"/>
        <v>2+</v>
      </c>
      <c r="AU69" s="57" t="str">
        <f ca="1">IF( OR( (Member_Status!$AP68&lt;-240), (Member_Status!$AS68&lt;&gt;0), (Member_Status!$AR68&lt;58%) ),  "No", "Yes")</f>
        <v>No</v>
      </c>
      <c r="AV69" s="57" t="str">
        <f ca="1">IF( OR(Member_Status!$AQ69&lt;&gt;"Yes",AU69 &lt;&gt;"Yes"  ), "No", "Yes" )</f>
        <v>No</v>
      </c>
      <c r="AW69" s="57" t="str">
        <f ca="1">IF( AND(AX69&lt;149, OR(Member_Status!$AQ69&lt;&gt;"Yes", AT69&lt;2 ) ), "No", "Yes" )</f>
        <v>Yes</v>
      </c>
      <c r="AX69" s="70"/>
      <c r="AY69" s="70" t="s">
        <v>148</v>
      </c>
      <c r="AZ69" s="81">
        <v>1</v>
      </c>
      <c r="BA69" s="82">
        <v>120</v>
      </c>
      <c r="BB69" s="83">
        <v>46388</v>
      </c>
      <c r="BC69" s="82">
        <v>50</v>
      </c>
      <c r="BD69" s="82"/>
      <c r="BE69" s="82"/>
      <c r="BF69" s="154">
        <v>50</v>
      </c>
      <c r="BG69" s="154"/>
    </row>
    <row r="70" spans="1:59" ht="12.75" customHeight="1" x14ac:dyDescent="0.15">
      <c r="A70" s="116" t="s">
        <v>1</v>
      </c>
      <c r="B70" s="116" t="s">
        <v>3</v>
      </c>
      <c r="C70" s="116" t="s">
        <v>275</v>
      </c>
      <c r="D70" s="218" t="s">
        <v>277</v>
      </c>
      <c r="E70" s="231">
        <v>45809</v>
      </c>
      <c r="F70" s="115">
        <v>3133038792</v>
      </c>
      <c r="G70" s="116"/>
      <c r="H70" s="116"/>
      <c r="I70" s="117"/>
      <c r="J70" s="113"/>
      <c r="K70" s="117"/>
      <c r="L70" s="113"/>
      <c r="M70" s="117"/>
      <c r="N70" s="113"/>
      <c r="O70" s="117"/>
      <c r="P70" s="113"/>
      <c r="Q70" s="117"/>
      <c r="R70" s="232"/>
      <c r="S70" s="117"/>
      <c r="T70" s="113"/>
      <c r="U70" s="117"/>
      <c r="V70" s="116"/>
      <c r="W70" s="117"/>
      <c r="X70" s="116"/>
      <c r="Y70" s="117"/>
      <c r="Z70" s="113"/>
      <c r="AA70" s="117"/>
      <c r="AB70" s="116"/>
      <c r="AC70" s="117"/>
      <c r="AD70" s="116"/>
      <c r="AE70" s="117"/>
      <c r="AF70" s="70">
        <f t="shared" si="4"/>
        <v>0</v>
      </c>
      <c r="AG70" s="70">
        <f t="shared" ca="1" si="19"/>
        <v>-160</v>
      </c>
      <c r="AH70" s="117">
        <v>20</v>
      </c>
      <c r="AI70" s="117" t="s">
        <v>108</v>
      </c>
      <c r="AJ70" s="117" t="s">
        <v>108</v>
      </c>
      <c r="AK70" s="117" t="s">
        <v>108</v>
      </c>
      <c r="AL70" s="117" t="s">
        <v>108</v>
      </c>
      <c r="AM70" s="117" t="s">
        <v>108</v>
      </c>
      <c r="AN70" s="117" t="s">
        <v>108</v>
      </c>
      <c r="AO70" s="117" t="s">
        <v>108</v>
      </c>
      <c r="AP70" s="70">
        <f t="shared" ca="1" si="12"/>
        <v>-140</v>
      </c>
      <c r="AQ70" s="57" t="str">
        <f ca="1">IF((Member_Status!$AP70&lt;-240),  "No", "Yes")</f>
        <v>Yes</v>
      </c>
      <c r="AR70" s="74">
        <f ca="1">COUNTIF(Member_Status!$H66:$AE66, "Present") / (MONTH(TODAY()-23 ))</f>
        <v>0</v>
      </c>
      <c r="AS70" s="76">
        <f>'Bereavment Collection'!C67</f>
        <v>0</v>
      </c>
      <c r="AT70" s="80">
        <f t="shared" ca="1" si="7"/>
        <v>1.178082191780822</v>
      </c>
      <c r="AU70" s="57" t="e">
        <f ca="1">IF( OR( (Member_Status!$AP69&lt;-240), (Member_Status!$AS69&lt;&gt;0), (Member_Status!$AR69&lt;58%) ),  "No", "Yes")</f>
        <v>#REF!</v>
      </c>
      <c r="AV70" s="57" t="e">
        <f ca="1">IF( OR(Member_Status!$AQ70&lt;&gt;"Yes",AU70 &lt;&gt;"Yes"  ), "No", "Yes" )</f>
        <v>#REF!</v>
      </c>
      <c r="AW70" s="57" t="str">
        <f ca="1">IF( AND(AX70&lt;149, OR(Member_Status!$AQ70&lt;&gt;"Yes", AT70&lt;2 ) ), "No", "Yes" )</f>
        <v>No</v>
      </c>
      <c r="AX70" s="70"/>
      <c r="AY70" s="117" t="s">
        <v>148</v>
      </c>
      <c r="AZ70" s="121"/>
      <c r="BA70" s="122"/>
      <c r="BB70" s="121" t="s">
        <v>265</v>
      </c>
      <c r="BC70" s="122" t="s">
        <v>108</v>
      </c>
      <c r="BD70" s="122" t="s">
        <v>108</v>
      </c>
      <c r="BE70" s="122" t="s">
        <v>108</v>
      </c>
      <c r="BF70" s="122" t="s">
        <v>108</v>
      </c>
      <c r="BG70" s="122"/>
    </row>
    <row r="71" spans="1:59" ht="12.75" customHeight="1" x14ac:dyDescent="0.15">
      <c r="A71" s="116" t="s">
        <v>1</v>
      </c>
      <c r="B71" s="113" t="s">
        <v>3</v>
      </c>
      <c r="C71" s="113" t="s">
        <v>279</v>
      </c>
      <c r="D71" s="218" t="s">
        <v>280</v>
      </c>
      <c r="E71" s="219">
        <v>46081</v>
      </c>
      <c r="F71" s="115">
        <v>3134145840</v>
      </c>
      <c r="G71" s="116"/>
      <c r="H71" s="113"/>
      <c r="I71" s="117"/>
      <c r="J71" s="113" t="s">
        <v>96</v>
      </c>
      <c r="K71" s="117">
        <v>20</v>
      </c>
      <c r="L71" s="113" t="s">
        <v>96</v>
      </c>
      <c r="M71" s="117">
        <v>20</v>
      </c>
      <c r="N71" s="113"/>
      <c r="O71" s="117">
        <v>20</v>
      </c>
      <c r="P71" s="113" t="s">
        <v>96</v>
      </c>
      <c r="Q71" s="117"/>
      <c r="R71" s="116"/>
      <c r="S71" s="117"/>
      <c r="T71" s="113"/>
      <c r="U71" s="117"/>
      <c r="V71" s="116"/>
      <c r="W71" s="117"/>
      <c r="X71" s="113"/>
      <c r="Y71" s="117"/>
      <c r="Z71" s="113"/>
      <c r="AA71" s="117"/>
      <c r="AB71" s="116"/>
      <c r="AC71" s="117"/>
      <c r="AD71" s="116"/>
      <c r="AE71" s="117"/>
      <c r="AF71" s="70">
        <f t="shared" si="4"/>
        <v>60</v>
      </c>
      <c r="AG71" s="70">
        <f t="shared" ca="1" si="19"/>
        <v>-100</v>
      </c>
      <c r="AH71" s="117">
        <v>20</v>
      </c>
      <c r="AI71" s="117" t="s">
        <v>108</v>
      </c>
      <c r="AJ71" s="117" t="s">
        <v>108</v>
      </c>
      <c r="AK71" s="117" t="s">
        <v>108</v>
      </c>
      <c r="AL71" s="117" t="s">
        <v>108</v>
      </c>
      <c r="AM71" s="117" t="s">
        <v>108</v>
      </c>
      <c r="AN71" s="117" t="s">
        <v>108</v>
      </c>
      <c r="AO71" s="117" t="s">
        <v>108</v>
      </c>
      <c r="AP71" s="70">
        <f t="shared" ca="1" si="12"/>
        <v>-80</v>
      </c>
      <c r="AQ71" s="57" t="str">
        <f ca="1">IF((Member_Status!$AP71&lt;-240),  "No", "Yes")</f>
        <v>Yes</v>
      </c>
      <c r="AR71" s="74">
        <f ca="1">COUNTIF(Member_Status!$H67:$AE67, "Present") / (MONTH(TODAY()-23 ))</f>
        <v>0</v>
      </c>
      <c r="AS71" s="76">
        <f>'Bereavment Collection'!C68</f>
        <v>0</v>
      </c>
      <c r="AT71" s="80">
        <f t="shared" ca="1" si="7"/>
        <v>0.43287671232876712</v>
      </c>
      <c r="AU71" s="57" t="str">
        <f ca="1">IF( OR( (Member_Status!$AP70&lt;-240), (Member_Status!$AS70&lt;&gt;0), (Member_Status!$AR70&lt;58%) ),  "No", "Yes")</f>
        <v>No</v>
      </c>
      <c r="AV71" s="57" t="str">
        <f ca="1">IF( OR(Member_Status!$AQ71&lt;&gt;"Yes",AU71 &lt;&gt;"Yes"  ), "No", "Yes" )</f>
        <v>No</v>
      </c>
      <c r="AW71" s="57" t="str">
        <f ca="1">IF( AND(AX71&lt;149, OR(Member_Status!$AQ71&lt;&gt;"Yes", AT71&lt;2 ) ), "No", "Yes" )</f>
        <v>No</v>
      </c>
      <c r="AX71" s="118"/>
      <c r="AY71" s="117" t="s">
        <v>148</v>
      </c>
      <c r="AZ71" s="121">
        <v>1</v>
      </c>
      <c r="BA71" s="122">
        <v>120</v>
      </c>
      <c r="BB71" s="121" t="s">
        <v>265</v>
      </c>
      <c r="BC71" s="122"/>
      <c r="BD71" s="122"/>
      <c r="BE71" s="122"/>
      <c r="BF71" s="122"/>
      <c r="BG71" s="122"/>
    </row>
    <row r="72" spans="1:59" ht="12.75" customHeight="1" x14ac:dyDescent="0.15">
      <c r="A72" s="57" t="s">
        <v>1</v>
      </c>
      <c r="B72" s="57" t="s">
        <v>4</v>
      </c>
      <c r="C72" s="57" t="s">
        <v>282</v>
      </c>
      <c r="D72" s="103" t="s">
        <v>283</v>
      </c>
      <c r="E72" s="104">
        <v>36892</v>
      </c>
      <c r="F72" s="125">
        <v>2489435989</v>
      </c>
      <c r="G72" s="57" t="str">
        <f>VLOOKUP(Member_Status!$D72,contacts!A:G,3,FALSE)</f>
        <v>gladyswanogho@icloud.com</v>
      </c>
      <c r="H72" s="57"/>
      <c r="I72" s="64"/>
      <c r="J72" s="58" t="s">
        <v>285</v>
      </c>
      <c r="K72" s="64"/>
      <c r="L72" s="58"/>
      <c r="M72" s="64"/>
      <c r="N72" s="58"/>
      <c r="O72" s="64"/>
      <c r="P72" s="58"/>
      <c r="Q72" s="64"/>
      <c r="R72" s="220"/>
      <c r="S72" s="64"/>
      <c r="T72" s="58"/>
      <c r="U72" s="64"/>
      <c r="V72" s="57"/>
      <c r="W72" s="64"/>
      <c r="X72" s="57"/>
      <c r="Y72" s="64"/>
      <c r="Z72" s="58"/>
      <c r="AA72" s="64"/>
      <c r="AB72" s="57"/>
      <c r="AC72" s="64"/>
      <c r="AD72" s="57"/>
      <c r="AE72" s="64"/>
      <c r="AF72" s="70">
        <f t="shared" si="4"/>
        <v>0</v>
      </c>
      <c r="AG72" s="70">
        <f t="shared" ca="1" si="19"/>
        <v>-160</v>
      </c>
      <c r="AH72" s="64">
        <v>-90</v>
      </c>
      <c r="AI72" s="64">
        <v>50</v>
      </c>
      <c r="AJ72" s="64">
        <v>-150</v>
      </c>
      <c r="AK72" s="64">
        <v>30</v>
      </c>
      <c r="AL72" s="70">
        <v>-140</v>
      </c>
      <c r="AM72" s="70">
        <v>340</v>
      </c>
      <c r="AN72" s="64" t="s">
        <v>108</v>
      </c>
      <c r="AO72" s="64" t="s">
        <v>108</v>
      </c>
      <c r="AP72" s="70">
        <f t="shared" ca="1" si="12"/>
        <v>-120</v>
      </c>
      <c r="AQ72" s="57" t="str">
        <f ca="1">IF((Member_Status!$AP72&lt;-240),  "No", "Yes")</f>
        <v>Yes</v>
      </c>
      <c r="AR72" s="74">
        <f ca="1">COUNTIF(Member_Status!$H68:$AE68, "Present") / (MONTH(TODAY()-23 ))</f>
        <v>0.2857142857142857</v>
      </c>
      <c r="AS72" s="76">
        <f>'Bereavment Collection'!C67</f>
        <v>0</v>
      </c>
      <c r="AT72" s="80" t="str">
        <f t="shared" ca="1" si="7"/>
        <v>2+</v>
      </c>
      <c r="AU72" s="57" t="str">
        <f ca="1">IF( OR( (Member_Status!$AP68&lt;-240), (Member_Status!$AS68&lt;&gt;0), (Member_Status!$AR68&lt;58%) ),  "No", "Yes")</f>
        <v>No</v>
      </c>
      <c r="AV72" s="57" t="str">
        <f ca="1">IF( OR(Member_Status!$AQ72&lt;&gt;"Yes",AU72 &lt;&gt;"Yes"  ), "No", "Yes" )</f>
        <v>No</v>
      </c>
      <c r="AW72" s="57" t="str">
        <f ca="1">IF( AND(AX72&lt;149, OR(Member_Status!$AQ72&lt;&gt;"Yes", AT72&lt;2 ) ), "No", "Yes" )</f>
        <v>Yes</v>
      </c>
      <c r="AX72" s="70"/>
      <c r="AY72" s="70" t="s">
        <v>148</v>
      </c>
      <c r="AZ72" s="81">
        <v>1</v>
      </c>
      <c r="BA72" s="82">
        <v>120</v>
      </c>
      <c r="BB72" s="83">
        <v>46478</v>
      </c>
      <c r="BC72" s="82">
        <v>50</v>
      </c>
      <c r="BD72" s="82"/>
      <c r="BE72" s="82">
        <v>20</v>
      </c>
      <c r="BF72" s="84">
        <v>20</v>
      </c>
      <c r="BG72" s="84"/>
    </row>
    <row r="73" spans="1:59" ht="12.75" customHeight="1" x14ac:dyDescent="0.15">
      <c r="A73" s="155" t="s">
        <v>1</v>
      </c>
      <c r="B73" s="155" t="s">
        <v>503</v>
      </c>
      <c r="C73" s="155" t="s">
        <v>282</v>
      </c>
      <c r="D73" s="156" t="s">
        <v>284</v>
      </c>
      <c r="E73" s="157">
        <v>36892</v>
      </c>
      <c r="F73" s="221">
        <v>2489435811</v>
      </c>
      <c r="G73" s="155" t="e">
        <f>VLOOKUP(Member_Status!$D68,contacts!A:G,3,FALSE)</f>
        <v>#N/A</v>
      </c>
      <c r="H73" s="160"/>
      <c r="I73" s="159"/>
      <c r="J73" s="160" t="s">
        <v>96</v>
      </c>
      <c r="K73" s="159"/>
      <c r="L73" s="160" t="s">
        <v>96</v>
      </c>
      <c r="M73" s="159"/>
      <c r="N73" s="160"/>
      <c r="O73" s="159"/>
      <c r="P73" s="160" t="s">
        <v>96</v>
      </c>
      <c r="Q73" s="159"/>
      <c r="R73" s="222"/>
      <c r="S73" s="159"/>
      <c r="T73" s="160"/>
      <c r="U73" s="159"/>
      <c r="V73" s="155"/>
      <c r="W73" s="159"/>
      <c r="X73" s="155"/>
      <c r="Y73" s="159"/>
      <c r="Z73" s="160"/>
      <c r="AA73" s="159"/>
      <c r="AB73" s="155"/>
      <c r="AC73" s="159"/>
      <c r="AD73" s="155"/>
      <c r="AE73" s="159"/>
      <c r="AF73" s="70">
        <f t="shared" si="4"/>
        <v>0</v>
      </c>
      <c r="AG73" s="161">
        <f ca="1">(AF73 - (10* (MONTH(TODAY()) )))</f>
        <v>-80</v>
      </c>
      <c r="AH73" s="159">
        <v>-10</v>
      </c>
      <c r="AI73" s="159">
        <v>100</v>
      </c>
      <c r="AJ73" s="159">
        <v>-150</v>
      </c>
      <c r="AK73" s="159">
        <v>90</v>
      </c>
      <c r="AL73" s="161">
        <v>-190</v>
      </c>
      <c r="AM73" s="161">
        <v>330</v>
      </c>
      <c r="AN73" s="159" t="s">
        <v>108</v>
      </c>
      <c r="AO73" s="159" t="s">
        <v>108</v>
      </c>
      <c r="AP73" s="161">
        <f t="shared" ca="1" si="12"/>
        <v>90</v>
      </c>
      <c r="AQ73" s="155" t="str">
        <f ca="1">IF((Member_Status!$AP73&lt;-120),  "No", "Yes")</f>
        <v>Yes</v>
      </c>
      <c r="AR73" s="162">
        <f ca="1">COUNTIF(Member_Status!$H69:$AE69, "Present") / (MONTH(TODAY()-23 ))</f>
        <v>0.14285714285714285</v>
      </c>
      <c r="AS73" s="163">
        <f>'Bereavment Collection'!C68</f>
        <v>0</v>
      </c>
      <c r="AT73" s="164" t="str">
        <f t="shared" ca="1" si="7"/>
        <v>2+</v>
      </c>
      <c r="AU73" s="155" t="e">
        <f ca="1">IF( OR( (Member_Status!$AP69&lt;-240), (Member_Status!$AS69&lt;&gt;0), (Member_Status!$AR69&lt;58%) ),  "No", "Yes")</f>
        <v>#REF!</v>
      </c>
      <c r="AV73" s="155" t="e">
        <f ca="1">IF( OR(Member_Status!$AQ73&lt;&gt;"Yes",AU73 &lt;&gt;"Yes"  ), "No", "Yes" )</f>
        <v>#REF!</v>
      </c>
      <c r="AW73" s="155" t="str">
        <f ca="1">IF( AND(AX73&lt;149, OR(Member_Status!$AQ73&lt;&gt;"Yes", AT73&lt;2 ) ), "No", "Yes" )</f>
        <v>Yes</v>
      </c>
      <c r="AX73" s="161"/>
      <c r="AY73" s="161" t="s">
        <v>119</v>
      </c>
      <c r="AZ73" s="167">
        <v>1</v>
      </c>
      <c r="BA73" s="168">
        <v>120</v>
      </c>
      <c r="BB73" s="167" t="s">
        <v>297</v>
      </c>
      <c r="BC73" s="168">
        <v>50</v>
      </c>
      <c r="BD73" s="168"/>
      <c r="BE73" s="82">
        <v>20</v>
      </c>
      <c r="BF73" s="154">
        <v>20</v>
      </c>
      <c r="BG73" s="154"/>
    </row>
    <row r="74" spans="1:59" ht="12.75" customHeight="1" x14ac:dyDescent="0.15">
      <c r="A74" s="57" t="s">
        <v>1</v>
      </c>
      <c r="B74" s="57" t="s">
        <v>4</v>
      </c>
      <c r="C74" s="57" t="s">
        <v>194</v>
      </c>
      <c r="D74" s="103" t="s">
        <v>195</v>
      </c>
      <c r="E74" s="144">
        <v>36892</v>
      </c>
      <c r="F74" s="125">
        <v>2487732278</v>
      </c>
      <c r="G74" s="57" t="str">
        <f>VLOOKUP(Member_Status!$D73,contacts!A:G,3,FALSE)</f>
        <v>etareri@yahoo.com</v>
      </c>
      <c r="H74" s="58" t="s">
        <v>96</v>
      </c>
      <c r="I74" s="64"/>
      <c r="J74" s="58" t="s">
        <v>285</v>
      </c>
      <c r="K74" s="64"/>
      <c r="L74" s="58" t="s">
        <v>96</v>
      </c>
      <c r="M74" s="64"/>
      <c r="N74" s="58"/>
      <c r="O74" s="64"/>
      <c r="P74" s="58" t="s">
        <v>96</v>
      </c>
      <c r="Q74" s="64"/>
      <c r="R74" s="57"/>
      <c r="S74" s="64">
        <v>240</v>
      </c>
      <c r="T74" s="58"/>
      <c r="U74" s="64" t="s">
        <v>108</v>
      </c>
      <c r="V74" s="57"/>
      <c r="W74" s="64"/>
      <c r="X74" s="58"/>
      <c r="Y74" s="64"/>
      <c r="Z74" s="58"/>
      <c r="AA74" s="64"/>
      <c r="AB74" s="57"/>
      <c r="AC74" s="64"/>
      <c r="AD74" s="57"/>
      <c r="AE74" s="64"/>
      <c r="AF74" s="70">
        <f t="shared" si="4"/>
        <v>240</v>
      </c>
      <c r="AG74" s="70">
        <f t="shared" ref="AG74:AG75" ca="1" si="20">(AF74 - (20* (MONTH(TODAY()) )))</f>
        <v>80</v>
      </c>
      <c r="AH74" s="64">
        <v>-50</v>
      </c>
      <c r="AI74" s="64">
        <v>50</v>
      </c>
      <c r="AJ74" s="64">
        <v>0</v>
      </c>
      <c r="AK74" s="64">
        <v>-70</v>
      </c>
      <c r="AL74" s="70">
        <v>50</v>
      </c>
      <c r="AM74" s="70">
        <v>80</v>
      </c>
      <c r="AN74" s="64" t="s">
        <v>108</v>
      </c>
      <c r="AO74" s="64">
        <v>0</v>
      </c>
      <c r="AP74" s="70">
        <f t="shared" ca="1" si="12"/>
        <v>140</v>
      </c>
      <c r="AQ74" s="57" t="str">
        <f ca="1">IF((Member_Status!$AP74&lt;-240),  "No", "Yes")</f>
        <v>Yes</v>
      </c>
      <c r="AR74" s="74">
        <f ca="1">COUNTIF(Member_Status!$H72:$AE72, "Present") / (MONTH(TODAY()-23 ))</f>
        <v>0</v>
      </c>
      <c r="AS74" s="76">
        <f>'Bereavment Collection'!C69</f>
        <v>0</v>
      </c>
      <c r="AT74" s="80" t="str">
        <f t="shared" ca="1" si="7"/>
        <v>2+</v>
      </c>
      <c r="AU74" s="57" t="str">
        <f ca="1">IF( OR( (Member_Status!$AP72&lt;-240), (Member_Status!$AS72&lt;&gt;0), (Member_Status!$AR72&lt;58%) ),  "No", "Yes")</f>
        <v>No</v>
      </c>
      <c r="AV74" s="57" t="str">
        <f ca="1">IF( OR(Member_Status!$AQ74&lt;&gt;"Yes",AU74 &lt;&gt;"Yes"  ), "No", "Yes" )</f>
        <v>No</v>
      </c>
      <c r="AW74" s="57" t="str">
        <f ca="1">IF( AND(AX74&lt;149, OR(Member_Status!$AQ74&lt;&gt;"Yes", AT74&lt;2 ) ), "No", "Yes" )</f>
        <v>Yes</v>
      </c>
      <c r="AX74" s="70"/>
      <c r="AY74" s="70" t="s">
        <v>119</v>
      </c>
      <c r="AZ74" s="81">
        <v>1</v>
      </c>
      <c r="BA74" s="82">
        <v>120</v>
      </c>
      <c r="BB74" s="83">
        <v>46054</v>
      </c>
      <c r="BC74" s="82">
        <v>50</v>
      </c>
      <c r="BD74" s="82">
        <v>20</v>
      </c>
      <c r="BE74" s="82">
        <v>20</v>
      </c>
      <c r="BF74" s="146">
        <v>20</v>
      </c>
      <c r="BG74" s="146"/>
    </row>
    <row r="75" spans="1:59" ht="12.75" customHeight="1" x14ac:dyDescent="0.15">
      <c r="A75" s="57" t="s">
        <v>1</v>
      </c>
      <c r="B75" s="57" t="s">
        <v>3</v>
      </c>
      <c r="C75" s="57" t="s">
        <v>194</v>
      </c>
      <c r="D75" s="103" t="s">
        <v>199</v>
      </c>
      <c r="E75" s="144">
        <v>36892</v>
      </c>
      <c r="F75" s="125">
        <v>2487731173</v>
      </c>
      <c r="H75" s="58" t="s">
        <v>96</v>
      </c>
      <c r="I75" s="64"/>
      <c r="J75" s="58" t="s">
        <v>96</v>
      </c>
      <c r="K75" s="64"/>
      <c r="L75" s="58" t="s">
        <v>96</v>
      </c>
      <c r="M75" s="64"/>
      <c r="N75" s="58"/>
      <c r="O75" s="64"/>
      <c r="P75" s="58" t="s">
        <v>96</v>
      </c>
      <c r="Q75" s="64"/>
      <c r="R75" s="57"/>
      <c r="S75" s="64">
        <v>240</v>
      </c>
      <c r="T75" s="58"/>
      <c r="U75" s="64" t="s">
        <v>108</v>
      </c>
      <c r="V75" s="57"/>
      <c r="W75" s="64"/>
      <c r="X75" s="58"/>
      <c r="Y75" s="64"/>
      <c r="Z75" s="58"/>
      <c r="AA75" s="64"/>
      <c r="AB75" s="57"/>
      <c r="AC75" s="64"/>
      <c r="AD75" s="57"/>
      <c r="AE75" s="64"/>
      <c r="AF75" s="70">
        <f t="shared" si="4"/>
        <v>240</v>
      </c>
      <c r="AG75" s="70">
        <f t="shared" ca="1" si="20"/>
        <v>80</v>
      </c>
      <c r="AH75" s="64">
        <v>0</v>
      </c>
      <c r="AI75" s="64">
        <v>0</v>
      </c>
      <c r="AJ75" s="64">
        <v>0</v>
      </c>
      <c r="AK75" s="64">
        <v>-70</v>
      </c>
      <c r="AL75" s="70">
        <v>50</v>
      </c>
      <c r="AM75" s="70">
        <v>80</v>
      </c>
      <c r="AN75" s="64" t="s">
        <v>108</v>
      </c>
      <c r="AO75" s="64">
        <v>0</v>
      </c>
      <c r="AP75" s="70">
        <f t="shared" ca="1" si="12"/>
        <v>140</v>
      </c>
      <c r="AQ75" s="57" t="str">
        <f ca="1">IF((Member_Status!$AP75&lt;-240),  "No", "Yes")</f>
        <v>Yes</v>
      </c>
      <c r="AR75" s="74">
        <f ca="1">COUNTIF(Member_Status!$H73:$AE73, "Present") / (MONTH(TODAY()-23 ))</f>
        <v>0.42857142857142855</v>
      </c>
      <c r="AS75" s="76">
        <f>'Bereavment Collection'!C70</f>
        <v>0</v>
      </c>
      <c r="AT75" s="80" t="str">
        <f t="shared" ca="1" si="7"/>
        <v>2+</v>
      </c>
      <c r="AU75" s="57" t="str">
        <f ca="1">IF( OR( (Member_Status!$AP73&lt;-240), (Member_Status!$AS73&lt;&gt;0), (Member_Status!$AR73&lt;58%) ),  "No", "Yes")</f>
        <v>No</v>
      </c>
      <c r="AV75" s="57" t="str">
        <f ca="1">IF( OR(Member_Status!$AQ75&lt;&gt;"Yes",AU75 &lt;&gt;"Yes"  ), "No", "Yes" )</f>
        <v>No</v>
      </c>
      <c r="AW75" s="57" t="str">
        <f ca="1">IF( AND(AX75&lt;149, OR(Member_Status!$AQ75&lt;&gt;"Yes", AT75&lt;2 ) ), "No", "Yes" )</f>
        <v>Yes</v>
      </c>
      <c r="AX75" s="70"/>
      <c r="AY75" s="70" t="s">
        <v>148</v>
      </c>
      <c r="AZ75" s="81">
        <v>1</v>
      </c>
      <c r="BA75" s="82">
        <v>120</v>
      </c>
      <c r="BB75" s="83">
        <v>46054</v>
      </c>
      <c r="BC75" s="82">
        <v>50</v>
      </c>
      <c r="BD75" s="82">
        <v>20</v>
      </c>
      <c r="BE75" s="82">
        <v>20</v>
      </c>
      <c r="BF75" s="146">
        <v>20</v>
      </c>
      <c r="BG75" s="146"/>
    </row>
    <row r="76" spans="1:59" ht="12.75" customHeight="1" x14ac:dyDescent="0.15">
      <c r="A76" s="58" t="s">
        <v>140</v>
      </c>
      <c r="B76" s="57" t="s">
        <v>504</v>
      </c>
      <c r="C76" s="58" t="s">
        <v>505</v>
      </c>
      <c r="D76" s="59" t="s">
        <v>506</v>
      </c>
      <c r="E76" s="125"/>
      <c r="F76" s="125"/>
      <c r="G76" s="57"/>
      <c r="H76" s="57"/>
      <c r="I76" s="64"/>
      <c r="J76" s="57"/>
      <c r="K76" s="64">
        <v>59</v>
      </c>
      <c r="L76" s="57"/>
      <c r="M76" s="64">
        <v>50</v>
      </c>
      <c r="N76" s="57"/>
      <c r="O76" s="64">
        <v>84</v>
      </c>
      <c r="P76" s="57"/>
      <c r="Q76" s="64"/>
      <c r="R76" s="57"/>
      <c r="S76" s="64"/>
      <c r="T76" s="57"/>
      <c r="U76" s="64"/>
      <c r="V76" s="57"/>
      <c r="W76" s="70"/>
      <c r="X76" s="57"/>
      <c r="Y76" s="64"/>
      <c r="Z76" s="57"/>
      <c r="AA76" s="64"/>
      <c r="AB76" s="57"/>
      <c r="AC76" s="234"/>
      <c r="AD76" s="57"/>
      <c r="AE76" s="70"/>
      <c r="AF76" s="70">
        <f t="shared" si="4"/>
        <v>193</v>
      </c>
      <c r="AG76" s="70"/>
      <c r="AH76" s="70"/>
      <c r="AI76" s="70"/>
      <c r="AJ76" s="64"/>
      <c r="AK76" s="70"/>
      <c r="AL76" s="70"/>
      <c r="AM76" s="70"/>
      <c r="AN76" s="70"/>
      <c r="AO76" s="70"/>
      <c r="AP76" s="70">
        <f t="shared" ref="AP76:AP81" si="21">SUM(R76:AO76)</f>
        <v>193</v>
      </c>
      <c r="AQ76" s="70"/>
      <c r="AR76" s="74"/>
      <c r="AS76" s="70"/>
      <c r="AT76" s="235"/>
      <c r="AU76" s="70"/>
      <c r="AV76" s="57"/>
      <c r="AW76" s="57"/>
      <c r="AX76" s="70"/>
      <c r="AY76" s="70"/>
      <c r="AZ76" s="112"/>
      <c r="BA76" s="82"/>
      <c r="BB76" s="236"/>
      <c r="BC76" s="152"/>
      <c r="BD76" s="152"/>
      <c r="BE76" s="152"/>
      <c r="BF76" s="229"/>
      <c r="BG76" s="229"/>
    </row>
    <row r="77" spans="1:59" ht="12.75" customHeight="1" x14ac:dyDescent="0.15">
      <c r="A77" s="58" t="s">
        <v>140</v>
      </c>
      <c r="B77" s="57" t="s">
        <v>504</v>
      </c>
      <c r="C77" s="58" t="s">
        <v>507</v>
      </c>
      <c r="D77" s="36" t="s">
        <v>508</v>
      </c>
      <c r="E77" s="125"/>
      <c r="F77" s="125"/>
      <c r="G77" s="57"/>
      <c r="H77" s="57"/>
      <c r="I77" s="64"/>
      <c r="J77" s="57"/>
      <c r="K77" s="64">
        <v>20</v>
      </c>
      <c r="L77" s="57"/>
      <c r="M77" s="64"/>
      <c r="N77" s="57"/>
      <c r="O77" s="64"/>
      <c r="P77" s="57"/>
      <c r="Q77" s="64"/>
      <c r="R77" s="57"/>
      <c r="S77" s="64"/>
      <c r="T77" s="57"/>
      <c r="U77" s="64"/>
      <c r="V77" s="57"/>
      <c r="W77" s="70"/>
      <c r="X77" s="57"/>
      <c r="Y77" s="64"/>
      <c r="Z77" s="57"/>
      <c r="AA77" s="64"/>
      <c r="AB77" s="57"/>
      <c r="AC77" s="153"/>
      <c r="AD77" s="57"/>
      <c r="AE77" s="70"/>
      <c r="AF77" s="70">
        <f t="shared" si="4"/>
        <v>20</v>
      </c>
      <c r="AG77" s="70"/>
      <c r="AH77" s="70"/>
      <c r="AI77" s="70"/>
      <c r="AJ77" s="64"/>
      <c r="AK77" s="70"/>
      <c r="AL77" s="70"/>
      <c r="AM77" s="70"/>
      <c r="AN77" s="70"/>
      <c r="AO77" s="70"/>
      <c r="AP77" s="70">
        <f t="shared" si="21"/>
        <v>20</v>
      </c>
      <c r="AQ77" s="70"/>
      <c r="AR77" s="74"/>
      <c r="AS77" s="70"/>
      <c r="AT77" s="235"/>
      <c r="AU77" s="70"/>
      <c r="AV77" s="57"/>
      <c r="AW77" s="57"/>
      <c r="AX77" s="70"/>
      <c r="AY77" s="70"/>
      <c r="AZ77" s="112"/>
      <c r="BA77" s="82"/>
      <c r="BB77" s="236"/>
      <c r="BC77" s="152"/>
      <c r="BD77" s="152"/>
      <c r="BE77" s="152"/>
      <c r="BF77" s="229"/>
      <c r="BG77" s="229"/>
    </row>
    <row r="78" spans="1:59" ht="12.75" customHeight="1" x14ac:dyDescent="0.15">
      <c r="A78" s="58" t="s">
        <v>140</v>
      </c>
      <c r="B78" s="57" t="s">
        <v>504</v>
      </c>
      <c r="C78" s="58" t="s">
        <v>509</v>
      </c>
      <c r="D78" s="36" t="s">
        <v>510</v>
      </c>
      <c r="E78" s="125"/>
      <c r="F78" s="125"/>
      <c r="G78" s="57"/>
      <c r="H78" s="57"/>
      <c r="I78" s="64"/>
      <c r="J78" s="57"/>
      <c r="K78" s="64">
        <v>300</v>
      </c>
      <c r="L78" s="57"/>
      <c r="M78" s="64"/>
      <c r="N78" s="57"/>
      <c r="O78" s="64"/>
      <c r="P78" s="57"/>
      <c r="Q78" s="64"/>
      <c r="R78" s="57"/>
      <c r="S78" s="64"/>
      <c r="T78" s="57"/>
      <c r="U78" s="64"/>
      <c r="V78" s="57"/>
      <c r="W78" s="70"/>
      <c r="X78" s="57"/>
      <c r="Y78" s="64"/>
      <c r="Z78" s="57"/>
      <c r="AA78" s="64"/>
      <c r="AB78" s="57"/>
      <c r="AC78" s="153"/>
      <c r="AD78" s="57"/>
      <c r="AE78" s="70"/>
      <c r="AF78" s="70">
        <f t="shared" si="4"/>
        <v>300</v>
      </c>
      <c r="AG78" s="70"/>
      <c r="AH78" s="70"/>
      <c r="AI78" s="70"/>
      <c r="AJ78" s="64"/>
      <c r="AK78" s="70"/>
      <c r="AL78" s="70"/>
      <c r="AM78" s="70"/>
      <c r="AN78" s="70"/>
      <c r="AO78" s="70"/>
      <c r="AP78" s="70">
        <f t="shared" si="21"/>
        <v>300</v>
      </c>
      <c r="AQ78" s="70"/>
      <c r="AR78" s="74"/>
      <c r="AS78" s="70"/>
      <c r="AT78" s="235"/>
      <c r="AU78" s="70"/>
      <c r="AV78" s="57"/>
      <c r="AW78" s="57"/>
      <c r="AX78" s="70"/>
      <c r="AY78" s="70"/>
      <c r="AZ78" s="112"/>
      <c r="BA78" s="82"/>
      <c r="BB78" s="236"/>
      <c r="BC78" s="152"/>
      <c r="BD78" s="152"/>
      <c r="BE78" s="152"/>
      <c r="BF78" s="229"/>
      <c r="BG78" s="229"/>
    </row>
    <row r="79" spans="1:59" ht="12.75" customHeight="1" x14ac:dyDescent="0.15">
      <c r="A79" s="58" t="s">
        <v>140</v>
      </c>
      <c r="B79" s="57" t="s">
        <v>504</v>
      </c>
      <c r="C79" s="58" t="s">
        <v>511</v>
      </c>
      <c r="D79" s="36" t="s">
        <v>512</v>
      </c>
      <c r="E79" s="125"/>
      <c r="F79" s="125"/>
      <c r="G79" s="57"/>
      <c r="H79" s="57"/>
      <c r="I79" s="64"/>
      <c r="J79" s="57"/>
      <c r="K79" s="64"/>
      <c r="L79" s="57"/>
      <c r="M79" s="64">
        <f>AX136</f>
        <v>614</v>
      </c>
      <c r="N79" s="57"/>
      <c r="O79" s="64">
        <f>AX136</f>
        <v>614</v>
      </c>
      <c r="P79" s="57"/>
      <c r="Q79" s="64">
        <f>AX136</f>
        <v>614</v>
      </c>
      <c r="R79" s="57"/>
      <c r="S79" s="64"/>
      <c r="T79" s="57"/>
      <c r="U79" s="64"/>
      <c r="V79" s="57"/>
      <c r="W79" s="70"/>
      <c r="X79" s="57"/>
      <c r="Y79" s="64"/>
      <c r="Z79" s="57"/>
      <c r="AA79" s="64"/>
      <c r="AB79" s="57"/>
      <c r="AC79" s="153"/>
      <c r="AD79" s="57"/>
      <c r="AE79" s="70"/>
      <c r="AF79" s="70">
        <f t="shared" si="4"/>
        <v>1842</v>
      </c>
      <c r="AG79" s="70"/>
      <c r="AH79" s="70"/>
      <c r="AI79" s="70"/>
      <c r="AJ79" s="64"/>
      <c r="AK79" s="70"/>
      <c r="AL79" s="70"/>
      <c r="AM79" s="70"/>
      <c r="AN79" s="70"/>
      <c r="AO79" s="70"/>
      <c r="AP79" s="70">
        <f t="shared" si="21"/>
        <v>1842</v>
      </c>
      <c r="AQ79" s="70"/>
      <c r="AR79" s="74"/>
      <c r="AS79" s="70"/>
      <c r="AT79" s="235"/>
      <c r="AU79" s="70"/>
      <c r="AV79" s="57"/>
      <c r="AW79" s="57"/>
      <c r="AX79" s="70"/>
      <c r="AY79" s="70"/>
      <c r="AZ79" s="112"/>
      <c r="BA79" s="82"/>
      <c r="BB79" s="236"/>
      <c r="BC79" s="152"/>
      <c r="BD79" s="152"/>
      <c r="BE79" s="152"/>
      <c r="BF79" s="229"/>
      <c r="BG79" s="229"/>
    </row>
    <row r="80" spans="1:59" ht="12.75" customHeight="1" x14ac:dyDescent="0.15">
      <c r="A80" s="58" t="s">
        <v>140</v>
      </c>
      <c r="B80" s="220" t="s">
        <v>504</v>
      </c>
      <c r="C80" s="58" t="s">
        <v>513</v>
      </c>
      <c r="D80" s="36" t="s">
        <v>512</v>
      </c>
      <c r="E80" s="237"/>
      <c r="F80" s="237"/>
      <c r="G80" s="220"/>
      <c r="H80" s="220"/>
      <c r="I80" s="238"/>
      <c r="J80" s="220"/>
      <c r="K80" s="238"/>
      <c r="L80" s="220"/>
      <c r="M80" s="238">
        <f>BA136</f>
        <v>6420</v>
      </c>
      <c r="N80" s="220"/>
      <c r="O80" s="238">
        <f>BA136</f>
        <v>6420</v>
      </c>
      <c r="P80" s="220"/>
      <c r="Q80" s="238">
        <f>BA136</f>
        <v>6420</v>
      </c>
      <c r="R80" s="220"/>
      <c r="S80" s="238"/>
      <c r="T80" s="220"/>
      <c r="U80" s="238"/>
      <c r="V80" s="220"/>
      <c r="W80" s="238"/>
      <c r="X80" s="220"/>
      <c r="Y80" s="238"/>
      <c r="Z80" s="220"/>
      <c r="AA80" s="238"/>
      <c r="AB80" s="220"/>
      <c r="AC80" s="234"/>
      <c r="AD80" s="57"/>
      <c r="AE80" s="238"/>
      <c r="AF80" s="70">
        <f t="shared" si="4"/>
        <v>19260</v>
      </c>
      <c r="AG80" s="70"/>
      <c r="AH80" s="70"/>
      <c r="AI80" s="70"/>
      <c r="AJ80" s="70"/>
      <c r="AK80" s="70"/>
      <c r="AL80" s="70"/>
      <c r="AM80" s="70"/>
      <c r="AN80" s="70"/>
      <c r="AO80" s="70"/>
      <c r="AP80" s="70">
        <f t="shared" si="21"/>
        <v>19260</v>
      </c>
      <c r="AQ80" s="238"/>
      <c r="AR80" s="239"/>
      <c r="AS80" s="238"/>
      <c r="AT80" s="240"/>
      <c r="AU80" s="238"/>
      <c r="AV80" s="220"/>
      <c r="AW80" s="220"/>
      <c r="AX80" s="238"/>
      <c r="AY80" s="238"/>
      <c r="AZ80" s="237"/>
      <c r="BA80" s="241"/>
      <c r="BB80" s="220"/>
      <c r="BC80" s="242"/>
      <c r="BD80" s="242"/>
      <c r="BE80" s="241"/>
      <c r="BF80" s="243"/>
      <c r="BG80" s="243"/>
    </row>
    <row r="81" spans="1:59" ht="12.75" customHeight="1" x14ac:dyDescent="0.15">
      <c r="A81" s="58" t="s">
        <v>140</v>
      </c>
      <c r="B81" s="57" t="s">
        <v>504</v>
      </c>
      <c r="C81" s="59" t="s">
        <v>514</v>
      </c>
      <c r="D81" s="36" t="s">
        <v>512</v>
      </c>
      <c r="E81" s="125"/>
      <c r="F81" s="125"/>
      <c r="G81" s="57"/>
      <c r="H81" s="57"/>
      <c r="I81" s="64"/>
      <c r="J81" s="57"/>
      <c r="K81" s="64"/>
      <c r="L81" s="57"/>
      <c r="M81" s="64"/>
      <c r="N81" s="57"/>
      <c r="O81" s="64"/>
      <c r="P81" s="57"/>
      <c r="Q81" s="64"/>
      <c r="R81" s="57"/>
      <c r="S81" s="64"/>
      <c r="T81" s="57"/>
      <c r="U81" s="64"/>
      <c r="V81" s="57"/>
      <c r="W81" s="64"/>
      <c r="X81" s="57"/>
      <c r="Y81" s="64"/>
      <c r="Z81" s="57"/>
      <c r="AA81" s="64"/>
      <c r="AB81" s="57"/>
      <c r="AC81" s="153"/>
      <c r="AD81" s="57"/>
      <c r="AE81" s="70"/>
      <c r="AF81" s="70">
        <f t="shared" si="4"/>
        <v>0</v>
      </c>
      <c r="AG81" s="70"/>
      <c r="AH81" s="70"/>
      <c r="AI81" s="70"/>
      <c r="AJ81" s="64"/>
      <c r="AK81" s="70"/>
      <c r="AL81" s="70"/>
      <c r="AM81" s="70"/>
      <c r="AN81" s="70"/>
      <c r="AO81" s="70"/>
      <c r="AP81" s="70">
        <f t="shared" si="21"/>
        <v>0</v>
      </c>
      <c r="AQ81" s="70"/>
      <c r="AR81" s="74"/>
      <c r="AS81" s="70"/>
      <c r="AT81" s="235"/>
      <c r="AU81" s="70"/>
      <c r="AV81" s="57"/>
      <c r="AW81" s="57"/>
      <c r="AX81" s="70"/>
      <c r="AY81" s="70"/>
      <c r="AZ81" s="112"/>
      <c r="BA81" s="82"/>
      <c r="BB81" s="236"/>
      <c r="BC81" s="152"/>
      <c r="BD81" s="152"/>
      <c r="BE81" s="152"/>
      <c r="BF81" s="229"/>
      <c r="BG81" s="229"/>
    </row>
    <row r="82" spans="1:59" ht="12.75" customHeight="1" x14ac:dyDescent="0.15">
      <c r="A82" s="58" t="s">
        <v>140</v>
      </c>
      <c r="B82" s="58" t="s">
        <v>504</v>
      </c>
      <c r="C82" s="58" t="s">
        <v>515</v>
      </c>
      <c r="D82" s="36" t="s">
        <v>512</v>
      </c>
      <c r="E82" s="125"/>
      <c r="F82" s="125"/>
      <c r="G82" s="57"/>
      <c r="H82" s="57"/>
      <c r="I82" s="64"/>
      <c r="J82" s="57"/>
      <c r="K82" s="70"/>
      <c r="L82" s="57"/>
      <c r="M82" s="70">
        <f>'Bereavment Collection'!I71</f>
        <v>1400</v>
      </c>
      <c r="N82" s="57"/>
      <c r="O82" s="64">
        <f>'Bereavment Collection'!I71</f>
        <v>1400</v>
      </c>
      <c r="P82" s="57"/>
      <c r="Q82" s="64">
        <f>'Bereavment Collection'!I71</f>
        <v>1400</v>
      </c>
      <c r="R82" s="57"/>
      <c r="S82" s="64"/>
      <c r="T82" s="57"/>
      <c r="U82" s="64"/>
      <c r="V82" s="57"/>
      <c r="W82" s="70"/>
      <c r="X82" s="57"/>
      <c r="Y82" s="70"/>
      <c r="Z82" s="57"/>
      <c r="AA82" s="70"/>
      <c r="AB82" s="57"/>
      <c r="AC82" s="153"/>
      <c r="AD82" s="57"/>
      <c r="AE82" s="64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4"/>
      <c r="AS82" s="70"/>
      <c r="AT82" s="235"/>
      <c r="AU82" s="70"/>
      <c r="AV82" s="57"/>
      <c r="AW82" s="57"/>
      <c r="AX82" s="70"/>
      <c r="AY82" s="70"/>
      <c r="AZ82" s="112"/>
      <c r="BA82" s="82"/>
      <c r="BB82" s="236"/>
      <c r="BC82" s="152"/>
      <c r="BD82" s="152"/>
      <c r="BE82" s="152"/>
      <c r="BF82" s="229"/>
      <c r="BG82" s="229"/>
    </row>
    <row r="83" spans="1:59" ht="12.75" customHeight="1" x14ac:dyDescent="0.15">
      <c r="A83" s="58" t="s">
        <v>140</v>
      </c>
      <c r="B83" s="57" t="s">
        <v>504</v>
      </c>
      <c r="C83" s="58" t="s">
        <v>516</v>
      </c>
      <c r="D83" s="36" t="s">
        <v>512</v>
      </c>
      <c r="E83" s="125"/>
      <c r="F83" s="125"/>
      <c r="G83" s="57"/>
      <c r="H83" s="57"/>
      <c r="I83" s="64"/>
      <c r="J83" s="57"/>
      <c r="K83" s="64"/>
      <c r="L83" s="57"/>
      <c r="M83" s="64">
        <f>'Bereavment Collection'!J71</f>
        <v>1190</v>
      </c>
      <c r="N83" s="57"/>
      <c r="O83" s="64">
        <f>'Bereavment Collection'!J71</f>
        <v>1190</v>
      </c>
      <c r="P83" s="57"/>
      <c r="Q83" s="64">
        <f>'Bereavment Collection'!J71</f>
        <v>1190</v>
      </c>
      <c r="R83" s="57"/>
      <c r="S83" s="64"/>
      <c r="T83" s="57"/>
      <c r="U83" s="64"/>
      <c r="V83" s="57"/>
      <c r="W83" s="70"/>
      <c r="X83" s="57"/>
      <c r="Y83" s="70"/>
      <c r="Z83" s="57"/>
      <c r="AA83" s="64"/>
      <c r="AB83" s="57"/>
      <c r="AC83" s="234"/>
      <c r="AD83" s="57"/>
      <c r="AE83" s="70"/>
      <c r="AF83" s="70">
        <f t="shared" ref="AF83:AF135" si="22">SUM(H83:AE83)</f>
        <v>3570</v>
      </c>
      <c r="AG83" s="70"/>
      <c r="AH83" s="70"/>
      <c r="AI83" s="70"/>
      <c r="AJ83" s="70"/>
      <c r="AK83" s="70"/>
      <c r="AL83" s="70"/>
      <c r="AM83" s="70"/>
      <c r="AN83" s="70"/>
      <c r="AO83" s="70"/>
      <c r="AP83" s="70">
        <f t="shared" ref="AP83:AP135" si="23">SUM(R83:AO83)</f>
        <v>3570</v>
      </c>
      <c r="AQ83" s="70"/>
      <c r="AR83" s="74"/>
      <c r="AS83" s="70"/>
      <c r="AT83" s="235"/>
      <c r="AU83" s="70"/>
      <c r="AV83" s="57"/>
      <c r="AW83" s="57"/>
      <c r="AX83" s="70"/>
      <c r="AY83" s="70"/>
      <c r="AZ83" s="112"/>
      <c r="BA83" s="82"/>
      <c r="BB83" s="236"/>
      <c r="BC83" s="152"/>
      <c r="BD83" s="152"/>
      <c r="BE83" s="152"/>
      <c r="BF83" s="229"/>
      <c r="BG83" s="229"/>
    </row>
    <row r="84" spans="1:59" ht="12.75" customHeight="1" x14ac:dyDescent="0.15">
      <c r="A84" s="58" t="s">
        <v>140</v>
      </c>
      <c r="B84" s="57" t="s">
        <v>504</v>
      </c>
      <c r="C84" s="58" t="s">
        <v>517</v>
      </c>
      <c r="D84" s="58" t="s">
        <v>518</v>
      </c>
      <c r="E84" s="125"/>
      <c r="F84" s="125"/>
      <c r="G84" s="57"/>
      <c r="H84" s="57"/>
      <c r="I84" s="64"/>
      <c r="J84" s="57"/>
      <c r="K84" s="70"/>
      <c r="L84" s="57"/>
      <c r="M84" s="70"/>
      <c r="N84" s="57"/>
      <c r="O84" s="64"/>
      <c r="P84" s="57"/>
      <c r="Q84" s="70"/>
      <c r="R84" s="57"/>
      <c r="S84" s="64"/>
      <c r="T84" s="57"/>
      <c r="U84" s="64"/>
      <c r="V84" s="57"/>
      <c r="W84" s="70"/>
      <c r="X84" s="57"/>
      <c r="Y84" s="70"/>
      <c r="Z84" s="57"/>
      <c r="AA84" s="70"/>
      <c r="AB84" s="57"/>
      <c r="AC84" s="153"/>
      <c r="AD84" s="57"/>
      <c r="AE84" s="64"/>
      <c r="AF84" s="70">
        <f t="shared" si="22"/>
        <v>0</v>
      </c>
      <c r="AG84" s="70"/>
      <c r="AH84" s="70"/>
      <c r="AI84" s="70"/>
      <c r="AJ84" s="70"/>
      <c r="AK84" s="70"/>
      <c r="AL84" s="70"/>
      <c r="AM84" s="70"/>
      <c r="AN84" s="70"/>
      <c r="AO84" s="70"/>
      <c r="AP84" s="70">
        <f t="shared" si="23"/>
        <v>0</v>
      </c>
      <c r="AQ84" s="70"/>
      <c r="AR84" s="74"/>
      <c r="AS84" s="70"/>
      <c r="AT84" s="235"/>
      <c r="AU84" s="70"/>
      <c r="AV84" s="57"/>
      <c r="AW84" s="57"/>
      <c r="AX84" s="70"/>
      <c r="AY84" s="70"/>
      <c r="AZ84" s="112"/>
      <c r="BA84" s="82"/>
      <c r="BB84" s="236"/>
      <c r="BC84" s="152"/>
      <c r="BD84" s="152"/>
      <c r="BE84" s="152"/>
      <c r="BF84" s="229"/>
      <c r="BG84" s="229"/>
    </row>
    <row r="85" spans="1:59" ht="12.75" customHeight="1" x14ac:dyDescent="0.15">
      <c r="A85" s="58" t="s">
        <v>140</v>
      </c>
      <c r="B85" s="57" t="s">
        <v>504</v>
      </c>
      <c r="C85" s="58" t="s">
        <v>507</v>
      </c>
      <c r="D85" s="59" t="s">
        <v>519</v>
      </c>
      <c r="E85" s="125"/>
      <c r="F85" s="125"/>
      <c r="G85" s="57"/>
      <c r="H85" s="57"/>
      <c r="I85" s="64"/>
      <c r="J85" s="57"/>
      <c r="K85" s="64"/>
      <c r="L85" s="57"/>
      <c r="M85" s="64">
        <v>30</v>
      </c>
      <c r="N85" s="57"/>
      <c r="O85" s="70"/>
      <c r="P85" s="57"/>
      <c r="Q85" s="70"/>
      <c r="R85" s="57"/>
      <c r="S85" s="64"/>
      <c r="T85" s="57"/>
      <c r="U85" s="64"/>
      <c r="V85" s="57"/>
      <c r="W85" s="70"/>
      <c r="X85" s="57"/>
      <c r="Y85" s="70"/>
      <c r="Z85" s="57"/>
      <c r="AA85" s="64"/>
      <c r="AB85" s="57"/>
      <c r="AC85" s="234"/>
      <c r="AD85" s="57"/>
      <c r="AE85" s="70"/>
      <c r="AF85" s="70">
        <f t="shared" si="22"/>
        <v>30</v>
      </c>
      <c r="AG85" s="70"/>
      <c r="AH85" s="70"/>
      <c r="AI85" s="70"/>
      <c r="AJ85" s="70"/>
      <c r="AK85" s="70"/>
      <c r="AL85" s="70"/>
      <c r="AM85" s="70"/>
      <c r="AN85" s="70"/>
      <c r="AO85" s="70"/>
      <c r="AP85" s="70">
        <f t="shared" si="23"/>
        <v>30</v>
      </c>
      <c r="AQ85" s="70"/>
      <c r="AR85" s="74"/>
      <c r="AS85" s="70"/>
      <c r="AT85" s="235"/>
      <c r="AU85" s="70"/>
      <c r="AV85" s="57"/>
      <c r="AW85" s="57"/>
      <c r="AX85" s="70"/>
      <c r="AY85" s="70"/>
      <c r="AZ85" s="112"/>
      <c r="BA85" s="82"/>
      <c r="BB85" s="236"/>
      <c r="BC85" s="152"/>
      <c r="BD85" s="152"/>
      <c r="BE85" s="152"/>
      <c r="BF85" s="229"/>
      <c r="BG85" s="229"/>
    </row>
    <row r="86" spans="1:59" ht="12.75" customHeight="1" x14ac:dyDescent="0.15">
      <c r="A86" s="58" t="s">
        <v>140</v>
      </c>
      <c r="B86" s="57" t="s">
        <v>504</v>
      </c>
      <c r="C86" s="58" t="s">
        <v>507</v>
      </c>
      <c r="D86" s="59" t="s">
        <v>520</v>
      </c>
      <c r="E86" s="125"/>
      <c r="F86" s="125"/>
      <c r="G86" s="57"/>
      <c r="H86" s="57"/>
      <c r="I86" s="70"/>
      <c r="J86" s="57"/>
      <c r="K86" s="64"/>
      <c r="L86" s="57"/>
      <c r="M86" s="64">
        <v>20</v>
      </c>
      <c r="N86" s="57"/>
      <c r="O86" s="70"/>
      <c r="P86" s="57"/>
      <c r="Q86" s="64"/>
      <c r="R86" s="57"/>
      <c r="S86" s="64"/>
      <c r="T86" s="57"/>
      <c r="U86" s="64"/>
      <c r="V86" s="57"/>
      <c r="W86" s="70"/>
      <c r="X86" s="57"/>
      <c r="Y86" s="70"/>
      <c r="Z86" s="57"/>
      <c r="AA86" s="70"/>
      <c r="AB86" s="57"/>
      <c r="AC86" s="234"/>
      <c r="AD86" s="57"/>
      <c r="AE86" s="70"/>
      <c r="AF86" s="70">
        <f t="shared" si="22"/>
        <v>20</v>
      </c>
      <c r="AG86" s="70"/>
      <c r="AH86" s="70"/>
      <c r="AI86" s="70"/>
      <c r="AJ86" s="70"/>
      <c r="AK86" s="70"/>
      <c r="AL86" s="70"/>
      <c r="AM86" s="70"/>
      <c r="AN86" s="70"/>
      <c r="AO86" s="70"/>
      <c r="AP86" s="70">
        <f t="shared" si="23"/>
        <v>20</v>
      </c>
      <c r="AQ86" s="70"/>
      <c r="AR86" s="74"/>
      <c r="AS86" s="70"/>
      <c r="AT86" s="235"/>
      <c r="AU86" s="70"/>
      <c r="AV86" s="57"/>
      <c r="AW86" s="57"/>
      <c r="AX86" s="70"/>
      <c r="AY86" s="70"/>
      <c r="AZ86" s="112"/>
      <c r="BA86" s="82"/>
      <c r="BB86" s="236"/>
      <c r="BC86" s="152"/>
      <c r="BD86" s="152"/>
      <c r="BE86" s="152"/>
      <c r="BF86" s="229"/>
      <c r="BG86" s="229"/>
    </row>
    <row r="87" spans="1:59" ht="12.75" customHeight="1" x14ac:dyDescent="0.15">
      <c r="A87" s="58" t="s">
        <v>140</v>
      </c>
      <c r="B87" s="57" t="s">
        <v>504</v>
      </c>
      <c r="C87" s="58" t="s">
        <v>142</v>
      </c>
      <c r="D87" s="59" t="s">
        <v>143</v>
      </c>
      <c r="E87" s="125"/>
      <c r="F87" s="125"/>
      <c r="G87" s="57"/>
      <c r="H87" s="57"/>
      <c r="I87" s="70"/>
      <c r="J87" s="57"/>
      <c r="K87" s="64"/>
      <c r="L87" s="57"/>
      <c r="M87" s="64"/>
      <c r="N87" s="57"/>
      <c r="O87" s="70"/>
      <c r="P87" s="57"/>
      <c r="Q87" s="64"/>
      <c r="R87" s="57"/>
      <c r="S87" s="64">
        <v>70</v>
      </c>
      <c r="T87" s="57"/>
      <c r="U87" s="64" t="s">
        <v>108</v>
      </c>
      <c r="V87" s="57"/>
      <c r="W87" s="70"/>
      <c r="X87" s="57"/>
      <c r="Y87" s="70"/>
      <c r="Z87" s="57"/>
      <c r="AA87" s="70"/>
      <c r="AB87" s="57"/>
      <c r="AC87" s="234"/>
      <c r="AD87" s="57"/>
      <c r="AE87" s="70"/>
      <c r="AF87" s="70">
        <f t="shared" si="22"/>
        <v>70</v>
      </c>
      <c r="AG87" s="70"/>
      <c r="AH87" s="70"/>
      <c r="AI87" s="70"/>
      <c r="AJ87" s="70"/>
      <c r="AK87" s="70"/>
      <c r="AL87" s="70"/>
      <c r="AM87" s="70"/>
      <c r="AN87" s="70"/>
      <c r="AO87" s="70"/>
      <c r="AP87" s="70">
        <f t="shared" si="23"/>
        <v>140</v>
      </c>
      <c r="AQ87" s="70"/>
      <c r="AR87" s="74"/>
      <c r="AS87" s="70"/>
      <c r="AT87" s="235"/>
      <c r="AU87" s="70"/>
      <c r="AV87" s="57"/>
      <c r="AW87" s="57"/>
      <c r="AX87" s="70"/>
      <c r="AY87" s="70"/>
      <c r="AZ87" s="112"/>
      <c r="BA87" s="82"/>
      <c r="BB87" s="236"/>
      <c r="BC87" s="152"/>
      <c r="BD87" s="152"/>
      <c r="BE87" s="152"/>
      <c r="BF87" s="229"/>
      <c r="BG87" s="229"/>
    </row>
    <row r="88" spans="1:59" ht="12.75" customHeight="1" x14ac:dyDescent="0.15">
      <c r="A88" s="58" t="s">
        <v>140</v>
      </c>
      <c r="B88" s="57" t="s">
        <v>504</v>
      </c>
      <c r="C88" s="58"/>
      <c r="D88" s="59"/>
      <c r="E88" s="125"/>
      <c r="F88" s="125"/>
      <c r="G88" s="57"/>
      <c r="H88" s="57"/>
      <c r="I88" s="70"/>
      <c r="J88" s="57"/>
      <c r="K88" s="64"/>
      <c r="L88" s="57"/>
      <c r="M88" s="70"/>
      <c r="N88" s="57"/>
      <c r="O88" s="70"/>
      <c r="P88" s="57"/>
      <c r="Q88" s="70"/>
      <c r="R88" s="57"/>
      <c r="S88" s="64"/>
      <c r="T88" s="57"/>
      <c r="U88" s="64"/>
      <c r="V88" s="57"/>
      <c r="W88" s="64"/>
      <c r="X88" s="57"/>
      <c r="Y88" s="64"/>
      <c r="Z88" s="57"/>
      <c r="AA88" s="64"/>
      <c r="AB88" s="57"/>
      <c r="AC88" s="234"/>
      <c r="AD88" s="57"/>
      <c r="AE88" s="70"/>
      <c r="AF88" s="70">
        <f t="shared" si="22"/>
        <v>0</v>
      </c>
      <c r="AG88" s="70"/>
      <c r="AH88" s="70"/>
      <c r="AI88" s="70"/>
      <c r="AJ88" s="70"/>
      <c r="AK88" s="70"/>
      <c r="AL88" s="70"/>
      <c r="AM88" s="70"/>
      <c r="AN88" s="70"/>
      <c r="AO88" s="70"/>
      <c r="AP88" s="70">
        <f t="shared" si="23"/>
        <v>0</v>
      </c>
      <c r="AQ88" s="70"/>
      <c r="AR88" s="74"/>
      <c r="AS88" s="70"/>
      <c r="AT88" s="235"/>
      <c r="AU88" s="70"/>
      <c r="AV88" s="57"/>
      <c r="AW88" s="57"/>
      <c r="AX88" s="70"/>
      <c r="AY88" s="70"/>
      <c r="AZ88" s="112"/>
      <c r="BA88" s="82"/>
      <c r="BB88" s="236"/>
      <c r="BC88" s="152"/>
      <c r="BD88" s="152"/>
      <c r="BE88" s="152"/>
      <c r="BF88" s="229"/>
      <c r="BG88" s="229"/>
    </row>
    <row r="89" spans="1:59" ht="12.75" customHeight="1" x14ac:dyDescent="0.15">
      <c r="A89" s="58" t="s">
        <v>140</v>
      </c>
      <c r="B89" s="57" t="s">
        <v>504</v>
      </c>
      <c r="C89" s="58"/>
      <c r="D89" s="59"/>
      <c r="E89" s="125"/>
      <c r="F89" s="125"/>
      <c r="G89" s="57"/>
      <c r="H89" s="57"/>
      <c r="I89" s="70"/>
      <c r="J89" s="57"/>
      <c r="K89" s="64"/>
      <c r="L89" s="57"/>
      <c r="M89" s="70"/>
      <c r="N89" s="57"/>
      <c r="O89" s="64"/>
      <c r="P89" s="57"/>
      <c r="Q89" s="70"/>
      <c r="R89" s="57"/>
      <c r="S89" s="64"/>
      <c r="T89" s="57"/>
      <c r="U89" s="64"/>
      <c r="V89" s="57"/>
      <c r="W89" s="64"/>
      <c r="X89" s="57"/>
      <c r="Y89" s="64"/>
      <c r="Z89" s="57"/>
      <c r="AA89" s="64"/>
      <c r="AB89" s="57"/>
      <c r="AC89" s="234"/>
      <c r="AD89" s="57"/>
      <c r="AE89" s="70"/>
      <c r="AF89" s="70">
        <f t="shared" si="22"/>
        <v>0</v>
      </c>
      <c r="AG89" s="70"/>
      <c r="AH89" s="70"/>
      <c r="AI89" s="70"/>
      <c r="AJ89" s="70"/>
      <c r="AK89" s="70"/>
      <c r="AL89" s="70"/>
      <c r="AM89" s="70"/>
      <c r="AN89" s="70"/>
      <c r="AO89" s="70"/>
      <c r="AP89" s="70">
        <f t="shared" si="23"/>
        <v>0</v>
      </c>
      <c r="AQ89" s="70"/>
      <c r="AR89" s="74"/>
      <c r="AS89" s="70"/>
      <c r="AT89" s="235"/>
      <c r="AU89" s="70"/>
      <c r="AV89" s="57"/>
      <c r="AW89" s="57"/>
      <c r="AX89" s="70"/>
      <c r="AY89" s="70"/>
      <c r="AZ89" s="112"/>
      <c r="BA89" s="82"/>
      <c r="BB89" s="236"/>
      <c r="BC89" s="152"/>
      <c r="BD89" s="82"/>
      <c r="BE89" s="152"/>
      <c r="BF89" s="229"/>
      <c r="BG89" s="229"/>
    </row>
    <row r="90" spans="1:59" ht="12.75" customHeight="1" x14ac:dyDescent="0.15">
      <c r="A90" s="58" t="s">
        <v>140</v>
      </c>
      <c r="B90" s="57" t="s">
        <v>504</v>
      </c>
      <c r="C90" s="58"/>
      <c r="D90" s="59"/>
      <c r="E90" s="125"/>
      <c r="F90" s="125"/>
      <c r="G90" s="57"/>
      <c r="H90" s="57"/>
      <c r="I90" s="70"/>
      <c r="J90" s="57"/>
      <c r="K90" s="64"/>
      <c r="L90" s="57"/>
      <c r="M90" s="70"/>
      <c r="N90" s="57"/>
      <c r="O90" s="64"/>
      <c r="P90" s="57"/>
      <c r="Q90" s="70"/>
      <c r="R90" s="57"/>
      <c r="S90" s="64"/>
      <c r="T90" s="57"/>
      <c r="U90" s="64"/>
      <c r="V90" s="57"/>
      <c r="W90" s="64"/>
      <c r="X90" s="57"/>
      <c r="Y90" s="70"/>
      <c r="Z90" s="57"/>
      <c r="AA90" s="64"/>
      <c r="AB90" s="57"/>
      <c r="AC90" s="234"/>
      <c r="AD90" s="57"/>
      <c r="AE90" s="70"/>
      <c r="AF90" s="70">
        <f t="shared" si="22"/>
        <v>0</v>
      </c>
      <c r="AG90" s="70"/>
      <c r="AH90" s="70"/>
      <c r="AI90" s="70"/>
      <c r="AJ90" s="70"/>
      <c r="AK90" s="70"/>
      <c r="AL90" s="70"/>
      <c r="AM90" s="70"/>
      <c r="AN90" s="70"/>
      <c r="AO90" s="70"/>
      <c r="AP90" s="70">
        <f t="shared" si="23"/>
        <v>0</v>
      </c>
      <c r="AQ90" s="70"/>
      <c r="AR90" s="74"/>
      <c r="AS90" s="70"/>
      <c r="AT90" s="235"/>
      <c r="AU90" s="70"/>
      <c r="AV90" s="57"/>
      <c r="AW90" s="57"/>
      <c r="AX90" s="70"/>
      <c r="AY90" s="70"/>
      <c r="AZ90" s="112"/>
      <c r="BA90" s="82"/>
      <c r="BB90" s="236"/>
      <c r="BC90" s="152"/>
      <c r="BD90" s="152"/>
      <c r="BE90" s="152"/>
      <c r="BF90" s="229"/>
      <c r="BG90" s="229"/>
    </row>
    <row r="91" spans="1:59" ht="12.75" customHeight="1" x14ac:dyDescent="0.15">
      <c r="A91" s="58" t="s">
        <v>140</v>
      </c>
      <c r="B91" s="57" t="s">
        <v>504</v>
      </c>
      <c r="C91" s="58"/>
      <c r="D91" s="59"/>
      <c r="E91" s="125"/>
      <c r="F91" s="125"/>
      <c r="G91" s="57"/>
      <c r="H91" s="57"/>
      <c r="I91" s="70"/>
      <c r="J91" s="57"/>
      <c r="K91" s="64"/>
      <c r="L91" s="57"/>
      <c r="M91" s="70"/>
      <c r="N91" s="57"/>
      <c r="O91" s="70"/>
      <c r="P91" s="57"/>
      <c r="Q91" s="70"/>
      <c r="R91" s="57"/>
      <c r="S91" s="70"/>
      <c r="T91" s="57"/>
      <c r="U91" s="64"/>
      <c r="V91" s="57"/>
      <c r="W91" s="70"/>
      <c r="X91" s="57"/>
      <c r="Y91" s="64"/>
      <c r="Z91" s="57"/>
      <c r="AA91" s="70"/>
      <c r="AB91" s="57"/>
      <c r="AC91" s="153"/>
      <c r="AD91" s="57"/>
      <c r="AE91" s="64"/>
      <c r="AF91" s="70">
        <f t="shared" si="22"/>
        <v>0</v>
      </c>
      <c r="AG91" s="70"/>
      <c r="AH91" s="70"/>
      <c r="AI91" s="70"/>
      <c r="AJ91" s="70"/>
      <c r="AK91" s="70"/>
      <c r="AL91" s="70"/>
      <c r="AM91" s="70"/>
      <c r="AN91" s="70"/>
      <c r="AO91" s="70"/>
      <c r="AP91" s="70">
        <f t="shared" si="23"/>
        <v>0</v>
      </c>
      <c r="AQ91" s="70"/>
      <c r="AR91" s="74"/>
      <c r="AS91" s="70"/>
      <c r="AT91" s="235"/>
      <c r="AU91" s="70"/>
      <c r="AV91" s="57"/>
      <c r="AW91" s="57"/>
      <c r="AX91" s="70"/>
      <c r="AY91" s="70"/>
      <c r="AZ91" s="81"/>
      <c r="BA91" s="82"/>
      <c r="BB91" s="236"/>
      <c r="BC91" s="152"/>
      <c r="BD91" s="152"/>
      <c r="BE91" s="152"/>
      <c r="BF91" s="229"/>
      <c r="BG91" s="229"/>
    </row>
    <row r="92" spans="1:59" ht="12.75" customHeight="1" x14ac:dyDescent="0.15">
      <c r="A92" s="58" t="s">
        <v>140</v>
      </c>
      <c r="B92" s="57" t="s">
        <v>504</v>
      </c>
      <c r="C92" s="58"/>
      <c r="D92" s="59"/>
      <c r="E92" s="125"/>
      <c r="F92" s="125"/>
      <c r="G92" s="57"/>
      <c r="H92" s="57"/>
      <c r="I92" s="70"/>
      <c r="J92" s="57"/>
      <c r="K92" s="64"/>
      <c r="L92" s="57"/>
      <c r="M92" s="70"/>
      <c r="N92" s="57"/>
      <c r="O92" s="70"/>
      <c r="P92" s="57"/>
      <c r="Q92" s="70"/>
      <c r="R92" s="57"/>
      <c r="S92" s="70"/>
      <c r="T92" s="57"/>
      <c r="U92" s="64"/>
      <c r="V92" s="57"/>
      <c r="W92" s="64"/>
      <c r="X92" s="57"/>
      <c r="Y92" s="64"/>
      <c r="Z92" s="57"/>
      <c r="AA92" s="70"/>
      <c r="AB92" s="57"/>
      <c r="AC92" s="153"/>
      <c r="AD92" s="57"/>
      <c r="AE92" s="64"/>
      <c r="AF92" s="70">
        <f t="shared" si="22"/>
        <v>0</v>
      </c>
      <c r="AG92" s="70"/>
      <c r="AH92" s="70"/>
      <c r="AI92" s="70"/>
      <c r="AJ92" s="70"/>
      <c r="AK92" s="70"/>
      <c r="AL92" s="70"/>
      <c r="AM92" s="70"/>
      <c r="AN92" s="70"/>
      <c r="AO92" s="70"/>
      <c r="AP92" s="70">
        <f t="shared" si="23"/>
        <v>0</v>
      </c>
      <c r="AQ92" s="70"/>
      <c r="AR92" s="74"/>
      <c r="AS92" s="70"/>
      <c r="AT92" s="235"/>
      <c r="AU92" s="70"/>
      <c r="AV92" s="57"/>
      <c r="AW92" s="57"/>
      <c r="AX92" s="70"/>
      <c r="AY92" s="70"/>
      <c r="AZ92" s="81"/>
      <c r="BA92" s="82"/>
      <c r="BB92" s="236"/>
      <c r="BC92" s="152"/>
      <c r="BD92" s="152"/>
      <c r="BE92" s="152"/>
      <c r="BF92" s="229"/>
      <c r="BG92" s="229"/>
    </row>
    <row r="93" spans="1:59" ht="12.75" customHeight="1" x14ac:dyDescent="0.15">
      <c r="A93" s="58" t="s">
        <v>140</v>
      </c>
      <c r="B93" s="57" t="s">
        <v>504</v>
      </c>
      <c r="D93" s="59"/>
      <c r="E93" s="125"/>
      <c r="F93" s="125"/>
      <c r="G93" s="57"/>
      <c r="H93" s="57"/>
      <c r="I93" s="70"/>
      <c r="J93" s="57"/>
      <c r="K93" s="64"/>
      <c r="L93" s="57"/>
      <c r="M93" s="70"/>
      <c r="N93" s="57"/>
      <c r="O93" s="70"/>
      <c r="P93" s="57"/>
      <c r="Q93" s="70"/>
      <c r="R93" s="57"/>
      <c r="S93" s="70"/>
      <c r="T93" s="57"/>
      <c r="U93" s="64"/>
      <c r="V93" s="57"/>
      <c r="W93" s="64"/>
      <c r="X93" s="57"/>
      <c r="Y93" s="64"/>
      <c r="Z93" s="57"/>
      <c r="AA93" s="64"/>
      <c r="AB93" s="57"/>
      <c r="AC93" s="153"/>
      <c r="AD93" s="57"/>
      <c r="AE93" s="64"/>
      <c r="AF93" s="70">
        <f t="shared" si="22"/>
        <v>0</v>
      </c>
      <c r="AG93" s="70"/>
      <c r="AH93" s="70"/>
      <c r="AI93" s="70"/>
      <c r="AJ93" s="70"/>
      <c r="AK93" s="70"/>
      <c r="AL93" s="70"/>
      <c r="AM93" s="70"/>
      <c r="AN93" s="70"/>
      <c r="AO93" s="70"/>
      <c r="AP93" s="70">
        <f t="shared" si="23"/>
        <v>0</v>
      </c>
      <c r="AQ93" s="70"/>
      <c r="AR93" s="74"/>
      <c r="AS93" s="70"/>
      <c r="AT93" s="235"/>
      <c r="AU93" s="70"/>
      <c r="AV93" s="57"/>
      <c r="AW93" s="57"/>
      <c r="AX93" s="70"/>
      <c r="AY93" s="70"/>
      <c r="AZ93" s="81"/>
      <c r="BA93" s="82"/>
      <c r="BB93" s="236"/>
      <c r="BC93" s="152"/>
      <c r="BD93" s="152"/>
      <c r="BE93" s="152"/>
      <c r="BF93" s="229"/>
      <c r="BG93" s="229"/>
    </row>
    <row r="94" spans="1:59" ht="12.75" customHeight="1" x14ac:dyDescent="0.15">
      <c r="A94" s="58" t="s">
        <v>140</v>
      </c>
      <c r="B94" s="57" t="s">
        <v>504</v>
      </c>
      <c r="D94" s="59"/>
      <c r="E94" s="125"/>
      <c r="F94" s="125"/>
      <c r="G94" s="57"/>
      <c r="H94" s="57"/>
      <c r="I94" s="70"/>
      <c r="J94" s="57"/>
      <c r="K94" s="64"/>
      <c r="L94" s="57"/>
      <c r="M94" s="70"/>
      <c r="N94" s="57"/>
      <c r="O94" s="70"/>
      <c r="P94" s="57"/>
      <c r="Q94" s="70"/>
      <c r="R94" s="57"/>
      <c r="S94" s="70"/>
      <c r="T94" s="57"/>
      <c r="U94" s="64"/>
      <c r="V94" s="57"/>
      <c r="W94" s="70"/>
      <c r="X94" s="57"/>
      <c r="Y94" s="64"/>
      <c r="Z94" s="57"/>
      <c r="AA94" s="64"/>
      <c r="AB94" s="57"/>
      <c r="AC94" s="153"/>
      <c r="AD94" s="57"/>
      <c r="AE94" s="70"/>
      <c r="AF94" s="70">
        <f t="shared" si="22"/>
        <v>0</v>
      </c>
      <c r="AG94" s="70"/>
      <c r="AH94" s="70"/>
      <c r="AI94" s="70"/>
      <c r="AJ94" s="70"/>
      <c r="AK94" s="70"/>
      <c r="AL94" s="70"/>
      <c r="AM94" s="70"/>
      <c r="AN94" s="70"/>
      <c r="AO94" s="70"/>
      <c r="AP94" s="70">
        <f t="shared" si="23"/>
        <v>0</v>
      </c>
      <c r="AQ94" s="70"/>
      <c r="AR94" s="74"/>
      <c r="AS94" s="70"/>
      <c r="AT94" s="235"/>
      <c r="AU94" s="70"/>
      <c r="AV94" s="57"/>
      <c r="AW94" s="57"/>
      <c r="AX94" s="70"/>
      <c r="AY94" s="70"/>
      <c r="AZ94" s="81"/>
      <c r="BA94" s="82"/>
      <c r="BB94" s="236"/>
      <c r="BC94" s="152"/>
      <c r="BD94" s="152"/>
      <c r="BE94" s="152"/>
      <c r="BF94" s="229"/>
      <c r="BG94" s="229"/>
    </row>
    <row r="95" spans="1:59" ht="12.75" customHeight="1" x14ac:dyDescent="0.15">
      <c r="A95" s="58" t="s">
        <v>140</v>
      </c>
      <c r="B95" s="57" t="s">
        <v>504</v>
      </c>
      <c r="C95" s="58"/>
      <c r="D95" s="59"/>
      <c r="E95" s="125"/>
      <c r="F95" s="125"/>
      <c r="G95" s="57"/>
      <c r="H95" s="57"/>
      <c r="I95" s="70"/>
      <c r="J95" s="57"/>
      <c r="K95" s="244"/>
      <c r="L95" s="57"/>
      <c r="M95" s="70"/>
      <c r="N95" s="57"/>
      <c r="O95" s="70"/>
      <c r="P95" s="57"/>
      <c r="Q95" s="64"/>
      <c r="R95" s="57"/>
      <c r="S95" s="64"/>
      <c r="T95" s="57"/>
      <c r="U95" s="64"/>
      <c r="V95" s="57"/>
      <c r="W95" s="70"/>
      <c r="X95" s="57"/>
      <c r="Y95" s="70"/>
      <c r="Z95" s="57"/>
      <c r="AA95" s="70"/>
      <c r="AB95" s="57"/>
      <c r="AC95" s="153"/>
      <c r="AD95" s="57"/>
      <c r="AE95" s="70"/>
      <c r="AF95" s="70">
        <f t="shared" si="22"/>
        <v>0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70">
        <f t="shared" si="23"/>
        <v>0</v>
      </c>
      <c r="AQ95" s="70"/>
      <c r="AR95" s="74"/>
      <c r="AS95" s="70"/>
      <c r="AT95" s="235"/>
      <c r="AU95" s="70"/>
      <c r="AV95" s="57"/>
      <c r="AW95" s="57"/>
      <c r="AX95" s="70"/>
      <c r="AY95" s="70"/>
      <c r="AZ95" s="81"/>
      <c r="BA95" s="82"/>
      <c r="BB95" s="236"/>
      <c r="BC95" s="152"/>
      <c r="BD95" s="152"/>
      <c r="BE95" s="152"/>
      <c r="BF95" s="229"/>
      <c r="BG95" s="229"/>
    </row>
    <row r="96" spans="1:59" ht="12.75" customHeight="1" x14ac:dyDescent="0.15">
      <c r="A96" s="58" t="s">
        <v>140</v>
      </c>
      <c r="B96" s="57" t="s">
        <v>504</v>
      </c>
      <c r="C96" s="58"/>
      <c r="D96" s="59"/>
      <c r="E96" s="125"/>
      <c r="F96" s="125"/>
      <c r="G96" s="57"/>
      <c r="H96" s="57"/>
      <c r="I96" s="70"/>
      <c r="J96" s="57"/>
      <c r="K96" s="70"/>
      <c r="L96" s="57"/>
      <c r="M96" s="70"/>
      <c r="N96" s="57"/>
      <c r="O96" s="64"/>
      <c r="P96" s="57"/>
      <c r="Q96" s="70"/>
      <c r="R96" s="57"/>
      <c r="S96" s="64"/>
      <c r="T96" s="57"/>
      <c r="U96" s="64"/>
      <c r="V96" s="57"/>
      <c r="W96" s="64"/>
      <c r="X96" s="57"/>
      <c r="Y96" s="64"/>
      <c r="Z96" s="57"/>
      <c r="AA96" s="70"/>
      <c r="AB96" s="57"/>
      <c r="AC96" s="234"/>
      <c r="AD96" s="57"/>
      <c r="AE96" s="64"/>
      <c r="AF96" s="70">
        <f t="shared" si="22"/>
        <v>0</v>
      </c>
      <c r="AG96" s="70"/>
      <c r="AH96" s="70"/>
      <c r="AI96" s="70"/>
      <c r="AJ96" s="70"/>
      <c r="AK96" s="70"/>
      <c r="AL96" s="70"/>
      <c r="AM96" s="70"/>
      <c r="AN96" s="70"/>
      <c r="AO96" s="70"/>
      <c r="AP96" s="70">
        <f t="shared" si="23"/>
        <v>0</v>
      </c>
      <c r="AQ96" s="70"/>
      <c r="AR96" s="74"/>
      <c r="AS96" s="70"/>
      <c r="AT96" s="235"/>
      <c r="AU96" s="70"/>
      <c r="AV96" s="57"/>
      <c r="AW96" s="57"/>
      <c r="AX96" s="70"/>
      <c r="AY96" s="70"/>
      <c r="AZ96" s="112"/>
      <c r="BA96" s="82"/>
      <c r="BB96" s="236"/>
      <c r="BC96" s="152"/>
      <c r="BD96" s="152"/>
      <c r="BE96" s="152"/>
      <c r="BF96" s="229"/>
      <c r="BG96" s="229"/>
    </row>
    <row r="97" spans="1:59" ht="12.75" customHeight="1" x14ac:dyDescent="0.15">
      <c r="A97" s="58" t="s">
        <v>205</v>
      </c>
      <c r="B97" s="57" t="s">
        <v>504</v>
      </c>
      <c r="C97" s="57" t="s">
        <v>206</v>
      </c>
      <c r="D97" s="103" t="s">
        <v>521</v>
      </c>
      <c r="E97" s="125"/>
      <c r="F97" s="125"/>
      <c r="G97" s="57"/>
      <c r="H97" s="57"/>
      <c r="I97" s="64"/>
      <c r="J97" s="57"/>
      <c r="K97" s="244">
        <v>100</v>
      </c>
      <c r="L97" s="57"/>
      <c r="M97" s="64">
        <v>100</v>
      </c>
      <c r="N97" s="57"/>
      <c r="O97" s="64">
        <v>100</v>
      </c>
      <c r="P97" s="57"/>
      <c r="Q97" s="64">
        <v>100</v>
      </c>
      <c r="R97" s="57"/>
      <c r="S97" s="64"/>
      <c r="T97" s="57"/>
      <c r="U97" s="64"/>
      <c r="V97" s="57"/>
      <c r="W97" s="64"/>
      <c r="X97" s="57"/>
      <c r="Y97" s="64"/>
      <c r="Z97" s="57"/>
      <c r="AA97" s="64"/>
      <c r="AB97" s="57"/>
      <c r="AC97" s="234"/>
      <c r="AD97" s="57"/>
      <c r="AE97" s="64"/>
      <c r="AF97" s="70">
        <f t="shared" si="22"/>
        <v>400</v>
      </c>
      <c r="AG97" s="70"/>
      <c r="AH97" s="70"/>
      <c r="AI97" s="70"/>
      <c r="AJ97" s="70"/>
      <c r="AK97" s="70"/>
      <c r="AL97" s="70"/>
      <c r="AM97" s="70"/>
      <c r="AN97" s="70"/>
      <c r="AO97" s="70"/>
      <c r="AP97" s="70">
        <f t="shared" si="23"/>
        <v>400</v>
      </c>
      <c r="AQ97" s="70"/>
      <c r="AR97" s="74"/>
      <c r="AS97" s="70"/>
      <c r="AT97" s="235"/>
      <c r="AU97" s="70"/>
      <c r="AV97" s="57"/>
      <c r="AW97" s="57"/>
      <c r="AX97" s="70"/>
      <c r="AY97" s="70"/>
      <c r="AZ97" s="112"/>
      <c r="BA97" s="82"/>
      <c r="BB97" s="236"/>
      <c r="BC97" s="152"/>
      <c r="BD97" s="152"/>
      <c r="BE97" s="152"/>
      <c r="BF97" s="229"/>
      <c r="BG97" s="229"/>
    </row>
    <row r="98" spans="1:59" ht="12.75" customHeight="1" x14ac:dyDescent="0.15">
      <c r="A98" s="58" t="s">
        <v>205</v>
      </c>
      <c r="B98" s="57" t="s">
        <v>504</v>
      </c>
      <c r="C98" s="58" t="s">
        <v>206</v>
      </c>
      <c r="D98" s="59" t="s">
        <v>522</v>
      </c>
      <c r="E98" s="125"/>
      <c r="F98" s="125"/>
      <c r="G98" s="57"/>
      <c r="H98" s="57"/>
      <c r="I98" s="70"/>
      <c r="J98" s="57"/>
      <c r="K98" s="244">
        <v>750</v>
      </c>
      <c r="L98" s="57"/>
      <c r="M98" s="64"/>
      <c r="N98" s="57"/>
      <c r="O98" s="64">
        <v>4200</v>
      </c>
      <c r="P98" s="57"/>
      <c r="Q98" s="64">
        <v>4200</v>
      </c>
      <c r="R98" s="57"/>
      <c r="S98" s="64"/>
      <c r="T98" s="57"/>
      <c r="U98" s="64"/>
      <c r="V98" s="57"/>
      <c r="W98" s="64"/>
      <c r="X98" s="57"/>
      <c r="Y98" s="64"/>
      <c r="Z98" s="57"/>
      <c r="AA98" s="64"/>
      <c r="AB98" s="57"/>
      <c r="AC98" s="234"/>
      <c r="AD98" s="57"/>
      <c r="AE98" s="64"/>
      <c r="AF98" s="70">
        <f t="shared" si="22"/>
        <v>9150</v>
      </c>
      <c r="AG98" s="70"/>
      <c r="AH98" s="70"/>
      <c r="AI98" s="70"/>
      <c r="AJ98" s="70"/>
      <c r="AK98" s="70"/>
      <c r="AL98" s="70"/>
      <c r="AM98" s="70"/>
      <c r="AN98" s="70"/>
      <c r="AO98" s="70"/>
      <c r="AP98" s="70">
        <f t="shared" si="23"/>
        <v>9150</v>
      </c>
      <c r="AQ98" s="70"/>
      <c r="AR98" s="74"/>
      <c r="AS98" s="70"/>
      <c r="AT98" s="235"/>
      <c r="AU98" s="70"/>
      <c r="AV98" s="57"/>
      <c r="AW98" s="57"/>
      <c r="AX98" s="70"/>
      <c r="AY98" s="70"/>
      <c r="AZ98" s="81"/>
      <c r="BA98" s="82"/>
      <c r="BB98" s="236"/>
      <c r="BC98" s="152"/>
      <c r="BD98" s="152"/>
      <c r="BE98" s="152"/>
      <c r="BF98" s="229"/>
      <c r="BG98" s="229"/>
    </row>
    <row r="99" spans="1:59" ht="12.75" customHeight="1" x14ac:dyDescent="0.15">
      <c r="A99" s="58" t="s">
        <v>205</v>
      </c>
      <c r="B99" s="57" t="s">
        <v>504</v>
      </c>
      <c r="C99" s="58" t="s">
        <v>206</v>
      </c>
      <c r="D99" s="59" t="s">
        <v>523</v>
      </c>
      <c r="E99" s="125"/>
      <c r="F99" s="125"/>
      <c r="G99" s="57"/>
      <c r="H99" s="57"/>
      <c r="I99" s="70"/>
      <c r="J99" s="57"/>
      <c r="K99" s="244">
        <v>50</v>
      </c>
      <c r="L99" s="57"/>
      <c r="M99" s="70"/>
      <c r="N99" s="57"/>
      <c r="O99" s="70"/>
      <c r="P99" s="57"/>
      <c r="Q99" s="64"/>
      <c r="R99" s="57"/>
      <c r="S99" s="64"/>
      <c r="T99" s="57"/>
      <c r="U99" s="64"/>
      <c r="V99" s="57"/>
      <c r="W99" s="64"/>
      <c r="X99" s="57"/>
      <c r="Y99" s="64"/>
      <c r="Z99" s="57"/>
      <c r="AA99" s="64"/>
      <c r="AB99" s="57"/>
      <c r="AC99" s="234"/>
      <c r="AD99" s="57"/>
      <c r="AE99" s="64"/>
      <c r="AF99" s="70">
        <f t="shared" si="22"/>
        <v>50</v>
      </c>
      <c r="AG99" s="70"/>
      <c r="AH99" s="70"/>
      <c r="AI99" s="70"/>
      <c r="AJ99" s="70"/>
      <c r="AK99" s="70"/>
      <c r="AL99" s="70"/>
      <c r="AM99" s="70"/>
      <c r="AN99" s="70"/>
      <c r="AO99" s="70"/>
      <c r="AP99" s="70">
        <f t="shared" si="23"/>
        <v>50</v>
      </c>
      <c r="AQ99" s="70"/>
      <c r="AR99" s="74"/>
      <c r="AS99" s="70"/>
      <c r="AT99" s="235"/>
      <c r="AU99" s="70"/>
      <c r="AV99" s="57"/>
      <c r="AW99" s="57"/>
      <c r="AX99" s="70"/>
      <c r="AY99" s="70"/>
      <c r="AZ99" s="81"/>
      <c r="BA99" s="82"/>
      <c r="BB99" s="236"/>
      <c r="BC99" s="152"/>
      <c r="BD99" s="152"/>
      <c r="BE99" s="152"/>
      <c r="BF99" s="84"/>
      <c r="BG99" s="229"/>
    </row>
    <row r="100" spans="1:59" ht="12.75" customHeight="1" x14ac:dyDescent="0.15">
      <c r="A100" s="58" t="s">
        <v>205</v>
      </c>
      <c r="B100" s="57" t="s">
        <v>504</v>
      </c>
      <c r="C100" s="58" t="s">
        <v>206</v>
      </c>
      <c r="D100" s="59" t="s">
        <v>524</v>
      </c>
      <c r="E100" s="125"/>
      <c r="F100" s="125"/>
      <c r="G100" s="57"/>
      <c r="H100" s="57"/>
      <c r="I100" s="70"/>
      <c r="J100" s="57"/>
      <c r="K100" s="244"/>
      <c r="L100" s="57"/>
      <c r="M100" s="70"/>
      <c r="N100" s="57"/>
      <c r="O100" s="70"/>
      <c r="P100" s="57"/>
      <c r="Q100" s="64">
        <v>500</v>
      </c>
      <c r="R100" s="57"/>
      <c r="S100" s="64"/>
      <c r="T100" s="57"/>
      <c r="U100" s="64"/>
      <c r="V100" s="57"/>
      <c r="W100" s="64"/>
      <c r="X100" s="57"/>
      <c r="Y100" s="64"/>
      <c r="Z100" s="57"/>
      <c r="AA100" s="64"/>
      <c r="AB100" s="57"/>
      <c r="AC100" s="234"/>
      <c r="AD100" s="57"/>
      <c r="AE100" s="64"/>
      <c r="AF100" s="70">
        <f t="shared" si="22"/>
        <v>500</v>
      </c>
      <c r="AG100" s="70"/>
      <c r="AH100" s="70"/>
      <c r="AI100" s="70"/>
      <c r="AJ100" s="70"/>
      <c r="AK100" s="70"/>
      <c r="AL100" s="70"/>
      <c r="AM100" s="70"/>
      <c r="AN100" s="70"/>
      <c r="AO100" s="70"/>
      <c r="AP100" s="70">
        <f t="shared" si="23"/>
        <v>500</v>
      </c>
      <c r="AQ100" s="70"/>
      <c r="AR100" s="74"/>
      <c r="AS100" s="70"/>
      <c r="AT100" s="235"/>
      <c r="AU100" s="70"/>
      <c r="AV100" s="57"/>
      <c r="AW100" s="57"/>
      <c r="AX100" s="70"/>
      <c r="AY100" s="70"/>
      <c r="AZ100" s="81"/>
      <c r="BA100" s="82"/>
      <c r="BB100" s="236"/>
      <c r="BC100" s="152"/>
      <c r="BD100" s="152"/>
      <c r="BE100" s="82"/>
      <c r="BF100" s="229"/>
      <c r="BG100" s="229"/>
    </row>
    <row r="101" spans="1:59" ht="12.75" customHeight="1" x14ac:dyDescent="0.15">
      <c r="A101" s="58" t="s">
        <v>205</v>
      </c>
      <c r="B101" s="57" t="s">
        <v>504</v>
      </c>
      <c r="C101" s="57" t="s">
        <v>206</v>
      </c>
      <c r="D101" s="59"/>
      <c r="E101" s="125"/>
      <c r="F101" s="125"/>
      <c r="G101" s="57"/>
      <c r="H101" s="57"/>
      <c r="I101" s="70"/>
      <c r="J101" s="57"/>
      <c r="K101" s="244"/>
      <c r="L101" s="57"/>
      <c r="M101" s="70"/>
      <c r="N101" s="57"/>
      <c r="O101" s="70"/>
      <c r="P101" s="57"/>
      <c r="Q101" s="64"/>
      <c r="R101" s="57"/>
      <c r="S101" s="64"/>
      <c r="T101" s="57"/>
      <c r="U101" s="64"/>
      <c r="V101" s="57"/>
      <c r="W101" s="64"/>
      <c r="X101" s="57"/>
      <c r="Y101" s="64"/>
      <c r="Z101" s="57"/>
      <c r="AA101" s="64"/>
      <c r="AB101" s="57"/>
      <c r="AC101" s="153"/>
      <c r="AD101" s="57"/>
      <c r="AE101" s="70"/>
      <c r="AF101" s="70">
        <f t="shared" si="22"/>
        <v>0</v>
      </c>
      <c r="AG101" s="70"/>
      <c r="AH101" s="70"/>
      <c r="AI101" s="70"/>
      <c r="AJ101" s="70"/>
      <c r="AK101" s="70"/>
      <c r="AL101" s="70"/>
      <c r="AM101" s="70"/>
      <c r="AN101" s="70"/>
      <c r="AO101" s="70"/>
      <c r="AP101" s="70">
        <f t="shared" si="23"/>
        <v>0</v>
      </c>
      <c r="AQ101" s="70"/>
      <c r="AR101" s="74"/>
      <c r="AS101" s="70"/>
      <c r="AT101" s="235"/>
      <c r="AU101" s="70"/>
      <c r="AV101" s="57"/>
      <c r="AW101" s="57"/>
      <c r="AX101" s="70"/>
      <c r="AY101" s="70"/>
      <c r="AZ101" s="81"/>
      <c r="BA101" s="82"/>
      <c r="BB101" s="236"/>
      <c r="BC101" s="152"/>
      <c r="BD101" s="152"/>
      <c r="BE101" s="152"/>
      <c r="BF101" s="229"/>
      <c r="BG101" s="229"/>
    </row>
    <row r="102" spans="1:59" ht="12.75" customHeight="1" x14ac:dyDescent="0.15">
      <c r="A102" s="58" t="s">
        <v>205</v>
      </c>
      <c r="B102" s="57" t="s">
        <v>504</v>
      </c>
      <c r="C102" s="57" t="s">
        <v>206</v>
      </c>
      <c r="D102" s="59"/>
      <c r="E102" s="125"/>
      <c r="F102" s="125"/>
      <c r="G102" s="57"/>
      <c r="H102" s="57"/>
      <c r="I102" s="70"/>
      <c r="J102" s="57"/>
      <c r="K102" s="244"/>
      <c r="L102" s="57"/>
      <c r="M102" s="70"/>
      <c r="N102" s="57"/>
      <c r="O102" s="70"/>
      <c r="P102" s="57"/>
      <c r="Q102" s="70"/>
      <c r="R102" s="57"/>
      <c r="S102" s="64"/>
      <c r="T102" s="57"/>
      <c r="U102" s="64"/>
      <c r="V102" s="57"/>
      <c r="W102" s="70"/>
      <c r="X102" s="57"/>
      <c r="Y102" s="70"/>
      <c r="Z102" s="57"/>
      <c r="AA102" s="70"/>
      <c r="AB102" s="57"/>
      <c r="AC102" s="153"/>
      <c r="AD102" s="57"/>
      <c r="AE102" s="70"/>
      <c r="AF102" s="70">
        <f t="shared" si="22"/>
        <v>0</v>
      </c>
      <c r="AG102" s="70"/>
      <c r="AH102" s="70"/>
      <c r="AI102" s="70"/>
      <c r="AJ102" s="70"/>
      <c r="AK102" s="70"/>
      <c r="AL102" s="70"/>
      <c r="AM102" s="70"/>
      <c r="AN102" s="70"/>
      <c r="AO102" s="70"/>
      <c r="AP102" s="70">
        <f t="shared" si="23"/>
        <v>0</v>
      </c>
      <c r="AQ102" s="70"/>
      <c r="AR102" s="74"/>
      <c r="AS102" s="70"/>
      <c r="AT102" s="235"/>
      <c r="AU102" s="70"/>
      <c r="AV102" s="57"/>
      <c r="AW102" s="57"/>
      <c r="AX102" s="70"/>
      <c r="AY102" s="70"/>
      <c r="AZ102" s="81"/>
      <c r="BA102" s="82"/>
      <c r="BB102" s="236"/>
      <c r="BC102" s="152"/>
      <c r="BD102" s="152"/>
      <c r="BE102" s="152"/>
      <c r="BF102" s="229"/>
      <c r="BG102" s="229"/>
    </row>
    <row r="103" spans="1:59" ht="12.75" customHeight="1" x14ac:dyDescent="0.15">
      <c r="A103" s="58" t="s">
        <v>205</v>
      </c>
      <c r="B103" s="57" t="s">
        <v>504</v>
      </c>
      <c r="C103" s="57" t="s">
        <v>206</v>
      </c>
      <c r="D103" s="59" t="s">
        <v>525</v>
      </c>
      <c r="E103" s="125"/>
      <c r="F103" s="125"/>
      <c r="G103" s="57"/>
      <c r="H103" s="57"/>
      <c r="I103" s="64"/>
      <c r="J103" s="57"/>
      <c r="K103" s="64"/>
      <c r="L103" s="57"/>
      <c r="M103" s="70"/>
      <c r="N103" s="57"/>
      <c r="O103" s="245"/>
      <c r="P103" s="57"/>
      <c r="Q103" s="64"/>
      <c r="R103" s="57"/>
      <c r="S103" s="70"/>
      <c r="T103" s="57"/>
      <c r="U103" s="64"/>
      <c r="V103" s="57"/>
      <c r="W103" s="70"/>
      <c r="X103" s="57"/>
      <c r="Y103" s="70"/>
      <c r="Z103" s="57"/>
      <c r="AA103" s="70"/>
      <c r="AB103" s="57"/>
      <c r="AC103" s="246"/>
      <c r="AD103" s="57"/>
      <c r="AE103" s="70"/>
      <c r="AF103" s="70">
        <f t="shared" si="22"/>
        <v>0</v>
      </c>
      <c r="AG103" s="70"/>
      <c r="AH103" s="70"/>
      <c r="AI103" s="70"/>
      <c r="AJ103" s="70"/>
      <c r="AK103" s="70"/>
      <c r="AL103" s="70"/>
      <c r="AM103" s="70"/>
      <c r="AN103" s="70"/>
      <c r="AO103" s="70"/>
      <c r="AP103" s="70">
        <f t="shared" si="23"/>
        <v>0</v>
      </c>
      <c r="AQ103" s="70"/>
      <c r="AR103" s="74"/>
      <c r="AS103" s="70"/>
      <c r="AT103" s="235"/>
      <c r="AU103" s="70"/>
      <c r="AV103" s="150"/>
      <c r="AW103" s="150"/>
      <c r="AX103" s="70"/>
      <c r="AY103" s="70"/>
      <c r="AZ103" s="81"/>
      <c r="BA103" s="82"/>
      <c r="BB103" s="236"/>
      <c r="BC103" s="152"/>
      <c r="BD103" s="152"/>
      <c r="BE103" s="152"/>
      <c r="BF103" s="229"/>
      <c r="BG103" s="229"/>
    </row>
    <row r="104" spans="1:59" ht="12" customHeight="1" x14ac:dyDescent="0.15">
      <c r="A104" s="58" t="s">
        <v>205</v>
      </c>
      <c r="B104" s="57" t="s">
        <v>504</v>
      </c>
      <c r="C104" s="57" t="s">
        <v>206</v>
      </c>
      <c r="D104" s="59" t="s">
        <v>526</v>
      </c>
      <c r="E104" s="125"/>
      <c r="F104" s="125"/>
      <c r="G104" s="57"/>
      <c r="H104" s="57"/>
      <c r="I104" s="70"/>
      <c r="J104" s="57"/>
      <c r="K104" s="64"/>
      <c r="L104" s="57"/>
      <c r="M104" s="70"/>
      <c r="N104" s="57"/>
      <c r="O104" s="245"/>
      <c r="P104" s="57"/>
      <c r="Q104" s="64"/>
      <c r="R104" s="57"/>
      <c r="S104" s="64"/>
      <c r="T104" s="57"/>
      <c r="U104" s="64"/>
      <c r="V104" s="57"/>
      <c r="W104" s="64"/>
      <c r="X104" s="57"/>
      <c r="Y104" s="64"/>
      <c r="Z104" s="57"/>
      <c r="AA104" s="70"/>
      <c r="AB104" s="57"/>
      <c r="AC104" s="246"/>
      <c r="AD104" s="57"/>
      <c r="AE104" s="64"/>
      <c r="AF104" s="70">
        <f t="shared" si="22"/>
        <v>0</v>
      </c>
      <c r="AG104" s="70"/>
      <c r="AH104" s="70"/>
      <c r="AI104" s="70"/>
      <c r="AJ104" s="70"/>
      <c r="AK104" s="70"/>
      <c r="AL104" s="70"/>
      <c r="AM104" s="70"/>
      <c r="AN104" s="70"/>
      <c r="AO104" s="70"/>
      <c r="AP104" s="70">
        <f t="shared" si="23"/>
        <v>0</v>
      </c>
      <c r="AQ104" s="70"/>
      <c r="AR104" s="74"/>
      <c r="AS104" s="70"/>
      <c r="AT104" s="235"/>
      <c r="AU104" s="70"/>
      <c r="AV104" s="57"/>
      <c r="AW104" s="57"/>
      <c r="AX104" s="70"/>
      <c r="AY104" s="70"/>
      <c r="AZ104" s="112"/>
      <c r="BA104" s="82"/>
      <c r="BB104" s="236"/>
      <c r="BC104" s="152"/>
      <c r="BD104" s="152"/>
      <c r="BE104" s="152"/>
      <c r="BF104" s="229"/>
      <c r="BG104" s="229"/>
    </row>
    <row r="105" spans="1:59" ht="12.75" customHeight="1" x14ac:dyDescent="0.15">
      <c r="A105" s="58" t="s">
        <v>205</v>
      </c>
      <c r="B105" s="57" t="s">
        <v>504</v>
      </c>
      <c r="C105" s="58" t="s">
        <v>206</v>
      </c>
      <c r="D105" s="59" t="s">
        <v>527</v>
      </c>
      <c r="E105" s="125"/>
      <c r="F105" s="125"/>
      <c r="G105" s="57"/>
      <c r="H105" s="57"/>
      <c r="I105" s="70"/>
      <c r="J105" s="57"/>
      <c r="K105" s="244"/>
      <c r="L105" s="57"/>
      <c r="M105" s="70"/>
      <c r="N105" s="57"/>
      <c r="O105" s="70"/>
      <c r="P105" s="57"/>
      <c r="Q105" s="64"/>
      <c r="R105" s="57"/>
      <c r="S105" s="64"/>
      <c r="T105" s="57"/>
      <c r="U105" s="64"/>
      <c r="V105" s="57"/>
      <c r="W105" s="64"/>
      <c r="X105" s="57"/>
      <c r="Y105" s="64"/>
      <c r="Z105" s="57"/>
      <c r="AA105" s="64"/>
      <c r="AB105" s="57"/>
      <c r="AC105" s="234"/>
      <c r="AD105" s="57"/>
      <c r="AE105" s="64"/>
      <c r="AF105" s="70">
        <f t="shared" si="22"/>
        <v>0</v>
      </c>
      <c r="AG105" s="70"/>
      <c r="AH105" s="70"/>
      <c r="AI105" s="70"/>
      <c r="AJ105" s="70"/>
      <c r="AK105" s="70"/>
      <c r="AL105" s="70"/>
      <c r="AM105" s="70"/>
      <c r="AN105" s="70"/>
      <c r="AO105" s="70"/>
      <c r="AP105" s="70">
        <f t="shared" si="23"/>
        <v>0</v>
      </c>
      <c r="AQ105" s="70"/>
      <c r="AR105" s="74"/>
      <c r="AS105" s="70"/>
      <c r="AT105" s="235"/>
      <c r="AU105" s="70"/>
      <c r="AV105" s="57"/>
      <c r="AW105" s="57"/>
      <c r="AX105" s="70"/>
      <c r="AY105" s="70"/>
      <c r="AZ105" s="81"/>
      <c r="BA105" s="82"/>
      <c r="BB105" s="236"/>
      <c r="BC105" s="152"/>
      <c r="BD105" s="152"/>
      <c r="BE105" s="152"/>
      <c r="BF105" s="229"/>
      <c r="BG105" s="229"/>
    </row>
    <row r="106" spans="1:59" ht="12.75" customHeight="1" x14ac:dyDescent="0.15">
      <c r="A106" s="58" t="s">
        <v>205</v>
      </c>
      <c r="B106" s="57" t="s">
        <v>504</v>
      </c>
      <c r="C106" s="58" t="s">
        <v>206</v>
      </c>
      <c r="D106" s="59" t="s">
        <v>528</v>
      </c>
      <c r="E106" s="125"/>
      <c r="F106" s="125"/>
      <c r="G106" s="57"/>
      <c r="H106" s="57"/>
      <c r="I106" s="70"/>
      <c r="J106" s="57"/>
      <c r="K106" s="244"/>
      <c r="L106" s="57"/>
      <c r="M106" s="70"/>
      <c r="N106" s="57"/>
      <c r="O106" s="70"/>
      <c r="P106" s="57"/>
      <c r="Q106" s="64"/>
      <c r="R106" s="57"/>
      <c r="S106" s="64"/>
      <c r="T106" s="57"/>
      <c r="U106" s="64"/>
      <c r="V106" s="57"/>
      <c r="W106" s="64"/>
      <c r="X106" s="57"/>
      <c r="Y106" s="64"/>
      <c r="Z106" s="57"/>
      <c r="AA106" s="64"/>
      <c r="AB106" s="57"/>
      <c r="AC106" s="153"/>
      <c r="AD106" s="57"/>
      <c r="AE106" s="70"/>
      <c r="AF106" s="70">
        <f t="shared" si="22"/>
        <v>0</v>
      </c>
      <c r="AG106" s="70"/>
      <c r="AH106" s="70"/>
      <c r="AI106" s="70"/>
      <c r="AJ106" s="70"/>
      <c r="AK106" s="70"/>
      <c r="AL106" s="70"/>
      <c r="AM106" s="70"/>
      <c r="AN106" s="70"/>
      <c r="AO106" s="70"/>
      <c r="AP106" s="70">
        <f t="shared" si="23"/>
        <v>0</v>
      </c>
      <c r="AQ106" s="70"/>
      <c r="AR106" s="74"/>
      <c r="AS106" s="70"/>
      <c r="AT106" s="235"/>
      <c r="AU106" s="70"/>
      <c r="AV106" s="57"/>
      <c r="AW106" s="57"/>
      <c r="AX106" s="70"/>
      <c r="AY106" s="70"/>
      <c r="AZ106" s="81"/>
      <c r="BA106" s="82"/>
      <c r="BB106" s="236"/>
      <c r="BC106" s="152"/>
      <c r="BD106" s="152"/>
      <c r="BE106" s="152"/>
      <c r="BF106" s="229"/>
      <c r="BG106" s="229"/>
    </row>
    <row r="107" spans="1:59" ht="12.75" customHeight="1" x14ac:dyDescent="0.15">
      <c r="A107" s="58" t="s">
        <v>205</v>
      </c>
      <c r="B107" s="57" t="s">
        <v>504</v>
      </c>
      <c r="C107" s="58" t="s">
        <v>206</v>
      </c>
      <c r="D107" s="59" t="s">
        <v>529</v>
      </c>
      <c r="E107" s="125"/>
      <c r="F107" s="125"/>
      <c r="G107" s="57"/>
      <c r="H107" s="57"/>
      <c r="I107" s="70"/>
      <c r="J107" s="57"/>
      <c r="K107" s="244"/>
      <c r="L107" s="57"/>
      <c r="M107" s="70"/>
      <c r="N107" s="57"/>
      <c r="O107" s="70"/>
      <c r="P107" s="57"/>
      <c r="Q107" s="64"/>
      <c r="R107" s="57"/>
      <c r="S107" s="64"/>
      <c r="T107" s="57"/>
      <c r="U107" s="64"/>
      <c r="V107" s="57"/>
      <c r="W107" s="64"/>
      <c r="X107" s="57"/>
      <c r="Y107" s="64"/>
      <c r="Z107" s="57"/>
      <c r="AA107" s="64"/>
      <c r="AB107" s="57"/>
      <c r="AC107" s="153"/>
      <c r="AD107" s="57"/>
      <c r="AE107" s="70"/>
      <c r="AF107" s="70">
        <f t="shared" si="22"/>
        <v>0</v>
      </c>
      <c r="AG107" s="70"/>
      <c r="AH107" s="70"/>
      <c r="AI107" s="70"/>
      <c r="AJ107" s="70"/>
      <c r="AK107" s="70"/>
      <c r="AL107" s="70"/>
      <c r="AM107" s="70"/>
      <c r="AN107" s="70"/>
      <c r="AO107" s="70"/>
      <c r="AP107" s="70">
        <f t="shared" si="23"/>
        <v>0</v>
      </c>
      <c r="AQ107" s="70"/>
      <c r="AR107" s="74"/>
      <c r="AS107" s="70"/>
      <c r="AT107" s="235"/>
      <c r="AU107" s="70"/>
      <c r="AV107" s="57"/>
      <c r="AW107" s="57"/>
      <c r="AX107" s="70"/>
      <c r="AY107" s="70"/>
      <c r="AZ107" s="81"/>
      <c r="BA107" s="82"/>
      <c r="BB107" s="236"/>
      <c r="BC107" s="152"/>
      <c r="BD107" s="152"/>
      <c r="BE107" s="152"/>
      <c r="BF107" s="229"/>
      <c r="BG107" s="229"/>
    </row>
    <row r="108" spans="1:59" ht="12.75" customHeight="1" x14ac:dyDescent="0.15">
      <c r="A108" s="58" t="s">
        <v>205</v>
      </c>
      <c r="B108" s="57" t="s">
        <v>504</v>
      </c>
      <c r="C108" s="58" t="s">
        <v>206</v>
      </c>
      <c r="D108" s="59" t="s">
        <v>208</v>
      </c>
      <c r="E108" s="125"/>
      <c r="F108" s="125"/>
      <c r="G108" s="57"/>
      <c r="H108" s="57"/>
      <c r="I108" s="70"/>
      <c r="J108" s="57"/>
      <c r="K108" s="244"/>
      <c r="L108" s="57"/>
      <c r="M108" s="70"/>
      <c r="N108" s="57"/>
      <c r="O108" s="70"/>
      <c r="P108" s="57"/>
      <c r="Q108" s="64"/>
      <c r="R108" s="57"/>
      <c r="S108" s="64">
        <v>100</v>
      </c>
      <c r="T108" s="57"/>
      <c r="U108" s="64" t="s">
        <v>108</v>
      </c>
      <c r="V108" s="57"/>
      <c r="W108" s="64"/>
      <c r="X108" s="57"/>
      <c r="Y108" s="64"/>
      <c r="Z108" s="57"/>
      <c r="AA108" s="70"/>
      <c r="AB108" s="57"/>
      <c r="AC108" s="153"/>
      <c r="AD108" s="57"/>
      <c r="AE108" s="70"/>
      <c r="AF108" s="70">
        <f t="shared" si="22"/>
        <v>100</v>
      </c>
      <c r="AG108" s="70"/>
      <c r="AH108" s="70"/>
      <c r="AI108" s="70"/>
      <c r="AJ108" s="70"/>
      <c r="AK108" s="70"/>
      <c r="AL108" s="70"/>
      <c r="AM108" s="70"/>
      <c r="AN108" s="70"/>
      <c r="AO108" s="70"/>
      <c r="AP108" s="70">
        <f t="shared" si="23"/>
        <v>200</v>
      </c>
      <c r="AQ108" s="70"/>
      <c r="AR108" s="74"/>
      <c r="AS108" s="70"/>
      <c r="AT108" s="235"/>
      <c r="AU108" s="70"/>
      <c r="AV108" s="57"/>
      <c r="AW108" s="57"/>
      <c r="AX108" s="70"/>
      <c r="AY108" s="70"/>
      <c r="AZ108" s="81"/>
      <c r="BA108" s="82"/>
      <c r="BB108" s="236"/>
      <c r="BC108" s="152"/>
      <c r="BD108" s="152"/>
      <c r="BE108" s="152"/>
      <c r="BF108" s="229"/>
      <c r="BG108" s="229"/>
    </row>
    <row r="109" spans="1:59" ht="12.75" customHeight="1" x14ac:dyDescent="0.15">
      <c r="A109" s="58" t="s">
        <v>205</v>
      </c>
      <c r="B109" s="57" t="s">
        <v>504</v>
      </c>
      <c r="C109" s="58" t="s">
        <v>206</v>
      </c>
      <c r="D109" s="59"/>
      <c r="E109" s="125"/>
      <c r="F109" s="125"/>
      <c r="G109" s="57"/>
      <c r="H109" s="57"/>
      <c r="I109" s="70"/>
      <c r="J109" s="57"/>
      <c r="K109" s="244"/>
      <c r="L109" s="57"/>
      <c r="M109" s="70"/>
      <c r="N109" s="57"/>
      <c r="O109" s="70"/>
      <c r="P109" s="57"/>
      <c r="Q109" s="64"/>
      <c r="R109" s="57"/>
      <c r="S109" s="64"/>
      <c r="T109" s="57"/>
      <c r="U109" s="64"/>
      <c r="V109" s="57"/>
      <c r="W109" s="70"/>
      <c r="X109" s="57"/>
      <c r="Y109" s="70"/>
      <c r="Z109" s="57"/>
      <c r="AA109" s="70"/>
      <c r="AB109" s="57"/>
      <c r="AC109" s="153"/>
      <c r="AD109" s="57"/>
      <c r="AE109" s="70"/>
      <c r="AF109" s="70">
        <f t="shared" si="22"/>
        <v>0</v>
      </c>
      <c r="AG109" s="70"/>
      <c r="AH109" s="70"/>
      <c r="AI109" s="70"/>
      <c r="AJ109" s="70"/>
      <c r="AK109" s="70"/>
      <c r="AL109" s="70"/>
      <c r="AM109" s="70"/>
      <c r="AN109" s="70"/>
      <c r="AO109" s="70"/>
      <c r="AP109" s="70">
        <f t="shared" si="23"/>
        <v>0</v>
      </c>
      <c r="AQ109" s="70"/>
      <c r="AR109" s="74"/>
      <c r="AS109" s="70"/>
      <c r="AT109" s="235"/>
      <c r="AU109" s="70"/>
      <c r="AV109" s="57"/>
      <c r="AW109" s="57"/>
      <c r="AX109" s="70"/>
      <c r="AY109" s="70"/>
      <c r="AZ109" s="81"/>
      <c r="BA109" s="82"/>
      <c r="BB109" s="236"/>
      <c r="BC109" s="152"/>
      <c r="BD109" s="152"/>
      <c r="BE109" s="152"/>
      <c r="BF109" s="229"/>
      <c r="BG109" s="229"/>
    </row>
    <row r="110" spans="1:59" ht="12.75" customHeight="1" x14ac:dyDescent="0.15">
      <c r="A110" s="58" t="s">
        <v>205</v>
      </c>
      <c r="B110" s="57" t="s">
        <v>504</v>
      </c>
      <c r="C110" s="58" t="s">
        <v>206</v>
      </c>
      <c r="D110" s="59" t="s">
        <v>530</v>
      </c>
      <c r="E110" s="125"/>
      <c r="F110" s="125"/>
      <c r="G110" s="57"/>
      <c r="H110" s="57"/>
      <c r="I110" s="70"/>
      <c r="J110" s="57"/>
      <c r="K110" s="244"/>
      <c r="L110" s="57"/>
      <c r="M110" s="70"/>
      <c r="N110" s="57"/>
      <c r="O110" s="70"/>
      <c r="P110" s="57"/>
      <c r="Q110" s="64"/>
      <c r="R110" s="57"/>
      <c r="S110" s="64"/>
      <c r="T110" s="57"/>
      <c r="U110" s="64"/>
      <c r="V110" s="57"/>
      <c r="W110" s="64"/>
      <c r="X110" s="57"/>
      <c r="Y110" s="64"/>
      <c r="Z110" s="57"/>
      <c r="AA110" s="70"/>
      <c r="AB110" s="57"/>
      <c r="AC110" s="153"/>
      <c r="AD110" s="57"/>
      <c r="AE110" s="70"/>
      <c r="AF110" s="70">
        <f t="shared" si="22"/>
        <v>0</v>
      </c>
      <c r="AG110" s="70"/>
      <c r="AH110" s="70"/>
      <c r="AI110" s="70"/>
      <c r="AJ110" s="70"/>
      <c r="AK110" s="70"/>
      <c r="AL110" s="70"/>
      <c r="AM110" s="70"/>
      <c r="AN110" s="70"/>
      <c r="AO110" s="70"/>
      <c r="AP110" s="70">
        <f t="shared" si="23"/>
        <v>0</v>
      </c>
      <c r="AQ110" s="70"/>
      <c r="AR110" s="74"/>
      <c r="AS110" s="70"/>
      <c r="AT110" s="235"/>
      <c r="AU110" s="70"/>
      <c r="AV110" s="57"/>
      <c r="AW110" s="57"/>
      <c r="AX110" s="70"/>
      <c r="AY110" s="70"/>
      <c r="AZ110" s="81"/>
      <c r="BA110" s="82"/>
      <c r="BB110" s="236"/>
      <c r="BC110" s="152"/>
      <c r="BD110" s="152"/>
      <c r="BE110" s="152"/>
      <c r="BF110" s="229"/>
      <c r="BG110" s="229"/>
    </row>
    <row r="111" spans="1:59" ht="12.75" customHeight="1" x14ac:dyDescent="0.15">
      <c r="A111" s="58" t="s">
        <v>205</v>
      </c>
      <c r="B111" s="58" t="s">
        <v>504</v>
      </c>
      <c r="C111" s="58" t="s">
        <v>206</v>
      </c>
      <c r="D111" s="59" t="s">
        <v>219</v>
      </c>
      <c r="E111" s="125"/>
      <c r="F111" s="125"/>
      <c r="G111" s="57"/>
      <c r="H111" s="57"/>
      <c r="I111" s="70"/>
      <c r="J111" s="57"/>
      <c r="K111" s="244"/>
      <c r="L111" s="57"/>
      <c r="M111" s="70"/>
      <c r="N111" s="57"/>
      <c r="O111" s="70"/>
      <c r="P111" s="57"/>
      <c r="Q111" s="64"/>
      <c r="R111" s="57"/>
      <c r="S111" s="64">
        <v>4650</v>
      </c>
      <c r="T111" s="57"/>
      <c r="U111" s="64" t="s">
        <v>108</v>
      </c>
      <c r="V111" s="57"/>
      <c r="W111" s="70"/>
      <c r="X111" s="57"/>
      <c r="Y111" s="70"/>
      <c r="Z111" s="57"/>
      <c r="AA111" s="70"/>
      <c r="AB111" s="57"/>
      <c r="AC111" s="153"/>
      <c r="AD111" s="57"/>
      <c r="AE111" s="70"/>
      <c r="AF111" s="70">
        <f t="shared" si="22"/>
        <v>4650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>
        <f t="shared" si="23"/>
        <v>9300</v>
      </c>
      <c r="AQ111" s="70"/>
      <c r="AR111" s="74"/>
      <c r="AS111" s="70"/>
      <c r="AT111" s="235"/>
      <c r="AU111" s="70"/>
      <c r="AV111" s="57"/>
      <c r="AW111" s="57"/>
      <c r="AX111" s="70"/>
      <c r="AY111" s="70"/>
      <c r="AZ111" s="81"/>
      <c r="BA111" s="82"/>
      <c r="BB111" s="236"/>
      <c r="BC111" s="152"/>
      <c r="BD111" s="152"/>
      <c r="BE111" s="152"/>
      <c r="BF111" s="229"/>
      <c r="BG111" s="229"/>
    </row>
    <row r="112" spans="1:59" ht="12.75" customHeight="1" x14ac:dyDescent="0.15">
      <c r="A112" s="58" t="s">
        <v>205</v>
      </c>
      <c r="B112" s="57" t="s">
        <v>504</v>
      </c>
      <c r="C112" s="57" t="s">
        <v>206</v>
      </c>
      <c r="D112" s="59" t="s">
        <v>531</v>
      </c>
      <c r="E112" s="125"/>
      <c r="F112" s="125"/>
      <c r="G112" s="57"/>
      <c r="H112" s="57"/>
      <c r="I112" s="70"/>
      <c r="J112" s="57"/>
      <c r="K112" s="244"/>
      <c r="L112" s="57"/>
      <c r="M112" s="70"/>
      <c r="N112" s="57"/>
      <c r="O112" s="64">
        <v>2000</v>
      </c>
      <c r="P112" s="57"/>
      <c r="Q112" s="70"/>
      <c r="R112" s="57"/>
      <c r="S112" s="70"/>
      <c r="T112" s="57"/>
      <c r="U112" s="64"/>
      <c r="V112" s="57"/>
      <c r="W112" s="70"/>
      <c r="X112" s="57"/>
      <c r="Y112" s="70"/>
      <c r="Z112" s="57"/>
      <c r="AA112" s="70"/>
      <c r="AB112" s="57"/>
      <c r="AC112" s="153"/>
      <c r="AD112" s="57"/>
      <c r="AE112" s="70"/>
      <c r="AF112" s="70">
        <f t="shared" si="22"/>
        <v>2000</v>
      </c>
      <c r="AG112" s="70"/>
      <c r="AH112" s="70"/>
      <c r="AI112" s="70"/>
      <c r="AJ112" s="70"/>
      <c r="AK112" s="70"/>
      <c r="AL112" s="70"/>
      <c r="AM112" s="70"/>
      <c r="AN112" s="70"/>
      <c r="AO112" s="70"/>
      <c r="AP112" s="70">
        <f t="shared" si="23"/>
        <v>2000</v>
      </c>
      <c r="AQ112" s="70"/>
      <c r="AR112" s="74"/>
      <c r="AS112" s="70"/>
      <c r="AT112" s="235"/>
      <c r="AU112" s="70"/>
      <c r="AV112" s="57"/>
      <c r="AW112" s="57"/>
      <c r="AX112" s="70"/>
      <c r="AY112" s="70"/>
      <c r="AZ112" s="81"/>
      <c r="BA112" s="82"/>
      <c r="BB112" s="236"/>
      <c r="BC112" s="152"/>
      <c r="BD112" s="152"/>
      <c r="BE112" s="152"/>
      <c r="BF112" s="229"/>
      <c r="BG112" s="229"/>
    </row>
    <row r="113" spans="1:59" ht="12.75" customHeight="1" x14ac:dyDescent="0.15">
      <c r="A113" s="58" t="s">
        <v>205</v>
      </c>
      <c r="B113" s="57" t="s">
        <v>504</v>
      </c>
      <c r="C113" s="57" t="s">
        <v>206</v>
      </c>
      <c r="D113" s="103" t="s">
        <v>532</v>
      </c>
      <c r="E113" s="125"/>
      <c r="F113" s="125"/>
      <c r="G113" s="57"/>
      <c r="H113" s="57"/>
      <c r="I113" s="70"/>
      <c r="J113" s="57"/>
      <c r="K113" s="247"/>
      <c r="L113" s="57"/>
      <c r="M113" s="70"/>
      <c r="N113" s="57"/>
      <c r="O113" s="245"/>
      <c r="P113" s="57"/>
      <c r="Q113" s="64"/>
      <c r="R113" s="57"/>
      <c r="S113" s="64"/>
      <c r="T113" s="57"/>
      <c r="U113" s="70"/>
      <c r="V113" s="57"/>
      <c r="W113" s="70"/>
      <c r="X113" s="57"/>
      <c r="Y113" s="70"/>
      <c r="Z113" s="57"/>
      <c r="AA113" s="70"/>
      <c r="AB113" s="57"/>
      <c r="AC113" s="238"/>
      <c r="AD113" s="57"/>
      <c r="AE113" s="70"/>
      <c r="AF113" s="70">
        <f t="shared" si="22"/>
        <v>0</v>
      </c>
      <c r="AG113" s="70"/>
      <c r="AH113" s="70"/>
      <c r="AI113" s="70"/>
      <c r="AJ113" s="70"/>
      <c r="AK113" s="70"/>
      <c r="AL113" s="70"/>
      <c r="AM113" s="70"/>
      <c r="AN113" s="70"/>
      <c r="AO113" s="70"/>
      <c r="AP113" s="70">
        <f t="shared" si="23"/>
        <v>0</v>
      </c>
      <c r="AQ113" s="70"/>
      <c r="AR113" s="74"/>
      <c r="AS113" s="70"/>
      <c r="AT113" s="235"/>
      <c r="AU113" s="70"/>
      <c r="AV113" s="150"/>
      <c r="AW113" s="150"/>
      <c r="AX113" s="70"/>
      <c r="AY113" s="70"/>
      <c r="AZ113" s="112"/>
      <c r="BA113" s="82" t="s">
        <v>108</v>
      </c>
      <c r="BB113" s="236"/>
      <c r="BC113" s="152"/>
      <c r="BD113" s="152"/>
      <c r="BE113" s="152"/>
      <c r="BF113" s="229"/>
      <c r="BG113" s="229"/>
    </row>
    <row r="114" spans="1:59" ht="12" customHeight="1" x14ac:dyDescent="0.15">
      <c r="A114" s="58" t="s">
        <v>205</v>
      </c>
      <c r="B114" s="57" t="s">
        <v>504</v>
      </c>
      <c r="C114" s="57" t="s">
        <v>206</v>
      </c>
      <c r="D114" s="59" t="s">
        <v>533</v>
      </c>
      <c r="E114" s="125"/>
      <c r="F114" s="125"/>
      <c r="G114" s="57"/>
      <c r="H114" s="57"/>
      <c r="I114" s="70"/>
      <c r="J114" s="57"/>
      <c r="K114" s="247"/>
      <c r="L114" s="57"/>
      <c r="M114" s="70"/>
      <c r="N114" s="57"/>
      <c r="O114" s="64"/>
      <c r="P114" s="57"/>
      <c r="Q114" s="70"/>
      <c r="R114" s="57"/>
      <c r="S114" s="64"/>
      <c r="T114" s="57"/>
      <c r="U114" s="64"/>
      <c r="V114" s="57"/>
      <c r="W114" s="70"/>
      <c r="X114" s="57"/>
      <c r="Y114" s="70"/>
      <c r="Z114" s="57"/>
      <c r="AA114" s="70"/>
      <c r="AB114" s="57"/>
      <c r="AC114" s="153"/>
      <c r="AD114" s="57"/>
      <c r="AE114" s="70"/>
      <c r="AF114" s="70">
        <f t="shared" si="22"/>
        <v>0</v>
      </c>
      <c r="AG114" s="70"/>
      <c r="AH114" s="70"/>
      <c r="AI114" s="70"/>
      <c r="AJ114" s="70"/>
      <c r="AK114" s="70"/>
      <c r="AL114" s="70"/>
      <c r="AM114" s="70"/>
      <c r="AN114" s="70"/>
      <c r="AO114" s="70"/>
      <c r="AP114" s="70">
        <f t="shared" si="23"/>
        <v>0</v>
      </c>
      <c r="AQ114" s="70"/>
      <c r="AR114" s="74"/>
      <c r="AS114" s="70"/>
      <c r="AT114" s="235"/>
      <c r="AU114" s="70"/>
      <c r="AV114" s="57"/>
      <c r="AW114" s="57"/>
      <c r="AX114" s="70"/>
      <c r="AY114" s="70"/>
      <c r="AZ114" s="112"/>
      <c r="BA114" s="82"/>
      <c r="BB114" s="236"/>
      <c r="BC114" s="152"/>
      <c r="BD114" s="152"/>
      <c r="BE114" s="152"/>
      <c r="BF114" s="229"/>
      <c r="BG114" s="229"/>
    </row>
    <row r="115" spans="1:59" ht="12" customHeight="1" x14ac:dyDescent="0.15">
      <c r="A115" s="58" t="s">
        <v>205</v>
      </c>
      <c r="B115" s="57" t="s">
        <v>504</v>
      </c>
      <c r="C115" s="57" t="s">
        <v>206</v>
      </c>
      <c r="D115" s="103" t="s">
        <v>534</v>
      </c>
      <c r="E115" s="125"/>
      <c r="F115" s="125"/>
      <c r="G115" s="57"/>
      <c r="H115" s="57"/>
      <c r="I115" s="70"/>
      <c r="J115" s="57"/>
      <c r="K115" s="247"/>
      <c r="L115" s="57"/>
      <c r="M115" s="70"/>
      <c r="N115" s="57"/>
      <c r="O115" s="64"/>
      <c r="P115" s="57"/>
      <c r="Q115" s="70"/>
      <c r="R115" s="57"/>
      <c r="S115" s="64"/>
      <c r="T115" s="57"/>
      <c r="U115" s="64"/>
      <c r="V115" s="57"/>
      <c r="W115" s="70"/>
      <c r="X115" s="57"/>
      <c r="Y115" s="70"/>
      <c r="Z115" s="57"/>
      <c r="AA115" s="70"/>
      <c r="AB115" s="57"/>
      <c r="AC115" s="153"/>
      <c r="AD115" s="57"/>
      <c r="AE115" s="70"/>
      <c r="AF115" s="70">
        <f t="shared" si="22"/>
        <v>0</v>
      </c>
      <c r="AG115" s="70"/>
      <c r="AH115" s="70"/>
      <c r="AI115" s="70"/>
      <c r="AJ115" s="70"/>
      <c r="AK115" s="70"/>
      <c r="AL115" s="70"/>
      <c r="AM115" s="70"/>
      <c r="AN115" s="70"/>
      <c r="AO115" s="70"/>
      <c r="AP115" s="70">
        <f t="shared" si="23"/>
        <v>0</v>
      </c>
      <c r="AQ115" s="70"/>
      <c r="AR115" s="74"/>
      <c r="AS115" s="70"/>
      <c r="AT115" s="235"/>
      <c r="AU115" s="70"/>
      <c r="AV115" s="57"/>
      <c r="AW115" s="57"/>
      <c r="AX115" s="70"/>
      <c r="AY115" s="70"/>
      <c r="AZ115" s="112"/>
      <c r="BA115" s="82"/>
      <c r="BB115" s="236"/>
      <c r="BC115" s="152"/>
      <c r="BD115" s="152"/>
      <c r="BE115" s="152"/>
      <c r="BF115" s="229"/>
      <c r="BG115" s="229"/>
    </row>
    <row r="116" spans="1:59" ht="12" customHeight="1" x14ac:dyDescent="0.15">
      <c r="A116" s="58" t="s">
        <v>205</v>
      </c>
      <c r="B116" s="57" t="s">
        <v>504</v>
      </c>
      <c r="C116" s="57" t="s">
        <v>206</v>
      </c>
      <c r="D116" s="59" t="s">
        <v>535</v>
      </c>
      <c r="E116" s="125"/>
      <c r="F116" s="125"/>
      <c r="G116" s="57"/>
      <c r="H116" s="57"/>
      <c r="I116" s="70"/>
      <c r="J116" s="57"/>
      <c r="K116" s="247"/>
      <c r="L116" s="57"/>
      <c r="M116" s="70"/>
      <c r="N116" s="57"/>
      <c r="O116" s="70"/>
      <c r="P116" s="57"/>
      <c r="Q116" s="64"/>
      <c r="R116" s="57"/>
      <c r="S116" s="64"/>
      <c r="T116" s="57"/>
      <c r="U116" s="70"/>
      <c r="V116" s="57"/>
      <c r="W116" s="70"/>
      <c r="X116" s="57"/>
      <c r="Y116" s="70"/>
      <c r="Z116" s="57"/>
      <c r="AA116" s="70"/>
      <c r="AB116" s="57"/>
      <c r="AC116" s="153"/>
      <c r="AD116" s="57"/>
      <c r="AE116" s="70"/>
      <c r="AF116" s="70">
        <f t="shared" si="22"/>
        <v>0</v>
      </c>
      <c r="AG116" s="70"/>
      <c r="AH116" s="70"/>
      <c r="AI116" s="70"/>
      <c r="AJ116" s="70"/>
      <c r="AK116" s="70"/>
      <c r="AL116" s="70"/>
      <c r="AM116" s="70"/>
      <c r="AN116" s="70"/>
      <c r="AO116" s="70"/>
      <c r="AP116" s="70">
        <f t="shared" si="23"/>
        <v>0</v>
      </c>
      <c r="AQ116" s="70"/>
      <c r="AR116" s="74"/>
      <c r="AS116" s="70"/>
      <c r="AT116" s="235"/>
      <c r="AU116" s="70"/>
      <c r="AV116" s="57"/>
      <c r="AW116" s="57"/>
      <c r="AX116" s="70"/>
      <c r="AY116" s="70"/>
      <c r="AZ116" s="112"/>
      <c r="BA116" s="82"/>
      <c r="BB116" s="236"/>
      <c r="BC116" s="152"/>
      <c r="BD116" s="152"/>
      <c r="BE116" s="152"/>
      <c r="BF116" s="229"/>
      <c r="BG116" s="229"/>
    </row>
    <row r="117" spans="1:59" ht="12" customHeight="1" x14ac:dyDescent="0.15">
      <c r="A117" s="58" t="s">
        <v>205</v>
      </c>
      <c r="B117" s="57" t="s">
        <v>504</v>
      </c>
      <c r="C117" s="57" t="s">
        <v>206</v>
      </c>
      <c r="D117" s="103" t="s">
        <v>536</v>
      </c>
      <c r="E117" s="125"/>
      <c r="F117" s="125"/>
      <c r="G117" s="57"/>
      <c r="H117" s="57"/>
      <c r="I117" s="70"/>
      <c r="J117" s="57"/>
      <c r="L117" s="57"/>
      <c r="M117" s="64"/>
      <c r="N117" s="57"/>
      <c r="O117" s="70"/>
      <c r="P117" s="57"/>
      <c r="Q117" s="70"/>
      <c r="R117" s="57"/>
      <c r="S117" s="70"/>
      <c r="T117" s="57"/>
      <c r="U117" s="64"/>
      <c r="V117" s="57"/>
      <c r="W117" s="70"/>
      <c r="X117" s="57"/>
      <c r="Y117" s="70"/>
      <c r="Z117" s="57"/>
      <c r="AA117" s="70"/>
      <c r="AB117" s="57"/>
      <c r="AC117" s="153"/>
      <c r="AD117" s="57"/>
      <c r="AE117" s="70"/>
      <c r="AF117" s="70">
        <f t="shared" si="22"/>
        <v>0</v>
      </c>
      <c r="AG117" s="70"/>
      <c r="AH117" s="70"/>
      <c r="AI117" s="70"/>
      <c r="AJ117" s="70"/>
      <c r="AK117" s="70"/>
      <c r="AL117" s="70"/>
      <c r="AM117" s="70"/>
      <c r="AN117" s="70"/>
      <c r="AO117" s="70"/>
      <c r="AP117" s="70">
        <f t="shared" si="23"/>
        <v>0</v>
      </c>
      <c r="AQ117" s="70"/>
      <c r="AR117" s="74"/>
      <c r="AS117" s="70"/>
      <c r="AT117" s="235"/>
      <c r="AU117" s="70"/>
      <c r="AV117" s="57"/>
      <c r="AW117" s="57"/>
      <c r="AX117" s="70"/>
      <c r="AY117" s="70"/>
      <c r="AZ117" s="112"/>
      <c r="BA117" s="82"/>
      <c r="BB117" s="236"/>
      <c r="BC117" s="152"/>
      <c r="BD117" s="152"/>
      <c r="BE117" s="152"/>
      <c r="BF117" s="229"/>
      <c r="BG117" s="229"/>
    </row>
    <row r="118" spans="1:59" ht="12" customHeight="1" x14ac:dyDescent="0.15">
      <c r="A118" s="58" t="s">
        <v>205</v>
      </c>
      <c r="B118" s="57" t="s">
        <v>504</v>
      </c>
      <c r="C118" s="57" t="s">
        <v>206</v>
      </c>
      <c r="D118" s="59" t="s">
        <v>537</v>
      </c>
      <c r="E118" s="125"/>
      <c r="F118" s="125"/>
      <c r="G118" s="57"/>
      <c r="H118" s="57"/>
      <c r="I118" s="70"/>
      <c r="J118" s="57"/>
      <c r="K118" s="247"/>
      <c r="L118" s="57"/>
      <c r="M118" s="70"/>
      <c r="N118" s="57"/>
      <c r="O118" s="70"/>
      <c r="P118" s="57"/>
      <c r="Q118" s="70"/>
      <c r="R118" s="57"/>
      <c r="S118" s="70"/>
      <c r="T118" s="57"/>
      <c r="U118" s="70"/>
      <c r="V118" s="57"/>
      <c r="W118" s="64"/>
      <c r="X118" s="57"/>
      <c r="Y118" s="64"/>
      <c r="Z118" s="57"/>
      <c r="AA118" s="64"/>
      <c r="AB118" s="57"/>
      <c r="AC118" s="153"/>
      <c r="AD118" s="57"/>
      <c r="AE118" s="70"/>
      <c r="AF118" s="70">
        <f t="shared" si="22"/>
        <v>0</v>
      </c>
      <c r="AG118" s="70"/>
      <c r="AH118" s="70"/>
      <c r="AI118" s="70"/>
      <c r="AJ118" s="70"/>
      <c r="AK118" s="70"/>
      <c r="AL118" s="70"/>
      <c r="AM118" s="70"/>
      <c r="AN118" s="70"/>
      <c r="AO118" s="70"/>
      <c r="AP118" s="70">
        <f t="shared" si="23"/>
        <v>0</v>
      </c>
      <c r="AQ118" s="70"/>
      <c r="AR118" s="74"/>
      <c r="AS118" s="70"/>
      <c r="AT118" s="235"/>
      <c r="AU118" s="70"/>
      <c r="AV118" s="57"/>
      <c r="AW118" s="57"/>
      <c r="AX118" s="70"/>
      <c r="AY118" s="70"/>
      <c r="AZ118" s="112"/>
      <c r="BA118" s="82"/>
      <c r="BB118" s="236"/>
      <c r="BC118" s="152"/>
      <c r="BD118" s="152"/>
      <c r="BE118" s="152"/>
      <c r="BF118" s="229"/>
      <c r="BG118" s="229"/>
    </row>
    <row r="119" spans="1:59" ht="12" customHeight="1" x14ac:dyDescent="0.15">
      <c r="A119" s="58" t="s">
        <v>205</v>
      </c>
      <c r="B119" s="57" t="s">
        <v>504</v>
      </c>
      <c r="C119" s="57" t="s">
        <v>206</v>
      </c>
      <c r="D119" s="103" t="s">
        <v>538</v>
      </c>
      <c r="E119" s="125"/>
      <c r="F119" s="125"/>
      <c r="G119" s="57"/>
      <c r="H119" s="57"/>
      <c r="I119" s="70"/>
      <c r="J119" s="57"/>
      <c r="K119" s="247"/>
      <c r="L119" s="57"/>
      <c r="M119" s="70"/>
      <c r="N119" s="57"/>
      <c r="O119" s="70"/>
      <c r="P119" s="57"/>
      <c r="Q119" s="70"/>
      <c r="R119" s="57"/>
      <c r="S119" s="70"/>
      <c r="T119" s="57"/>
      <c r="U119" s="64"/>
      <c r="V119" s="57"/>
      <c r="W119" s="70"/>
      <c r="X119" s="57"/>
      <c r="Y119" s="64"/>
      <c r="Z119" s="57"/>
      <c r="AA119" s="70"/>
      <c r="AB119" s="57"/>
      <c r="AC119" s="153"/>
      <c r="AD119" s="57"/>
      <c r="AE119" s="70"/>
      <c r="AF119" s="70">
        <f t="shared" si="22"/>
        <v>0</v>
      </c>
      <c r="AG119" s="70"/>
      <c r="AH119" s="70"/>
      <c r="AI119" s="70"/>
      <c r="AJ119" s="70"/>
      <c r="AK119" s="70"/>
      <c r="AL119" s="70"/>
      <c r="AM119" s="70"/>
      <c r="AN119" s="70"/>
      <c r="AO119" s="70"/>
      <c r="AP119" s="70">
        <f t="shared" si="23"/>
        <v>0</v>
      </c>
      <c r="AQ119" s="70"/>
      <c r="AR119" s="74"/>
      <c r="AS119" s="70"/>
      <c r="AT119" s="235"/>
      <c r="AU119" s="70"/>
      <c r="AV119" s="57"/>
      <c r="AW119" s="57"/>
      <c r="AX119" s="70"/>
      <c r="AY119" s="70"/>
      <c r="AZ119" s="112"/>
      <c r="BA119" s="82"/>
      <c r="BB119" s="236"/>
      <c r="BC119" s="152"/>
      <c r="BD119" s="152"/>
      <c r="BE119" s="152"/>
      <c r="BF119" s="229"/>
      <c r="BG119" s="229"/>
    </row>
    <row r="120" spans="1:59" ht="12" customHeight="1" x14ac:dyDescent="0.15">
      <c r="A120" s="58" t="s">
        <v>205</v>
      </c>
      <c r="B120" s="57" t="s">
        <v>504</v>
      </c>
      <c r="C120" s="57" t="s">
        <v>206</v>
      </c>
      <c r="D120" s="59"/>
      <c r="E120" s="125"/>
      <c r="F120" s="125"/>
      <c r="G120" s="57"/>
      <c r="H120" s="57"/>
      <c r="I120" s="70"/>
      <c r="J120" s="57"/>
      <c r="K120" s="247"/>
      <c r="L120" s="57"/>
      <c r="M120" s="70"/>
      <c r="N120" s="57"/>
      <c r="O120" s="70"/>
      <c r="P120" s="57"/>
      <c r="Q120" s="70"/>
      <c r="R120" s="57"/>
      <c r="S120" s="70"/>
      <c r="T120" s="57"/>
      <c r="U120" s="70"/>
      <c r="V120" s="57"/>
      <c r="W120" s="70"/>
      <c r="X120" s="57"/>
      <c r="Y120" s="70"/>
      <c r="Z120" s="57"/>
      <c r="AA120" s="70"/>
      <c r="AB120" s="57"/>
      <c r="AC120" s="153"/>
      <c r="AD120" s="57"/>
      <c r="AE120" s="64"/>
      <c r="AF120" s="70">
        <f t="shared" si="22"/>
        <v>0</v>
      </c>
      <c r="AG120" s="70"/>
      <c r="AH120" s="70"/>
      <c r="AI120" s="70"/>
      <c r="AJ120" s="70"/>
      <c r="AK120" s="70"/>
      <c r="AL120" s="70"/>
      <c r="AM120" s="70"/>
      <c r="AN120" s="70"/>
      <c r="AO120" s="70"/>
      <c r="AP120" s="70">
        <f t="shared" si="23"/>
        <v>0</v>
      </c>
      <c r="AQ120" s="70"/>
      <c r="AR120" s="74"/>
      <c r="AS120" s="70"/>
      <c r="AT120" s="235"/>
      <c r="AU120" s="70"/>
      <c r="AV120" s="57"/>
      <c r="AW120" s="57"/>
      <c r="AX120" s="70"/>
      <c r="AY120" s="70"/>
      <c r="AZ120" s="112"/>
      <c r="BA120" s="82"/>
      <c r="BB120" s="236"/>
      <c r="BC120" s="152"/>
      <c r="BD120" s="152"/>
      <c r="BE120" s="152"/>
      <c r="BF120" s="229"/>
      <c r="BG120" s="229"/>
    </row>
    <row r="121" spans="1:59" ht="12" customHeight="1" x14ac:dyDescent="0.15">
      <c r="A121" s="58" t="s">
        <v>205</v>
      </c>
      <c r="B121" s="57" t="s">
        <v>504</v>
      </c>
      <c r="C121" s="57" t="s">
        <v>206</v>
      </c>
      <c r="D121" s="103"/>
      <c r="E121" s="125"/>
      <c r="F121" s="125"/>
      <c r="G121" s="57"/>
      <c r="H121" s="57"/>
      <c r="I121" s="70"/>
      <c r="J121" s="57"/>
      <c r="K121" s="247"/>
      <c r="L121" s="57"/>
      <c r="M121" s="70"/>
      <c r="N121" s="57"/>
      <c r="O121" s="70"/>
      <c r="P121" s="57"/>
      <c r="Q121" s="70"/>
      <c r="R121" s="57"/>
      <c r="S121" s="70"/>
      <c r="T121" s="57"/>
      <c r="U121" s="70"/>
      <c r="V121" s="57"/>
      <c r="W121" s="70"/>
      <c r="X121" s="57"/>
      <c r="Y121" s="70"/>
      <c r="Z121" s="57"/>
      <c r="AA121" s="70"/>
      <c r="AB121" s="57"/>
      <c r="AC121" s="153"/>
      <c r="AD121" s="57"/>
      <c r="AE121" s="70"/>
      <c r="AF121" s="70">
        <f t="shared" si="22"/>
        <v>0</v>
      </c>
      <c r="AG121" s="70"/>
      <c r="AH121" s="70"/>
      <c r="AI121" s="70"/>
      <c r="AJ121" s="70"/>
      <c r="AK121" s="70"/>
      <c r="AL121" s="70"/>
      <c r="AM121" s="70"/>
      <c r="AN121" s="70"/>
      <c r="AO121" s="70"/>
      <c r="AP121" s="70">
        <f t="shared" si="23"/>
        <v>0</v>
      </c>
      <c r="AQ121" s="70"/>
      <c r="AR121" s="74"/>
      <c r="AS121" s="70"/>
      <c r="AT121" s="235"/>
      <c r="AU121" s="70"/>
      <c r="AV121" s="57"/>
      <c r="AW121" s="57"/>
      <c r="AX121" s="70"/>
      <c r="AY121" s="70"/>
      <c r="AZ121" s="112"/>
      <c r="BA121" s="82"/>
      <c r="BB121" s="236"/>
      <c r="BC121" s="152"/>
      <c r="BD121" s="152"/>
      <c r="BE121" s="152"/>
      <c r="BF121" s="229"/>
      <c r="BG121" s="229"/>
    </row>
    <row r="122" spans="1:59" ht="12" customHeight="1" x14ac:dyDescent="0.15">
      <c r="A122" s="58" t="s">
        <v>205</v>
      </c>
      <c r="B122" s="57" t="s">
        <v>504</v>
      </c>
      <c r="C122" s="57" t="s">
        <v>206</v>
      </c>
      <c r="D122" s="103" t="s">
        <v>539</v>
      </c>
      <c r="E122" s="125"/>
      <c r="F122" s="125"/>
      <c r="G122" s="57"/>
      <c r="H122" s="57"/>
      <c r="I122" s="70"/>
      <c r="J122" s="57"/>
      <c r="K122" s="247"/>
      <c r="L122" s="57"/>
      <c r="M122" s="70"/>
      <c r="N122" s="57"/>
      <c r="O122" s="70"/>
      <c r="P122" s="57"/>
      <c r="Q122" s="70"/>
      <c r="R122" s="57"/>
      <c r="S122" s="70"/>
      <c r="T122" s="57"/>
      <c r="U122" s="70"/>
      <c r="V122" s="57"/>
      <c r="W122" s="70"/>
      <c r="X122" s="57"/>
      <c r="Y122" s="70"/>
      <c r="Z122" s="57"/>
      <c r="AA122" s="70"/>
      <c r="AB122" s="57"/>
      <c r="AC122" s="153"/>
      <c r="AD122" s="57"/>
      <c r="AE122" s="64"/>
      <c r="AF122" s="70">
        <f t="shared" si="22"/>
        <v>0</v>
      </c>
      <c r="AG122" s="70"/>
      <c r="AH122" s="70"/>
      <c r="AI122" s="70"/>
      <c r="AJ122" s="70"/>
      <c r="AK122" s="70"/>
      <c r="AL122" s="70"/>
      <c r="AM122" s="70"/>
      <c r="AN122" s="70"/>
      <c r="AO122" s="70"/>
      <c r="AP122" s="70">
        <f t="shared" si="23"/>
        <v>0</v>
      </c>
      <c r="AQ122" s="70"/>
      <c r="AR122" s="74"/>
      <c r="AS122" s="70"/>
      <c r="AT122" s="235"/>
      <c r="AU122" s="70"/>
      <c r="AV122" s="57"/>
      <c r="AW122" s="57"/>
      <c r="AX122" s="70"/>
      <c r="AY122" s="70"/>
      <c r="AZ122" s="112"/>
      <c r="BA122" s="82"/>
      <c r="BB122" s="236"/>
      <c r="BC122" s="152"/>
      <c r="BD122" s="152"/>
      <c r="BE122" s="152"/>
      <c r="BF122" s="229"/>
      <c r="BG122" s="229"/>
    </row>
    <row r="123" spans="1:59" ht="12" customHeight="1" x14ac:dyDescent="0.15">
      <c r="A123" s="58" t="s">
        <v>205</v>
      </c>
      <c r="B123" s="57" t="s">
        <v>504</v>
      </c>
      <c r="C123" s="57" t="s">
        <v>206</v>
      </c>
      <c r="D123" s="248" t="s">
        <v>414</v>
      </c>
      <c r="E123" s="125"/>
      <c r="F123" s="125"/>
      <c r="G123" s="57"/>
      <c r="H123" s="57"/>
      <c r="I123" s="70"/>
      <c r="J123" s="57"/>
      <c r="K123" s="247"/>
      <c r="L123" s="57"/>
      <c r="M123" s="70"/>
      <c r="N123" s="57"/>
      <c r="O123" s="249"/>
      <c r="P123" s="57"/>
      <c r="Q123" s="64"/>
      <c r="R123" s="57"/>
      <c r="S123" s="70"/>
      <c r="T123" s="57"/>
      <c r="U123" s="70"/>
      <c r="V123" s="57"/>
      <c r="W123" s="70"/>
      <c r="X123" s="57"/>
      <c r="Y123" s="70"/>
      <c r="Z123" s="57"/>
      <c r="AA123" s="70"/>
      <c r="AB123" s="57"/>
      <c r="AC123" s="153"/>
      <c r="AD123" s="57"/>
      <c r="AE123" s="70"/>
      <c r="AF123" s="70">
        <f t="shared" si="22"/>
        <v>0</v>
      </c>
      <c r="AG123" s="70"/>
      <c r="AH123" s="70"/>
      <c r="AI123" s="70"/>
      <c r="AJ123" s="70"/>
      <c r="AK123" s="70"/>
      <c r="AL123" s="70"/>
      <c r="AM123" s="70"/>
      <c r="AN123" s="70"/>
      <c r="AO123" s="70"/>
      <c r="AP123" s="70">
        <f t="shared" si="23"/>
        <v>0</v>
      </c>
      <c r="AQ123" s="70"/>
      <c r="AR123" s="74"/>
      <c r="AS123" s="70"/>
      <c r="AT123" s="235"/>
      <c r="AU123" s="70"/>
      <c r="AV123" s="57"/>
      <c r="AW123" s="57"/>
      <c r="AX123" s="70"/>
      <c r="AY123" s="70"/>
      <c r="AZ123" s="112"/>
      <c r="BA123" s="82"/>
      <c r="BB123" s="236"/>
      <c r="BC123" s="152"/>
      <c r="BD123" s="152"/>
      <c r="BE123" s="152"/>
      <c r="BF123" s="229"/>
      <c r="BG123" s="229"/>
    </row>
    <row r="124" spans="1:59" ht="12" customHeight="1" x14ac:dyDescent="0.15">
      <c r="A124" s="58" t="s">
        <v>205</v>
      </c>
      <c r="B124" s="57" t="s">
        <v>504</v>
      </c>
      <c r="C124" s="57" t="s">
        <v>206</v>
      </c>
      <c r="D124" s="103" t="s">
        <v>540</v>
      </c>
      <c r="E124" s="125"/>
      <c r="F124" s="125"/>
      <c r="G124" s="57"/>
      <c r="H124" s="57"/>
      <c r="I124" s="70"/>
      <c r="J124" s="57"/>
      <c r="K124" s="247"/>
      <c r="L124" s="57"/>
      <c r="M124" s="70"/>
      <c r="N124" s="57"/>
      <c r="O124" s="245"/>
      <c r="P124" s="57"/>
      <c r="Q124" s="64"/>
      <c r="R124" s="57"/>
      <c r="S124" s="70"/>
      <c r="T124" s="57"/>
      <c r="U124" s="70"/>
      <c r="V124" s="57"/>
      <c r="W124" s="70"/>
      <c r="X124" s="57"/>
      <c r="Y124" s="70"/>
      <c r="Z124" s="57"/>
      <c r="AA124" s="70"/>
      <c r="AB124" s="57"/>
      <c r="AC124" s="238"/>
      <c r="AD124" s="57"/>
      <c r="AE124" s="70"/>
      <c r="AF124" s="70">
        <f t="shared" si="22"/>
        <v>0</v>
      </c>
      <c r="AG124" s="70"/>
      <c r="AH124" s="70"/>
      <c r="AI124" s="70"/>
      <c r="AJ124" s="70"/>
      <c r="AK124" s="70"/>
      <c r="AL124" s="70"/>
      <c r="AM124" s="70"/>
      <c r="AN124" s="70"/>
      <c r="AO124" s="70"/>
      <c r="AP124" s="70">
        <f t="shared" si="23"/>
        <v>0</v>
      </c>
      <c r="AQ124" s="70"/>
      <c r="AR124" s="74"/>
      <c r="AS124" s="70"/>
      <c r="AT124" s="235"/>
      <c r="AU124" s="70"/>
      <c r="AV124" s="57"/>
      <c r="AW124" s="57"/>
      <c r="AX124" s="70"/>
      <c r="AY124" s="70"/>
      <c r="AZ124" s="112"/>
      <c r="BA124" s="82"/>
      <c r="BB124" s="236"/>
      <c r="BC124" s="152"/>
      <c r="BD124" s="152"/>
      <c r="BE124" s="152"/>
      <c r="BF124" s="229"/>
      <c r="BG124" s="229"/>
    </row>
    <row r="125" spans="1:59" ht="12" customHeight="1" x14ac:dyDescent="0.15">
      <c r="A125" s="58" t="s">
        <v>205</v>
      </c>
      <c r="B125" s="57" t="s">
        <v>504</v>
      </c>
      <c r="C125" s="57" t="s">
        <v>206</v>
      </c>
      <c r="D125" s="59" t="s">
        <v>541</v>
      </c>
      <c r="E125" s="125"/>
      <c r="F125" s="125"/>
      <c r="G125" s="57"/>
      <c r="H125" s="57"/>
      <c r="I125" s="70"/>
      <c r="J125" s="57"/>
      <c r="K125" s="247"/>
      <c r="L125" s="57"/>
      <c r="M125" s="70"/>
      <c r="N125" s="57"/>
      <c r="O125" s="245"/>
      <c r="P125" s="57"/>
      <c r="Q125" s="64">
        <v>300</v>
      </c>
      <c r="R125" s="57"/>
      <c r="S125" s="64"/>
      <c r="T125" s="57"/>
      <c r="U125" s="64"/>
      <c r="V125" s="57"/>
      <c r="W125" s="70"/>
      <c r="X125" s="57"/>
      <c r="Y125" s="70"/>
      <c r="Z125" s="57"/>
      <c r="AA125" s="70"/>
      <c r="AB125" s="57"/>
      <c r="AC125" s="238"/>
      <c r="AD125" s="57"/>
      <c r="AE125" s="70"/>
      <c r="AF125" s="70">
        <f t="shared" si="22"/>
        <v>300</v>
      </c>
      <c r="AG125" s="70"/>
      <c r="AH125" s="70"/>
      <c r="AI125" s="70"/>
      <c r="AJ125" s="70"/>
      <c r="AK125" s="70"/>
      <c r="AL125" s="70"/>
      <c r="AM125" s="70"/>
      <c r="AN125" s="70"/>
      <c r="AO125" s="70"/>
      <c r="AP125" s="70">
        <f t="shared" si="23"/>
        <v>300</v>
      </c>
      <c r="AQ125" s="70"/>
      <c r="AR125" s="74"/>
      <c r="AS125" s="70"/>
      <c r="AT125" s="235"/>
      <c r="AU125" s="70"/>
      <c r="AV125" s="57"/>
      <c r="AW125" s="57"/>
      <c r="AX125" s="70"/>
      <c r="AY125" s="70"/>
      <c r="AZ125" s="112"/>
      <c r="BA125" s="82"/>
      <c r="BB125" s="236"/>
      <c r="BC125" s="152"/>
      <c r="BD125" s="152"/>
      <c r="BE125" s="152"/>
      <c r="BF125" s="229"/>
      <c r="BG125" s="229"/>
    </row>
    <row r="126" spans="1:59" ht="12" customHeight="1" x14ac:dyDescent="0.15">
      <c r="A126" s="58" t="s">
        <v>205</v>
      </c>
      <c r="B126" s="57" t="s">
        <v>504</v>
      </c>
      <c r="C126" s="57" t="s">
        <v>206</v>
      </c>
      <c r="D126" s="59" t="s">
        <v>542</v>
      </c>
      <c r="E126" s="125"/>
      <c r="F126" s="125"/>
      <c r="G126" s="57"/>
      <c r="H126" s="57"/>
      <c r="I126" s="70"/>
      <c r="J126" s="57"/>
      <c r="K126" s="247"/>
      <c r="L126" s="57"/>
      <c r="M126" s="70"/>
      <c r="N126" s="57"/>
      <c r="O126" s="245"/>
      <c r="P126" s="57"/>
      <c r="Q126" s="64"/>
      <c r="R126" s="57"/>
      <c r="S126" s="64"/>
      <c r="T126" s="57"/>
      <c r="U126" s="64"/>
      <c r="V126" s="57"/>
      <c r="W126" s="70"/>
      <c r="X126" s="57"/>
      <c r="Y126" s="70"/>
      <c r="Z126" s="57"/>
      <c r="AA126" s="70"/>
      <c r="AB126" s="57"/>
      <c r="AC126" s="238"/>
      <c r="AD126" s="57"/>
      <c r="AE126" s="70"/>
      <c r="AF126" s="70">
        <f t="shared" si="22"/>
        <v>0</v>
      </c>
      <c r="AG126" s="70"/>
      <c r="AH126" s="70"/>
      <c r="AI126" s="70"/>
      <c r="AJ126" s="70"/>
      <c r="AK126" s="70"/>
      <c r="AL126" s="70"/>
      <c r="AM126" s="70"/>
      <c r="AN126" s="70"/>
      <c r="AO126" s="70"/>
      <c r="AP126" s="70">
        <f t="shared" si="23"/>
        <v>0</v>
      </c>
      <c r="AQ126" s="70"/>
      <c r="AR126" s="74"/>
      <c r="AS126" s="70"/>
      <c r="AT126" s="235"/>
      <c r="AU126" s="70"/>
      <c r="AV126" s="57"/>
      <c r="AW126" s="57"/>
      <c r="AX126" s="70"/>
      <c r="AY126" s="70"/>
      <c r="AZ126" s="112"/>
      <c r="BA126" s="82"/>
      <c r="BB126" s="236"/>
      <c r="BC126" s="152"/>
      <c r="BD126" s="152"/>
      <c r="BE126" s="152"/>
      <c r="BF126" s="229"/>
      <c r="BG126" s="229"/>
    </row>
    <row r="127" spans="1:59" ht="12" customHeight="1" x14ac:dyDescent="0.15">
      <c r="A127" s="58" t="s">
        <v>205</v>
      </c>
      <c r="B127" s="57" t="s">
        <v>504</v>
      </c>
      <c r="C127" s="57" t="s">
        <v>206</v>
      </c>
      <c r="D127" s="59" t="s">
        <v>542</v>
      </c>
      <c r="E127" s="125"/>
      <c r="F127" s="125"/>
      <c r="G127" s="57"/>
      <c r="H127" s="57"/>
      <c r="I127" s="70"/>
      <c r="J127" s="57"/>
      <c r="K127" s="247"/>
      <c r="L127" s="57"/>
      <c r="M127" s="70"/>
      <c r="N127" s="57"/>
      <c r="O127" s="245"/>
      <c r="P127" s="57"/>
      <c r="Q127" s="64"/>
      <c r="R127" s="57"/>
      <c r="S127" s="64"/>
      <c r="T127" s="57"/>
      <c r="U127" s="64"/>
      <c r="V127" s="57"/>
      <c r="W127" s="70"/>
      <c r="X127" s="57"/>
      <c r="Y127" s="70"/>
      <c r="Z127" s="57"/>
      <c r="AA127" s="70"/>
      <c r="AB127" s="57"/>
      <c r="AC127" s="238"/>
      <c r="AD127" s="57"/>
      <c r="AE127" s="70"/>
      <c r="AF127" s="70">
        <f t="shared" si="22"/>
        <v>0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>
        <f t="shared" si="23"/>
        <v>0</v>
      </c>
      <c r="AQ127" s="70"/>
      <c r="AR127" s="74"/>
      <c r="AS127" s="70"/>
      <c r="AT127" s="235"/>
      <c r="AU127" s="70"/>
      <c r="AV127" s="57"/>
      <c r="AW127" s="57"/>
      <c r="AX127" s="70"/>
      <c r="AY127" s="70"/>
      <c r="AZ127" s="112"/>
      <c r="BA127" s="82"/>
      <c r="BB127" s="236"/>
      <c r="BC127" s="152"/>
      <c r="BD127" s="152"/>
      <c r="BE127" s="152"/>
      <c r="BF127" s="229"/>
      <c r="BG127" s="229"/>
    </row>
    <row r="128" spans="1:59" ht="12" customHeight="1" x14ac:dyDescent="0.15">
      <c r="A128" s="58" t="s">
        <v>205</v>
      </c>
      <c r="B128" s="57" t="s">
        <v>504</v>
      </c>
      <c r="C128" s="57" t="s">
        <v>206</v>
      </c>
      <c r="D128" s="59" t="s">
        <v>542</v>
      </c>
      <c r="E128" s="125"/>
      <c r="F128" s="125"/>
      <c r="G128" s="57"/>
      <c r="H128" s="57"/>
      <c r="I128" s="70"/>
      <c r="J128" s="57"/>
      <c r="K128" s="247"/>
      <c r="L128" s="57"/>
      <c r="M128" s="70"/>
      <c r="N128" s="57"/>
      <c r="O128" s="245"/>
      <c r="P128" s="57"/>
      <c r="Q128" s="64"/>
      <c r="R128" s="57"/>
      <c r="S128" s="64"/>
      <c r="T128" s="57"/>
      <c r="U128" s="64"/>
      <c r="V128" s="57"/>
      <c r="W128" s="70"/>
      <c r="X128" s="57"/>
      <c r="Y128" s="70"/>
      <c r="Z128" s="57"/>
      <c r="AA128" s="70"/>
      <c r="AB128" s="57"/>
      <c r="AC128" s="238"/>
      <c r="AD128" s="57"/>
      <c r="AE128" s="70"/>
      <c r="AF128" s="70">
        <f t="shared" si="22"/>
        <v>0</v>
      </c>
      <c r="AG128" s="70"/>
      <c r="AH128" s="70"/>
      <c r="AI128" s="70"/>
      <c r="AJ128" s="70"/>
      <c r="AK128" s="70"/>
      <c r="AL128" s="70"/>
      <c r="AM128" s="70"/>
      <c r="AN128" s="70"/>
      <c r="AO128" s="70"/>
      <c r="AP128" s="70">
        <f t="shared" si="23"/>
        <v>0</v>
      </c>
      <c r="AQ128" s="70"/>
      <c r="AR128" s="74"/>
      <c r="AS128" s="70"/>
      <c r="AT128" s="235"/>
      <c r="AU128" s="70"/>
      <c r="AV128" s="57"/>
      <c r="AW128" s="57"/>
      <c r="AX128" s="70"/>
      <c r="AY128" s="70"/>
      <c r="AZ128" s="112"/>
      <c r="BA128" s="82"/>
      <c r="BB128" s="236"/>
      <c r="BC128" s="152"/>
      <c r="BD128" s="152"/>
      <c r="BE128" s="152"/>
      <c r="BF128" s="229"/>
      <c r="BG128" s="229"/>
    </row>
    <row r="129" spans="1:59" ht="12" customHeight="1" x14ac:dyDescent="0.15">
      <c r="A129" s="58" t="s">
        <v>205</v>
      </c>
      <c r="B129" s="57" t="s">
        <v>504</v>
      </c>
      <c r="C129" s="57" t="s">
        <v>206</v>
      </c>
      <c r="D129" s="59" t="s">
        <v>542</v>
      </c>
      <c r="E129" s="125"/>
      <c r="F129" s="125"/>
      <c r="G129" s="57"/>
      <c r="H129" s="57"/>
      <c r="I129" s="70"/>
      <c r="J129" s="57"/>
      <c r="K129" s="247"/>
      <c r="L129" s="57"/>
      <c r="M129" s="70"/>
      <c r="N129" s="57"/>
      <c r="O129" s="245"/>
      <c r="P129" s="57"/>
      <c r="Q129" s="64"/>
      <c r="R129" s="57"/>
      <c r="S129" s="64"/>
      <c r="T129" s="57"/>
      <c r="U129" s="70"/>
      <c r="V129" s="57"/>
      <c r="W129" s="64"/>
      <c r="X129" s="57"/>
      <c r="Y129" s="64"/>
      <c r="Z129" s="57"/>
      <c r="AA129" s="70"/>
      <c r="AB129" s="57"/>
      <c r="AC129" s="238"/>
      <c r="AD129" s="57"/>
      <c r="AE129" s="64"/>
      <c r="AF129" s="70">
        <f t="shared" si="22"/>
        <v>0</v>
      </c>
      <c r="AG129" s="70"/>
      <c r="AH129" s="70"/>
      <c r="AI129" s="70"/>
      <c r="AJ129" s="70"/>
      <c r="AK129" s="70"/>
      <c r="AL129" s="70"/>
      <c r="AM129" s="70"/>
      <c r="AN129" s="70"/>
      <c r="AO129" s="70"/>
      <c r="AP129" s="70">
        <f t="shared" si="23"/>
        <v>0</v>
      </c>
      <c r="AQ129" s="70"/>
      <c r="AR129" s="74"/>
      <c r="AS129" s="70"/>
      <c r="AT129" s="235"/>
      <c r="AU129" s="70"/>
      <c r="AV129" s="57"/>
      <c r="AW129" s="57"/>
      <c r="AX129" s="70"/>
      <c r="AY129" s="70"/>
      <c r="AZ129" s="112"/>
      <c r="BA129" s="82"/>
      <c r="BB129" s="236"/>
      <c r="BC129" s="152"/>
      <c r="BD129" s="152"/>
      <c r="BE129" s="152"/>
      <c r="BF129" s="229"/>
      <c r="BG129" s="229"/>
    </row>
    <row r="130" spans="1:59" ht="12" customHeight="1" x14ac:dyDescent="0.15">
      <c r="A130" s="58" t="s">
        <v>205</v>
      </c>
      <c r="B130" s="57" t="s">
        <v>504</v>
      </c>
      <c r="C130" s="57" t="s">
        <v>206</v>
      </c>
      <c r="D130" s="59" t="s">
        <v>542</v>
      </c>
      <c r="E130" s="125"/>
      <c r="F130" s="125"/>
      <c r="G130" s="57"/>
      <c r="H130" s="57"/>
      <c r="I130" s="70"/>
      <c r="J130" s="57"/>
      <c r="K130" s="247"/>
      <c r="L130" s="57"/>
      <c r="M130" s="70"/>
      <c r="N130" s="57"/>
      <c r="O130" s="245"/>
      <c r="P130" s="57"/>
      <c r="Q130" s="64"/>
      <c r="R130" s="57"/>
      <c r="S130" s="64"/>
      <c r="T130" s="57"/>
      <c r="U130" s="70"/>
      <c r="V130" s="57"/>
      <c r="W130" s="64"/>
      <c r="X130" s="57"/>
      <c r="Y130" s="64"/>
      <c r="Z130" s="57"/>
      <c r="AA130" s="70"/>
      <c r="AB130" s="57"/>
      <c r="AC130" s="238"/>
      <c r="AD130" s="57"/>
      <c r="AE130" s="64"/>
      <c r="AF130" s="70">
        <f t="shared" si="22"/>
        <v>0</v>
      </c>
      <c r="AG130" s="70"/>
      <c r="AH130" s="70"/>
      <c r="AI130" s="70"/>
      <c r="AJ130" s="70"/>
      <c r="AK130" s="70"/>
      <c r="AL130" s="70"/>
      <c r="AM130" s="70"/>
      <c r="AN130" s="70"/>
      <c r="AO130" s="70"/>
      <c r="AP130" s="70">
        <f t="shared" si="23"/>
        <v>0</v>
      </c>
      <c r="AQ130" s="70"/>
      <c r="AR130" s="74"/>
      <c r="AS130" s="70"/>
      <c r="AT130" s="235"/>
      <c r="AU130" s="70"/>
      <c r="AV130" s="57"/>
      <c r="AW130" s="57"/>
      <c r="AX130" s="70"/>
      <c r="AY130" s="70"/>
      <c r="AZ130" s="112"/>
      <c r="BA130" s="82"/>
      <c r="BB130" s="236"/>
      <c r="BC130" s="152"/>
      <c r="BD130" s="152"/>
      <c r="BE130" s="152"/>
      <c r="BF130" s="229"/>
      <c r="BG130" s="229"/>
    </row>
    <row r="131" spans="1:59" ht="12" customHeight="1" x14ac:dyDescent="0.15">
      <c r="A131" s="58" t="s">
        <v>205</v>
      </c>
      <c r="B131" s="57" t="s">
        <v>504</v>
      </c>
      <c r="C131" s="57" t="s">
        <v>206</v>
      </c>
      <c r="D131" s="59" t="s">
        <v>542</v>
      </c>
      <c r="E131" s="125"/>
      <c r="F131" s="125"/>
      <c r="G131" s="57"/>
      <c r="H131" s="57"/>
      <c r="I131" s="70"/>
      <c r="J131" s="57"/>
      <c r="K131" s="247"/>
      <c r="L131" s="57"/>
      <c r="M131" s="70"/>
      <c r="N131" s="57"/>
      <c r="O131" s="245"/>
      <c r="P131" s="57"/>
      <c r="Q131" s="70"/>
      <c r="R131" s="57"/>
      <c r="S131" s="70"/>
      <c r="T131" s="57"/>
      <c r="U131" s="70"/>
      <c r="V131" s="57"/>
      <c r="W131" s="64"/>
      <c r="X131" s="57"/>
      <c r="Y131" s="64"/>
      <c r="Z131" s="57"/>
      <c r="AA131" s="70"/>
      <c r="AB131" s="57"/>
      <c r="AC131" s="238"/>
      <c r="AD131" s="57"/>
      <c r="AE131" s="64"/>
      <c r="AF131" s="70">
        <f t="shared" si="22"/>
        <v>0</v>
      </c>
      <c r="AG131" s="70"/>
      <c r="AH131" s="70"/>
      <c r="AI131" s="70"/>
      <c r="AJ131" s="70"/>
      <c r="AK131" s="70"/>
      <c r="AL131" s="70"/>
      <c r="AM131" s="70"/>
      <c r="AN131" s="70"/>
      <c r="AO131" s="70"/>
      <c r="AP131" s="70">
        <f t="shared" si="23"/>
        <v>0</v>
      </c>
      <c r="AQ131" s="70"/>
      <c r="AR131" s="74"/>
      <c r="AS131" s="70"/>
      <c r="AT131" s="235"/>
      <c r="AU131" s="70"/>
      <c r="AV131" s="57"/>
      <c r="AW131" s="57"/>
      <c r="AX131" s="70"/>
      <c r="AY131" s="70"/>
      <c r="AZ131" s="112"/>
      <c r="BA131" s="82"/>
      <c r="BB131" s="236"/>
      <c r="BC131" s="152"/>
      <c r="BD131" s="152"/>
      <c r="BE131" s="152"/>
      <c r="BF131" s="229"/>
      <c r="BG131" s="229"/>
    </row>
    <row r="132" spans="1:59" ht="12" customHeight="1" x14ac:dyDescent="0.15">
      <c r="A132" s="58" t="s">
        <v>205</v>
      </c>
      <c r="B132" s="57" t="s">
        <v>504</v>
      </c>
      <c r="C132" s="57" t="s">
        <v>206</v>
      </c>
      <c r="D132" s="103" t="s">
        <v>543</v>
      </c>
      <c r="E132" s="125"/>
      <c r="F132" s="125"/>
      <c r="G132" s="57"/>
      <c r="H132" s="57"/>
      <c r="I132" s="70"/>
      <c r="J132" s="57"/>
      <c r="K132" s="247"/>
      <c r="L132" s="57"/>
      <c r="M132" s="64"/>
      <c r="N132" s="57"/>
      <c r="O132" s="245"/>
      <c r="P132" s="57"/>
      <c r="Q132" s="70"/>
      <c r="R132" s="57"/>
      <c r="S132" s="64"/>
      <c r="T132" s="57"/>
      <c r="U132" s="64"/>
      <c r="V132" s="57"/>
      <c r="W132" s="64"/>
      <c r="X132" s="57"/>
      <c r="Y132" s="64"/>
      <c r="Z132" s="57"/>
      <c r="AA132" s="70"/>
      <c r="AB132" s="57"/>
      <c r="AC132" s="238"/>
      <c r="AD132" s="57"/>
      <c r="AE132" s="70"/>
      <c r="AF132" s="70">
        <f t="shared" si="22"/>
        <v>0</v>
      </c>
      <c r="AG132" s="70"/>
      <c r="AH132" s="70"/>
      <c r="AI132" s="70"/>
      <c r="AJ132" s="70"/>
      <c r="AK132" s="70"/>
      <c r="AL132" s="70"/>
      <c r="AM132" s="70"/>
      <c r="AN132" s="70"/>
      <c r="AO132" s="70"/>
      <c r="AP132" s="70">
        <f t="shared" si="23"/>
        <v>0</v>
      </c>
      <c r="AQ132" s="70"/>
      <c r="AR132" s="74"/>
      <c r="AS132" s="70"/>
      <c r="AT132" s="235"/>
      <c r="AU132" s="70"/>
      <c r="AV132" s="57"/>
      <c r="AW132" s="57"/>
      <c r="AX132" s="70"/>
      <c r="AY132" s="70"/>
      <c r="AZ132" s="112"/>
      <c r="BA132" s="82"/>
      <c r="BB132" s="236"/>
      <c r="BC132" s="152"/>
      <c r="BD132" s="152"/>
      <c r="BE132" s="152"/>
      <c r="BF132" s="229"/>
      <c r="BG132" s="229"/>
    </row>
    <row r="133" spans="1:59" ht="12" customHeight="1" x14ac:dyDescent="0.15">
      <c r="A133" s="58" t="s">
        <v>205</v>
      </c>
      <c r="B133" s="57" t="s">
        <v>504</v>
      </c>
      <c r="C133" s="57" t="s">
        <v>206</v>
      </c>
      <c r="D133" s="59" t="s">
        <v>544</v>
      </c>
      <c r="E133" s="125"/>
      <c r="F133" s="125"/>
      <c r="G133" s="57"/>
      <c r="H133" s="57"/>
      <c r="I133" s="70"/>
      <c r="J133" s="57"/>
      <c r="K133" s="247"/>
      <c r="L133" s="57"/>
      <c r="M133" s="70"/>
      <c r="N133" s="57"/>
      <c r="O133" s="245"/>
      <c r="P133" s="57"/>
      <c r="Q133" s="70"/>
      <c r="R133" s="57"/>
      <c r="S133" s="64"/>
      <c r="T133" s="57"/>
      <c r="U133" s="64"/>
      <c r="V133" s="57"/>
      <c r="W133" s="64"/>
      <c r="X133" s="57"/>
      <c r="Y133" s="64"/>
      <c r="Z133" s="57"/>
      <c r="AA133" s="70"/>
      <c r="AB133" s="57"/>
      <c r="AC133" s="246"/>
      <c r="AD133" s="57"/>
      <c r="AE133" s="64"/>
      <c r="AF133" s="70">
        <f t="shared" si="22"/>
        <v>0</v>
      </c>
      <c r="AG133" s="70"/>
      <c r="AH133" s="70"/>
      <c r="AI133" s="70"/>
      <c r="AJ133" s="70"/>
      <c r="AK133" s="70"/>
      <c r="AL133" s="70"/>
      <c r="AM133" s="70"/>
      <c r="AN133" s="70"/>
      <c r="AO133" s="70"/>
      <c r="AP133" s="70">
        <f t="shared" si="23"/>
        <v>0</v>
      </c>
      <c r="AQ133" s="70"/>
      <c r="AR133" s="74"/>
      <c r="AS133" s="70"/>
      <c r="AT133" s="235"/>
      <c r="AU133" s="70"/>
      <c r="AV133" s="57"/>
      <c r="AW133" s="57"/>
      <c r="AX133" s="70"/>
      <c r="AY133" s="70"/>
      <c r="AZ133" s="112"/>
      <c r="BA133" s="82"/>
      <c r="BB133" s="236"/>
      <c r="BC133" s="152"/>
      <c r="BD133" s="152"/>
      <c r="BE133" s="152"/>
      <c r="BF133" s="229"/>
      <c r="BG133" s="229"/>
    </row>
    <row r="134" spans="1:59" ht="12" customHeight="1" x14ac:dyDescent="0.15">
      <c r="A134" s="58" t="s">
        <v>205</v>
      </c>
      <c r="B134" s="57" t="s">
        <v>504</v>
      </c>
      <c r="C134" s="57" t="s">
        <v>206</v>
      </c>
      <c r="D134" s="59" t="s">
        <v>545</v>
      </c>
      <c r="E134" s="125"/>
      <c r="F134" s="125"/>
      <c r="G134" s="57"/>
      <c r="H134" s="57"/>
      <c r="I134" s="70"/>
      <c r="J134" s="57"/>
      <c r="K134" s="247"/>
      <c r="L134" s="57"/>
      <c r="M134" s="70"/>
      <c r="N134" s="57"/>
      <c r="O134" s="245"/>
      <c r="P134" s="57"/>
      <c r="Q134" s="70"/>
      <c r="R134" s="57"/>
      <c r="S134" s="64"/>
      <c r="T134" s="57"/>
      <c r="U134" s="64"/>
      <c r="V134" s="57"/>
      <c r="W134" s="64"/>
      <c r="X134" s="57"/>
      <c r="Y134" s="64"/>
      <c r="Z134" s="57"/>
      <c r="AA134" s="70"/>
      <c r="AB134" s="57"/>
      <c r="AC134" s="246"/>
      <c r="AD134" s="57"/>
      <c r="AE134" s="64"/>
      <c r="AF134" s="70">
        <f t="shared" si="22"/>
        <v>0</v>
      </c>
      <c r="AG134" s="70"/>
      <c r="AH134" s="70"/>
      <c r="AI134" s="70"/>
      <c r="AJ134" s="70"/>
      <c r="AK134" s="70"/>
      <c r="AL134" s="70"/>
      <c r="AM134" s="70"/>
      <c r="AN134" s="70"/>
      <c r="AO134" s="70"/>
      <c r="AP134" s="70">
        <f t="shared" si="23"/>
        <v>0</v>
      </c>
      <c r="AQ134" s="70"/>
      <c r="AR134" s="74"/>
      <c r="AS134" s="70"/>
      <c r="AT134" s="235"/>
      <c r="AU134" s="70"/>
      <c r="AV134" s="57"/>
      <c r="AW134" s="57"/>
      <c r="AX134" s="70"/>
      <c r="AY134" s="70"/>
      <c r="AZ134" s="112"/>
      <c r="BA134" s="82"/>
      <c r="BB134" s="236"/>
      <c r="BC134" s="152"/>
      <c r="BD134" s="152"/>
      <c r="BE134" s="152"/>
      <c r="BF134" s="229"/>
      <c r="BG134" s="229"/>
    </row>
    <row r="135" spans="1:59" ht="12" customHeight="1" x14ac:dyDescent="0.15">
      <c r="A135" s="58" t="s">
        <v>205</v>
      </c>
      <c r="B135" s="57" t="s">
        <v>504</v>
      </c>
      <c r="C135" s="57" t="s">
        <v>206</v>
      </c>
      <c r="D135" s="59"/>
      <c r="E135" s="125"/>
      <c r="F135" s="125"/>
      <c r="G135" s="57"/>
      <c r="H135" s="57"/>
      <c r="I135" s="70"/>
      <c r="J135" s="57"/>
      <c r="K135" s="247"/>
      <c r="L135" s="57"/>
      <c r="M135" s="70"/>
      <c r="N135" s="57"/>
      <c r="O135" s="245"/>
      <c r="P135" s="57"/>
      <c r="Q135" s="70"/>
      <c r="R135" s="57"/>
      <c r="S135" s="64"/>
      <c r="T135" s="57"/>
      <c r="U135" s="64"/>
      <c r="V135" s="57"/>
      <c r="W135" s="64"/>
      <c r="X135" s="57"/>
      <c r="Y135" s="64"/>
      <c r="Z135" s="57"/>
      <c r="AA135" s="70"/>
      <c r="AB135" s="57"/>
      <c r="AC135" s="246"/>
      <c r="AD135" s="57"/>
      <c r="AE135" s="64"/>
      <c r="AF135" s="70">
        <f t="shared" si="22"/>
        <v>0</v>
      </c>
      <c r="AG135" s="70"/>
      <c r="AH135" s="70"/>
      <c r="AI135" s="70"/>
      <c r="AJ135" s="70"/>
      <c r="AK135" s="70"/>
      <c r="AL135" s="70"/>
      <c r="AM135" s="70"/>
      <c r="AN135" s="70"/>
      <c r="AO135" s="70"/>
      <c r="AP135" s="70">
        <f t="shared" si="23"/>
        <v>0</v>
      </c>
      <c r="AQ135" s="70"/>
      <c r="AR135" s="74"/>
      <c r="AS135" s="70"/>
      <c r="AT135" s="235"/>
      <c r="AU135" s="70"/>
      <c r="AV135" s="57"/>
      <c r="AW135" s="57"/>
      <c r="AX135" s="70"/>
      <c r="AY135" s="70"/>
      <c r="AZ135" s="112"/>
      <c r="BA135" s="82"/>
      <c r="BB135" s="236"/>
      <c r="BC135" s="152"/>
      <c r="BD135" s="152"/>
      <c r="BE135" s="152"/>
      <c r="BF135" s="229"/>
      <c r="BG135" s="229"/>
    </row>
    <row r="136" spans="1:59" ht="18" customHeight="1" x14ac:dyDescent="0.2">
      <c r="A136" s="250" t="s">
        <v>221</v>
      </c>
      <c r="B136" s="250"/>
      <c r="C136" s="250" t="s">
        <v>61</v>
      </c>
      <c r="D136" s="251" t="s">
        <v>546</v>
      </c>
      <c r="E136" s="252"/>
      <c r="F136" s="252"/>
      <c r="G136" s="250"/>
      <c r="H136" s="57"/>
      <c r="I136" s="253">
        <f>SUMIFS(I$1:I$135, $C$1:$C$135,"&lt;&gt;Payments")</f>
        <v>400</v>
      </c>
      <c r="J136" s="57"/>
      <c r="K136" s="253">
        <f>SUMIFS(K$1:K$135, $C$1:$C$135,"&lt;&gt;Payments")</f>
        <v>1659</v>
      </c>
      <c r="L136" s="57"/>
      <c r="M136" s="253">
        <f>SUMIFS(M$1:M$135, $C$1:$C$135,"&lt;&gt;Payments")</f>
        <v>12901</v>
      </c>
      <c r="N136" s="57"/>
      <c r="O136" s="253">
        <f>SUMIFS(O$1:O$135, $C$1:$C$135,"&lt;&gt;Payments")</f>
        <v>11158</v>
      </c>
      <c r="P136" s="57"/>
      <c r="Q136" s="253">
        <f>SUMIFS(Q$1:Q$135, $C$1:$C$135,"&lt;&gt;Payments")</f>
        <v>10784</v>
      </c>
      <c r="R136" s="57"/>
      <c r="S136" s="253">
        <f>SUMIFS(S$1:S$135, $C$1:$C$135,"&lt;&gt;Payments")</f>
        <v>910</v>
      </c>
      <c r="T136" s="57"/>
      <c r="U136" s="253">
        <f>SUMIFS(U$1:U$135, $C$1:$C$135,"&lt;&gt;Payments")</f>
        <v>140</v>
      </c>
      <c r="V136" s="57"/>
      <c r="W136" s="253">
        <f>SUMIFS(W$1:W$135, $C$1:$C$135,"&lt;&gt;Payments")</f>
        <v>0</v>
      </c>
      <c r="X136" s="57"/>
      <c r="Y136" s="253">
        <f>SUMIFS(Y$1:Y$135, $C$1:$C$135,"&lt;&gt;Payments")</f>
        <v>0</v>
      </c>
      <c r="Z136" s="57"/>
      <c r="AA136" s="253">
        <f>SUMIFS(AA$1:AA$135, $C$1:$C$135,"&lt;&gt;Payments")</f>
        <v>0</v>
      </c>
      <c r="AB136" s="57"/>
      <c r="AC136" s="253">
        <f>SUMIFS(AC$1:AC$135, $C$1:$C$135,"&lt;&gt;Payments")</f>
        <v>0</v>
      </c>
      <c r="AD136" s="57"/>
      <c r="AE136" s="253">
        <f>SUMIFS(AE$1:AE$135, $C$1:$C$135,"&lt;&gt;Payments")</f>
        <v>0</v>
      </c>
      <c r="AF136" s="253">
        <f t="shared" ref="AF136:AG136" si="24">SUMIFS(AF$1:AF$133, $C$1:$C$133,"&lt;&gt;Payments")</f>
        <v>33552</v>
      </c>
      <c r="AG136" s="253">
        <f t="shared" ca="1" si="24"/>
        <v>-2193</v>
      </c>
      <c r="AH136" s="254">
        <v>-5830</v>
      </c>
      <c r="AI136" s="253">
        <v>13610</v>
      </c>
      <c r="AJ136" s="254">
        <v>11300</v>
      </c>
      <c r="AK136" s="253">
        <f t="shared" ref="AK136:AO136" si="25">SUMIFS(AK$1:AK$133, $C$1:$C$133,"&lt;&gt;Payments")</f>
        <v>-1970</v>
      </c>
      <c r="AL136" s="253">
        <f t="shared" si="25"/>
        <v>-1150</v>
      </c>
      <c r="AM136" s="253">
        <f t="shared" si="25"/>
        <v>2905</v>
      </c>
      <c r="AN136" s="253">
        <f t="shared" si="25"/>
        <v>280</v>
      </c>
      <c r="AO136" s="253">
        <f t="shared" si="25"/>
        <v>110</v>
      </c>
      <c r="AP136" s="253">
        <f>AF136</f>
        <v>33552</v>
      </c>
      <c r="AQ136" s="253"/>
      <c r="AR136" s="74"/>
      <c r="AS136" s="70"/>
      <c r="AT136" s="255"/>
      <c r="AU136" s="253"/>
      <c r="AV136" s="256" t="s">
        <v>108</v>
      </c>
      <c r="AW136" s="256" t="s">
        <v>108</v>
      </c>
      <c r="AX136" s="253">
        <f>SUM(AX2:AX135)</f>
        <v>614</v>
      </c>
      <c r="AY136" s="70"/>
      <c r="AZ136" s="112"/>
      <c r="BA136" s="253">
        <f>SUM(BA1:BA135)</f>
        <v>6420</v>
      </c>
      <c r="BB136" s="81" t="s">
        <v>108</v>
      </c>
      <c r="BC136" s="152"/>
      <c r="BD136" s="152"/>
      <c r="BE136" s="253">
        <f t="shared" ref="BE136:BG136" si="26">SUMIFS(BE$1:BE$133, $C$1:$C$133,"&lt;&gt;Payments")</f>
        <v>450</v>
      </c>
      <c r="BF136" s="257">
        <f t="shared" si="26"/>
        <v>630</v>
      </c>
      <c r="BG136" s="257">
        <f t="shared" si="26"/>
        <v>80</v>
      </c>
    </row>
    <row r="137" spans="1:59" ht="18" customHeight="1" x14ac:dyDescent="0.2">
      <c r="A137" s="250" t="s">
        <v>221</v>
      </c>
      <c r="B137" s="250"/>
      <c r="C137" s="250" t="s">
        <v>61</v>
      </c>
      <c r="D137" s="251" t="s">
        <v>547</v>
      </c>
      <c r="E137" s="252"/>
      <c r="F137" s="252"/>
      <c r="G137" s="250"/>
      <c r="H137" s="57"/>
      <c r="I137" s="253">
        <f>-1 * SUMIFS(I$1:I$135, $C$1:$C$135, ("Payments"))</f>
        <v>0</v>
      </c>
      <c r="J137" s="57"/>
      <c r="K137" s="253">
        <f>-1 * SUMIFS(K$1:K$135, $C$1:$C$135, ("Payments"))</f>
        <v>-900</v>
      </c>
      <c r="L137" s="57"/>
      <c r="M137" s="253">
        <f>-1 * SUMIFS(M$1:M$135, $C$1:$C$135, ("Payments"))</f>
        <v>-100</v>
      </c>
      <c r="N137" s="57"/>
      <c r="O137" s="253">
        <f>-1 * SUMIFS(O$1:O$135, $C$1:$C$135, ("Payments"))</f>
        <v>-6300</v>
      </c>
      <c r="P137" s="57"/>
      <c r="Q137" s="253">
        <f>-1 * SUMIFS(Q$1:Q$135, $C$1:$C$135, ("Payments"))</f>
        <v>-5100</v>
      </c>
      <c r="R137" s="57"/>
      <c r="S137" s="253">
        <f>-1 * SUMIFS(S$1:S$135, $C$1:$C$135, ("Payments"))</f>
        <v>-4750</v>
      </c>
      <c r="T137" s="57"/>
      <c r="U137" s="253">
        <f>-1 * SUMIFS(U$1:U$135, $C$1:$C$135, ("Payments"))</f>
        <v>0</v>
      </c>
      <c r="V137" s="57"/>
      <c r="W137" s="253">
        <f>-1 * SUMIFS(W$1:W$135, $C$1:$C$135, ("Payments"))</f>
        <v>0</v>
      </c>
      <c r="X137" s="57"/>
      <c r="Y137" s="253">
        <f>-1 * SUMIFS(Y$1:Y$135, $C$1:$C$135, ("Payments"))</f>
        <v>0</v>
      </c>
      <c r="Z137" s="57"/>
      <c r="AA137" s="253">
        <f>-1 * SUMIFS(AA$1:AA$135, $C$1:$C$135, ("Payments"))</f>
        <v>0</v>
      </c>
      <c r="AB137" s="57"/>
      <c r="AC137" s="253">
        <f>-1 * SUMIFS(AC$1:AC$135, $C$1:$C$135, ("Payments"))</f>
        <v>0</v>
      </c>
      <c r="AD137" s="57"/>
      <c r="AE137" s="253">
        <f>-1 * SUMIFS(AE$1:AE$135, $C$1:$C$135, ("Payments"))</f>
        <v>0</v>
      </c>
      <c r="AF137" s="253">
        <f>-1 * SUMIFS(AF$1:AF$138, $C$1:$C$138, ("Payments"))</f>
        <v>-17150</v>
      </c>
      <c r="AG137" s="253">
        <f ca="1">SUM(AG3:AG136)</f>
        <v>-4346</v>
      </c>
      <c r="AH137" s="254">
        <v>-11420</v>
      </c>
      <c r="AI137" s="253">
        <v>26280</v>
      </c>
      <c r="AJ137" s="254">
        <v>22300</v>
      </c>
      <c r="AK137" s="254">
        <v>-6510</v>
      </c>
      <c r="AL137" s="253">
        <v>-2850</v>
      </c>
      <c r="AM137" s="253">
        <f t="shared" ref="AM137:AO137" si="27">SUM(AM3:AM136)</f>
        <v>5810</v>
      </c>
      <c r="AN137" s="253">
        <f t="shared" si="27"/>
        <v>560</v>
      </c>
      <c r="AO137" s="253">
        <f t="shared" si="27"/>
        <v>220</v>
      </c>
      <c r="AP137" s="253">
        <f>-1 * SUMIFS(AP$1:AP$138, $C$1:$C$138, ("Payments"))</f>
        <v>-21900</v>
      </c>
      <c r="AQ137" s="258"/>
      <c r="AR137" s="74"/>
      <c r="AS137" s="70"/>
      <c r="AT137" s="259"/>
      <c r="AU137" s="258"/>
      <c r="AV137" s="256" t="s">
        <v>108</v>
      </c>
      <c r="AW137" s="256" t="s">
        <v>108</v>
      </c>
      <c r="AZ137" s="112"/>
      <c r="BA137" s="253"/>
      <c r="BB137" s="81" t="s">
        <v>108</v>
      </c>
      <c r="BC137" s="152"/>
      <c r="BD137" s="152"/>
      <c r="BE137" s="253">
        <f t="shared" ref="BE137:BG137" si="28">-1 * SUMIFS(BE$1:BE$138, $C$1:$C$138, ("Payments"))</f>
        <v>0</v>
      </c>
      <c r="BF137" s="257">
        <f t="shared" si="28"/>
        <v>0</v>
      </c>
      <c r="BG137" s="257">
        <f t="shared" si="28"/>
        <v>0</v>
      </c>
    </row>
    <row r="138" spans="1:59" ht="18" customHeight="1" x14ac:dyDescent="0.2">
      <c r="A138" s="250" t="s">
        <v>221</v>
      </c>
      <c r="B138" s="250"/>
      <c r="C138" s="250" t="s">
        <v>222</v>
      </c>
      <c r="D138" s="260" t="s">
        <v>223</v>
      </c>
      <c r="E138" s="252"/>
      <c r="F138" s="252"/>
      <c r="G138" s="250"/>
      <c r="H138" s="57"/>
      <c r="I138" s="254">
        <v>35520.93</v>
      </c>
      <c r="J138" s="57"/>
      <c r="K138" s="254">
        <v>37349.93</v>
      </c>
      <c r="L138" s="58"/>
      <c r="M138" s="254">
        <v>42812.93</v>
      </c>
      <c r="N138" s="57"/>
      <c r="O138" s="254">
        <v>42332.93</v>
      </c>
      <c r="P138" s="57"/>
      <c r="Q138" s="254">
        <v>35520.93</v>
      </c>
      <c r="R138" s="57"/>
      <c r="S138" s="254">
        <v>35394</v>
      </c>
      <c r="T138" s="57"/>
      <c r="U138" s="254">
        <v>35844.93</v>
      </c>
      <c r="V138" s="57"/>
      <c r="W138" s="254">
        <v>35520.93</v>
      </c>
      <c r="X138" s="57"/>
      <c r="Y138" s="254">
        <v>35520.93</v>
      </c>
      <c r="Z138" s="57"/>
      <c r="AA138" s="254">
        <v>35520.93</v>
      </c>
      <c r="AB138" s="57"/>
      <c r="AC138" s="254">
        <v>35520.93</v>
      </c>
      <c r="AD138" s="57"/>
      <c r="AE138" s="254">
        <v>35520.93</v>
      </c>
      <c r="AF138" s="253">
        <f t="shared" ref="AF138:AF139" si="29">AVERAGE(H138:AC138)</f>
        <v>36987.299999999996</v>
      </c>
      <c r="AG138" s="253"/>
      <c r="AH138" s="253"/>
      <c r="AI138" s="253"/>
      <c r="AJ138" s="253"/>
      <c r="AK138" s="253"/>
      <c r="AL138" s="253"/>
      <c r="AM138" s="253"/>
      <c r="AN138" s="253"/>
      <c r="AO138" s="253"/>
      <c r="AP138" s="253">
        <f t="shared" ref="AP138:AP139" si="30">AVERAGE(R138:AM138)</f>
        <v>35728.859999999993</v>
      </c>
      <c r="AQ138" s="258"/>
      <c r="AR138" s="74"/>
      <c r="AS138" s="70"/>
      <c r="AT138" s="259"/>
      <c r="AU138" s="258"/>
      <c r="AV138" s="256" t="s">
        <v>108</v>
      </c>
      <c r="AW138" s="256" t="s">
        <v>108</v>
      </c>
      <c r="AX138" s="258"/>
      <c r="AY138" s="70"/>
      <c r="AZ138" s="112"/>
      <c r="BA138" s="152"/>
      <c r="BB138" s="81" t="s">
        <v>108</v>
      </c>
      <c r="BC138" s="256" t="s">
        <v>108</v>
      </c>
      <c r="BD138" s="256" t="s">
        <v>108</v>
      </c>
      <c r="BE138" s="256" t="s">
        <v>108</v>
      </c>
      <c r="BF138" s="261" t="s">
        <v>108</v>
      </c>
      <c r="BG138" s="261" t="s">
        <v>108</v>
      </c>
    </row>
    <row r="139" spans="1:59" ht="18" customHeight="1" x14ac:dyDescent="0.2">
      <c r="A139" s="250" t="s">
        <v>221</v>
      </c>
      <c r="B139" s="250"/>
      <c r="C139" s="250" t="s">
        <v>222</v>
      </c>
      <c r="D139" s="260" t="s">
        <v>227</v>
      </c>
      <c r="E139" s="252"/>
      <c r="F139" s="252"/>
      <c r="G139" s="250"/>
      <c r="H139" s="57"/>
      <c r="I139" s="254">
        <v>90</v>
      </c>
      <c r="J139" s="57"/>
      <c r="K139" s="254">
        <v>90</v>
      </c>
      <c r="L139" s="57"/>
      <c r="M139" s="254">
        <v>90</v>
      </c>
      <c r="N139" s="57"/>
      <c r="O139" s="254">
        <v>89.73</v>
      </c>
      <c r="P139" s="57"/>
      <c r="Q139" s="254">
        <v>90</v>
      </c>
      <c r="R139" s="57"/>
      <c r="S139" s="254">
        <v>89.73</v>
      </c>
      <c r="T139" s="57"/>
      <c r="U139" s="254">
        <v>89.73</v>
      </c>
      <c r="V139" s="57"/>
      <c r="W139" s="254">
        <v>89.73</v>
      </c>
      <c r="X139" s="57"/>
      <c r="Y139" s="254">
        <v>90</v>
      </c>
      <c r="Z139" s="57"/>
      <c r="AA139" s="254">
        <v>90</v>
      </c>
      <c r="AB139" s="57"/>
      <c r="AC139" s="254">
        <v>90</v>
      </c>
      <c r="AD139" s="57"/>
      <c r="AE139" s="254">
        <v>90</v>
      </c>
      <c r="AF139" s="253">
        <f t="shared" si="29"/>
        <v>89.901818181818186</v>
      </c>
      <c r="AG139" s="253"/>
      <c r="AH139" s="253"/>
      <c r="AI139" s="253"/>
      <c r="AJ139" s="253"/>
      <c r="AK139" s="253"/>
      <c r="AL139" s="253"/>
      <c r="AM139" s="253"/>
      <c r="AN139" s="253"/>
      <c r="AO139" s="253"/>
      <c r="AP139" s="253">
        <f t="shared" si="30"/>
        <v>89.886477272727276</v>
      </c>
      <c r="AQ139" s="258"/>
      <c r="AR139" s="74"/>
      <c r="AS139" s="70"/>
      <c r="AT139" s="259"/>
      <c r="AU139" s="258"/>
      <c r="AV139" s="256" t="s">
        <v>108</v>
      </c>
      <c r="AW139" s="256" t="s">
        <v>108</v>
      </c>
      <c r="AX139" s="258"/>
      <c r="AY139" s="70"/>
      <c r="AZ139" s="112"/>
      <c r="BA139" s="152"/>
      <c r="BB139" s="81" t="s">
        <v>108</v>
      </c>
      <c r="BC139" s="256" t="s">
        <v>108</v>
      </c>
      <c r="BD139" s="256" t="s">
        <v>108</v>
      </c>
      <c r="BE139" s="256" t="s">
        <v>108</v>
      </c>
      <c r="BF139" s="261" t="s">
        <v>108</v>
      </c>
      <c r="BG139" s="261" t="s">
        <v>108</v>
      </c>
    </row>
    <row r="140" spans="1:59" ht="12.75" customHeight="1" x14ac:dyDescent="0.15">
      <c r="A140" s="57"/>
      <c r="B140" s="57"/>
      <c r="C140" s="57"/>
      <c r="D140" s="103"/>
      <c r="E140" s="125"/>
      <c r="F140" s="125"/>
      <c r="G140" s="57"/>
      <c r="H140" s="57"/>
      <c r="I140" s="70"/>
      <c r="J140" s="57"/>
      <c r="K140" s="70"/>
      <c r="L140" s="57"/>
      <c r="M140" s="70"/>
      <c r="N140" s="57"/>
      <c r="O140" s="70"/>
      <c r="P140" s="57"/>
      <c r="Q140" s="70"/>
      <c r="R140" s="57"/>
      <c r="S140" s="70"/>
      <c r="T140" s="57"/>
      <c r="U140" s="70"/>
      <c r="V140" s="57"/>
      <c r="W140" s="70"/>
      <c r="X140" s="57"/>
      <c r="Y140" s="70"/>
      <c r="Z140" s="57"/>
      <c r="AA140" s="70"/>
      <c r="AB140" s="57"/>
      <c r="AC140" s="238"/>
      <c r="AD140" s="57"/>
      <c r="AE140" s="70"/>
      <c r="AF140" s="70"/>
      <c r="AG140" s="70"/>
      <c r="AH140" s="70"/>
      <c r="AI140" s="70"/>
      <c r="AJ140" s="70"/>
      <c r="AK140" s="57"/>
      <c r="AL140" s="70"/>
      <c r="AM140" s="57"/>
      <c r="AN140" s="70"/>
      <c r="AO140" s="70"/>
      <c r="AP140" s="70"/>
      <c r="AQ140" s="57"/>
      <c r="AR140" s="74"/>
      <c r="AS140" s="70"/>
      <c r="AT140" s="235"/>
      <c r="AU140" s="57"/>
      <c r="AV140" s="57"/>
      <c r="AW140" s="57"/>
      <c r="AX140" s="70"/>
      <c r="AY140" s="70"/>
      <c r="AZ140" s="112"/>
      <c r="BA140" s="236"/>
      <c r="BB140" s="236"/>
      <c r="BC140" s="152"/>
      <c r="BD140" s="152"/>
      <c r="BE140" s="236"/>
      <c r="BF140" s="262"/>
      <c r="BG140" s="262"/>
    </row>
    <row r="141" spans="1:59" ht="12.75" customHeight="1" x14ac:dyDescent="0.15">
      <c r="A141" s="57"/>
      <c r="B141" s="57"/>
      <c r="C141" s="57"/>
      <c r="D141" s="103"/>
      <c r="E141" s="125"/>
      <c r="F141" s="125"/>
      <c r="G141" s="57"/>
      <c r="H141" s="57"/>
      <c r="I141" s="70"/>
      <c r="J141" s="57"/>
      <c r="K141" s="70"/>
      <c r="L141" s="57"/>
      <c r="M141" s="70"/>
      <c r="N141" s="57"/>
      <c r="O141" s="70"/>
      <c r="P141" s="57"/>
      <c r="Q141" s="70"/>
      <c r="R141" s="57"/>
      <c r="S141" s="70"/>
      <c r="T141" s="57"/>
      <c r="U141" s="70"/>
      <c r="V141" s="57"/>
      <c r="W141" s="70"/>
      <c r="X141" s="57"/>
      <c r="Y141" s="70"/>
      <c r="Z141" s="57"/>
      <c r="AA141" s="70"/>
      <c r="AB141" s="57"/>
      <c r="AC141" s="238"/>
      <c r="AD141" s="57"/>
      <c r="AE141" s="70"/>
      <c r="AF141" s="70"/>
      <c r="AG141" s="70"/>
      <c r="AH141" s="70"/>
      <c r="AI141" s="70"/>
      <c r="AJ141" s="70"/>
      <c r="AK141" s="57"/>
      <c r="AL141" s="70"/>
      <c r="AM141" s="57"/>
      <c r="AN141" s="70"/>
      <c r="AO141" s="70"/>
      <c r="AP141" s="70"/>
      <c r="AQ141" s="57"/>
      <c r="AR141" s="74"/>
      <c r="AS141" s="70"/>
      <c r="AT141" s="235"/>
      <c r="AU141" s="57"/>
      <c r="AV141" s="57"/>
      <c r="AW141" s="57"/>
      <c r="AX141" s="70"/>
      <c r="AY141" s="70"/>
      <c r="AZ141" s="112"/>
      <c r="BA141" s="236"/>
      <c r="BB141" s="236"/>
      <c r="BC141" s="152"/>
      <c r="BD141" s="152"/>
      <c r="BE141" s="236"/>
      <c r="BF141" s="262"/>
      <c r="BG141" s="262"/>
    </row>
    <row r="142" spans="1:59" ht="12.75" customHeight="1" x14ac:dyDescent="0.15">
      <c r="A142" s="57"/>
      <c r="B142" s="57"/>
      <c r="C142" s="57"/>
      <c r="D142" s="103"/>
      <c r="E142" s="125"/>
      <c r="F142" s="125"/>
      <c r="G142" s="57"/>
      <c r="H142" s="57"/>
      <c r="I142" s="70"/>
      <c r="J142" s="57"/>
      <c r="K142" s="70"/>
      <c r="L142" s="57"/>
      <c r="M142" s="70"/>
      <c r="N142" s="57"/>
      <c r="O142" s="70"/>
      <c r="P142" s="57"/>
      <c r="Q142" s="70"/>
      <c r="R142" s="57"/>
      <c r="S142" s="70"/>
      <c r="T142" s="57"/>
      <c r="U142" s="70"/>
      <c r="V142" s="57"/>
      <c r="W142" s="70"/>
      <c r="X142" s="57"/>
      <c r="Y142" s="70"/>
      <c r="Z142" s="57"/>
      <c r="AA142" s="70"/>
      <c r="AB142" s="57"/>
      <c r="AC142" s="238"/>
      <c r="AD142" s="57"/>
      <c r="AE142" s="70"/>
      <c r="AF142" s="70"/>
      <c r="AG142" s="70"/>
      <c r="AH142" s="70"/>
      <c r="AI142" s="70"/>
      <c r="AJ142" s="70"/>
      <c r="AK142" s="57"/>
      <c r="AL142" s="70"/>
      <c r="AM142" s="57"/>
      <c r="AN142" s="70"/>
      <c r="AO142" s="70"/>
      <c r="AP142" s="70"/>
      <c r="AQ142" s="57"/>
      <c r="AR142" s="74"/>
      <c r="AS142" s="70"/>
      <c r="AT142" s="235"/>
      <c r="AU142" s="57"/>
      <c r="AV142" s="57"/>
      <c r="AW142" s="57"/>
      <c r="AX142" s="70"/>
      <c r="AY142" s="70"/>
      <c r="AZ142" s="112"/>
      <c r="BA142" s="236"/>
      <c r="BB142" s="236"/>
      <c r="BC142" s="152"/>
      <c r="BD142" s="152"/>
      <c r="BE142" s="236"/>
      <c r="BF142" s="262"/>
      <c r="BG142" s="262"/>
    </row>
    <row r="143" spans="1:59" ht="12.75" customHeight="1" x14ac:dyDescent="0.15">
      <c r="A143" s="57"/>
      <c r="B143" s="57"/>
      <c r="C143" s="57"/>
      <c r="D143" s="103"/>
      <c r="E143" s="125"/>
      <c r="F143" s="125"/>
      <c r="G143" s="57"/>
      <c r="H143" s="57"/>
      <c r="I143" s="70"/>
      <c r="J143" s="57"/>
      <c r="K143" s="70"/>
      <c r="L143" s="57"/>
      <c r="M143" s="70"/>
      <c r="N143" s="57"/>
      <c r="O143" s="70"/>
      <c r="P143" s="57"/>
      <c r="Q143" s="70"/>
      <c r="R143" s="57"/>
      <c r="S143" s="70"/>
      <c r="T143" s="57"/>
      <c r="U143" s="70"/>
      <c r="V143" s="57"/>
      <c r="W143" s="70"/>
      <c r="X143" s="57"/>
      <c r="Y143" s="70"/>
      <c r="Z143" s="57"/>
      <c r="AA143" s="70"/>
      <c r="AB143" s="57"/>
      <c r="AC143" s="238"/>
      <c r="AD143" s="57"/>
      <c r="AE143" s="70"/>
      <c r="AF143" s="70"/>
      <c r="AG143" s="70"/>
      <c r="AH143" s="70"/>
      <c r="AI143" s="70"/>
      <c r="AJ143" s="70"/>
      <c r="AK143" s="57"/>
      <c r="AL143" s="70"/>
      <c r="AM143" s="57"/>
      <c r="AN143" s="70"/>
      <c r="AO143" s="70"/>
      <c r="AP143" s="70"/>
      <c r="AQ143" s="57"/>
      <c r="AR143" s="74"/>
      <c r="AS143" s="70"/>
      <c r="AT143" s="235"/>
      <c r="AU143" s="57"/>
      <c r="AV143" s="57"/>
      <c r="AW143" s="57"/>
      <c r="AX143" s="70"/>
      <c r="AY143" s="70"/>
      <c r="AZ143" s="112"/>
      <c r="BA143" s="236"/>
      <c r="BB143" s="236"/>
      <c r="BC143" s="152"/>
      <c r="BD143" s="152"/>
      <c r="BE143" s="236"/>
      <c r="BF143" s="262"/>
      <c r="BG143" s="262"/>
    </row>
    <row r="144" spans="1:59" ht="12.75" customHeight="1" x14ac:dyDescent="0.15">
      <c r="A144" s="57"/>
      <c r="B144" s="57"/>
      <c r="C144" s="57"/>
      <c r="D144" s="103"/>
      <c r="E144" s="125"/>
      <c r="F144" s="125"/>
      <c r="G144" s="57"/>
      <c r="H144" s="57"/>
      <c r="I144" s="70"/>
      <c r="J144" s="57"/>
      <c r="K144" s="70"/>
      <c r="L144" s="57"/>
      <c r="M144" s="70"/>
      <c r="N144" s="57"/>
      <c r="O144" s="70"/>
      <c r="P144" s="57"/>
      <c r="Q144" s="70"/>
      <c r="R144" s="57"/>
      <c r="S144" s="70"/>
      <c r="T144" s="57"/>
      <c r="U144" s="70"/>
      <c r="V144" s="57"/>
      <c r="W144" s="70"/>
      <c r="X144" s="57"/>
      <c r="Y144" s="70"/>
      <c r="Z144" s="57"/>
      <c r="AA144" s="70"/>
      <c r="AB144" s="57"/>
      <c r="AC144" s="238"/>
      <c r="AD144" s="57"/>
      <c r="AE144" s="70"/>
      <c r="AF144" s="70"/>
      <c r="AG144" s="70"/>
      <c r="AH144" s="70"/>
      <c r="AI144" s="70"/>
      <c r="AJ144" s="70"/>
      <c r="AK144" s="57"/>
      <c r="AL144" s="70"/>
      <c r="AM144" s="57"/>
      <c r="AN144" s="70"/>
      <c r="AO144" s="70"/>
      <c r="AP144" s="70"/>
      <c r="AQ144" s="57"/>
      <c r="AR144" s="74"/>
      <c r="AS144" s="70"/>
      <c r="AT144" s="235"/>
      <c r="AU144" s="57"/>
      <c r="AV144" s="57"/>
      <c r="AW144" s="57"/>
      <c r="AX144" s="70"/>
      <c r="AY144" s="70"/>
      <c r="AZ144" s="112"/>
      <c r="BA144" s="236"/>
      <c r="BB144" s="236"/>
      <c r="BC144" s="152"/>
      <c r="BD144" s="152"/>
      <c r="BE144" s="236"/>
      <c r="BF144" s="262"/>
      <c r="BG144" s="262"/>
    </row>
    <row r="145" spans="1:59" ht="12.75" customHeight="1" x14ac:dyDescent="0.15">
      <c r="A145" s="57"/>
      <c r="B145" s="57"/>
      <c r="C145" s="57"/>
      <c r="D145" s="103"/>
      <c r="E145" s="125"/>
      <c r="F145" s="125"/>
      <c r="G145" s="57"/>
      <c r="H145" s="57"/>
      <c r="I145" s="70"/>
      <c r="J145" s="57"/>
      <c r="K145" s="70"/>
      <c r="L145" s="57"/>
      <c r="M145" s="70"/>
      <c r="N145" s="57"/>
      <c r="O145" s="70"/>
      <c r="P145" s="57"/>
      <c r="Q145" s="70"/>
      <c r="R145" s="57"/>
      <c r="S145" s="70"/>
      <c r="T145" s="57"/>
      <c r="U145" s="70"/>
      <c r="V145" s="57"/>
      <c r="W145" s="70"/>
      <c r="X145" s="57"/>
      <c r="Y145" s="70"/>
      <c r="Z145" s="57"/>
      <c r="AA145" s="70"/>
      <c r="AB145" s="57"/>
      <c r="AC145" s="238"/>
      <c r="AD145" s="57"/>
      <c r="AE145" s="70"/>
      <c r="AF145" s="70"/>
      <c r="AG145" s="70"/>
      <c r="AH145" s="70"/>
      <c r="AI145" s="70"/>
      <c r="AJ145" s="70"/>
      <c r="AK145" s="57"/>
      <c r="AL145" s="70"/>
      <c r="AM145" s="57"/>
      <c r="AN145" s="70"/>
      <c r="AO145" s="70"/>
      <c r="AP145" s="70"/>
      <c r="AQ145" s="57"/>
      <c r="AR145" s="74"/>
      <c r="AS145" s="70"/>
      <c r="AT145" s="235"/>
      <c r="AU145" s="57"/>
      <c r="AV145" s="57"/>
      <c r="AW145" s="57"/>
      <c r="AX145" s="70"/>
      <c r="AY145" s="70"/>
      <c r="AZ145" s="112"/>
      <c r="BA145" s="236"/>
      <c r="BB145" s="236"/>
      <c r="BC145" s="152"/>
      <c r="BD145" s="152"/>
      <c r="BE145" s="236"/>
      <c r="BF145" s="262"/>
      <c r="BG145" s="262"/>
    </row>
    <row r="146" spans="1:59" ht="12.75" customHeight="1" x14ac:dyDescent="0.15">
      <c r="A146" s="57"/>
      <c r="B146" s="57"/>
      <c r="C146" s="57"/>
      <c r="D146" s="103"/>
      <c r="E146" s="125"/>
      <c r="F146" s="125"/>
      <c r="G146" s="57"/>
      <c r="H146" s="57"/>
      <c r="I146" s="70"/>
      <c r="J146" s="57"/>
      <c r="K146" s="70"/>
      <c r="L146" s="57"/>
      <c r="M146" s="70"/>
      <c r="N146" s="57"/>
      <c r="O146" s="70"/>
      <c r="P146" s="57"/>
      <c r="Q146" s="70"/>
      <c r="R146" s="57"/>
      <c r="S146" s="70"/>
      <c r="T146" s="57"/>
      <c r="U146" s="70"/>
      <c r="V146" s="57"/>
      <c r="W146" s="70"/>
      <c r="X146" s="57"/>
      <c r="Y146" s="70"/>
      <c r="Z146" s="57"/>
      <c r="AA146" s="70"/>
      <c r="AB146" s="57"/>
      <c r="AC146" s="238"/>
      <c r="AD146" s="57"/>
      <c r="AE146" s="70"/>
      <c r="AF146" s="70"/>
      <c r="AG146" s="70"/>
      <c r="AH146" s="70"/>
      <c r="AI146" s="70"/>
      <c r="AJ146" s="70"/>
      <c r="AK146" s="57"/>
      <c r="AL146" s="70"/>
      <c r="AM146" s="57"/>
      <c r="AN146" s="70"/>
      <c r="AO146" s="70"/>
      <c r="AP146" s="70"/>
      <c r="AQ146" s="57"/>
      <c r="AR146" s="74"/>
      <c r="AS146" s="70"/>
      <c r="AT146" s="235"/>
      <c r="AU146" s="57"/>
      <c r="AV146" s="57"/>
      <c r="AW146" s="57"/>
      <c r="AX146" s="70"/>
      <c r="AY146" s="70"/>
      <c r="AZ146" s="112"/>
      <c r="BA146" s="236"/>
      <c r="BB146" s="236"/>
      <c r="BC146" s="152"/>
      <c r="BD146" s="152"/>
      <c r="BE146" s="236"/>
      <c r="BF146" s="262"/>
      <c r="BG146" s="262"/>
    </row>
    <row r="147" spans="1:59" ht="12" customHeight="1" x14ac:dyDescent="0.15">
      <c r="A147" s="57"/>
      <c r="B147" s="57"/>
      <c r="C147" s="57"/>
      <c r="D147" s="103"/>
      <c r="E147" s="125"/>
      <c r="F147" s="125"/>
      <c r="G147" s="57"/>
      <c r="H147" s="57"/>
      <c r="I147" s="70"/>
      <c r="J147" s="57"/>
      <c r="K147" s="70"/>
      <c r="L147" s="57"/>
      <c r="M147" s="70"/>
      <c r="N147" s="57"/>
      <c r="O147" s="70"/>
      <c r="P147" s="57"/>
      <c r="Q147" s="70"/>
      <c r="R147" s="57"/>
      <c r="S147" s="70"/>
      <c r="T147" s="57"/>
      <c r="U147" s="70"/>
      <c r="V147" s="57"/>
      <c r="W147" s="70"/>
      <c r="X147" s="57"/>
      <c r="Y147" s="70"/>
      <c r="Z147" s="57"/>
      <c r="AA147" s="70"/>
      <c r="AB147" s="57"/>
      <c r="AC147" s="238"/>
      <c r="AD147" s="57"/>
      <c r="AE147" s="70"/>
      <c r="AF147" s="70"/>
      <c r="AG147" s="70"/>
      <c r="AH147" s="70"/>
      <c r="AI147" s="70"/>
      <c r="AJ147" s="70"/>
      <c r="AK147" s="57"/>
      <c r="AL147" s="70"/>
      <c r="AM147" s="57"/>
      <c r="AN147" s="70"/>
      <c r="AO147" s="70"/>
      <c r="AP147" s="70"/>
      <c r="AQ147" s="57"/>
      <c r="AR147" s="74"/>
      <c r="AS147" s="70"/>
      <c r="AT147" s="235"/>
      <c r="AU147" s="57"/>
      <c r="AV147" s="57"/>
      <c r="AW147" s="57"/>
      <c r="AX147" s="70"/>
      <c r="AY147" s="70"/>
      <c r="AZ147" s="112"/>
      <c r="BA147" s="236"/>
      <c r="BB147" s="236"/>
      <c r="BC147" s="152"/>
      <c r="BD147" s="152"/>
      <c r="BE147" s="236"/>
      <c r="BF147" s="262"/>
      <c r="BG147" s="262"/>
    </row>
    <row r="148" spans="1:59" ht="18" customHeight="1" x14ac:dyDescent="0.15">
      <c r="A148" s="57"/>
      <c r="B148" s="57"/>
      <c r="C148" s="57"/>
      <c r="D148" s="103"/>
      <c r="E148" s="125"/>
      <c r="F148" s="125"/>
      <c r="G148" s="57"/>
      <c r="H148" s="57"/>
      <c r="I148" s="70"/>
      <c r="J148" s="57"/>
      <c r="K148" s="70"/>
      <c r="L148" s="57"/>
      <c r="M148" s="70"/>
      <c r="N148" s="57"/>
      <c r="O148" s="70"/>
      <c r="P148" s="57"/>
      <c r="Q148" s="70"/>
      <c r="R148" s="57"/>
      <c r="S148" s="70"/>
      <c r="T148" s="57"/>
      <c r="U148" s="70"/>
      <c r="V148" s="57"/>
      <c r="W148" s="70"/>
      <c r="X148" s="57"/>
      <c r="Y148" s="70"/>
      <c r="Z148" s="57"/>
      <c r="AA148" s="70"/>
      <c r="AB148" s="57"/>
      <c r="AC148" s="238"/>
      <c r="AD148" s="57"/>
      <c r="AE148" s="70"/>
      <c r="AF148" s="70"/>
      <c r="AG148" s="70"/>
      <c r="AH148" s="70"/>
      <c r="AI148" s="70"/>
      <c r="AJ148" s="70"/>
      <c r="AK148" s="57"/>
      <c r="AL148" s="70"/>
      <c r="AM148" s="57"/>
      <c r="AN148" s="70"/>
      <c r="AO148" s="70"/>
      <c r="AP148" s="70"/>
      <c r="AQ148" s="57"/>
      <c r="AR148" s="74"/>
      <c r="AS148" s="70"/>
      <c r="AT148" s="235"/>
      <c r="AU148" s="57"/>
      <c r="AV148" s="57"/>
      <c r="AW148" s="57"/>
      <c r="AX148" s="70"/>
      <c r="AY148" s="70"/>
      <c r="AZ148" s="112"/>
      <c r="BA148" s="236"/>
      <c r="BB148" s="236"/>
      <c r="BC148" s="152"/>
      <c r="BD148" s="152"/>
      <c r="BE148" s="236"/>
      <c r="BF148" s="262"/>
      <c r="BG148" s="262"/>
    </row>
    <row r="149" spans="1:59" ht="12" customHeight="1" x14ac:dyDescent="0.15">
      <c r="A149" s="57"/>
      <c r="B149" s="57"/>
      <c r="C149" s="57"/>
      <c r="D149" s="103"/>
      <c r="E149" s="125"/>
      <c r="F149" s="125"/>
      <c r="G149" s="57"/>
      <c r="H149" s="57"/>
      <c r="I149" s="57"/>
      <c r="J149" s="57"/>
      <c r="K149" s="57"/>
      <c r="L149" s="57"/>
      <c r="M149" s="58"/>
      <c r="N149" s="57"/>
      <c r="O149" s="70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238"/>
      <c r="AD149" s="57"/>
      <c r="AE149" s="57"/>
      <c r="AF149" s="57"/>
      <c r="AG149" s="57"/>
      <c r="AH149" s="57"/>
      <c r="AI149" s="57"/>
      <c r="AJ149" s="57"/>
      <c r="AK149" s="70"/>
      <c r="AL149" s="57"/>
      <c r="AM149" s="57"/>
      <c r="AN149" s="57"/>
      <c r="AO149" s="70"/>
      <c r="AP149" s="70"/>
      <c r="AQ149" s="57"/>
      <c r="AR149" s="74"/>
      <c r="AS149" s="70"/>
      <c r="AT149" s="235"/>
      <c r="AU149" s="57"/>
      <c r="AV149" s="57"/>
      <c r="AW149" s="57"/>
      <c r="AX149" s="70"/>
      <c r="AY149" s="70"/>
      <c r="AZ149" s="112"/>
      <c r="BA149" s="236"/>
      <c r="BB149" s="236"/>
      <c r="BC149" s="152"/>
      <c r="BD149" s="152"/>
      <c r="BE149" s="236"/>
      <c r="BF149" s="262"/>
      <c r="BG149" s="262"/>
    </row>
    <row r="150" spans="1:59" ht="12" customHeight="1" x14ac:dyDescent="0.15">
      <c r="A150" s="57"/>
      <c r="B150" s="57"/>
      <c r="C150" s="57"/>
      <c r="D150" s="103"/>
      <c r="E150" s="125"/>
      <c r="F150" s="125"/>
      <c r="G150" s="57"/>
      <c r="H150" s="57"/>
      <c r="I150" s="57"/>
      <c r="J150" s="57"/>
      <c r="K150" s="57"/>
      <c r="L150" s="57"/>
      <c r="M150" s="58"/>
      <c r="N150" s="57"/>
      <c r="O150" s="70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220"/>
      <c r="AD150" s="57"/>
      <c r="AE150" s="57"/>
      <c r="AF150" s="57"/>
      <c r="AG150" s="57"/>
      <c r="AH150" s="57"/>
      <c r="AI150" s="57"/>
      <c r="AJ150" s="57"/>
      <c r="AK150" s="70"/>
      <c r="AL150" s="57"/>
      <c r="AM150" s="57"/>
      <c r="AN150" s="57"/>
      <c r="AO150" s="70"/>
      <c r="AP150" s="70"/>
      <c r="AQ150" s="57"/>
      <c r="AR150" s="74"/>
      <c r="AS150" s="70"/>
      <c r="AT150" s="235"/>
      <c r="AU150" s="57"/>
      <c r="AV150" s="57"/>
      <c r="AW150" s="57"/>
      <c r="AX150" s="70"/>
      <c r="AY150" s="70"/>
      <c r="AZ150" s="112"/>
      <c r="BA150" s="236"/>
      <c r="BB150" s="236"/>
      <c r="BC150" s="152"/>
      <c r="BD150" s="152"/>
      <c r="BE150" s="236"/>
      <c r="BF150" s="262"/>
      <c r="BG150" s="262"/>
    </row>
    <row r="151" spans="1:59" ht="12" customHeight="1" x14ac:dyDescent="0.15">
      <c r="A151" s="57"/>
      <c r="B151" s="57"/>
      <c r="C151" s="57"/>
      <c r="D151" s="103"/>
      <c r="E151" s="125"/>
      <c r="F151" s="125"/>
      <c r="G151" s="57"/>
      <c r="H151" s="57"/>
      <c r="I151" s="57"/>
      <c r="J151" s="57"/>
      <c r="K151" s="57"/>
      <c r="L151" s="57"/>
      <c r="M151" s="57"/>
      <c r="N151" s="57"/>
      <c r="O151" s="70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220"/>
      <c r="AD151" s="57"/>
      <c r="AE151" s="57"/>
      <c r="AF151" s="57"/>
      <c r="AG151" s="57"/>
      <c r="AH151" s="57"/>
      <c r="AI151" s="57"/>
      <c r="AJ151" s="57"/>
      <c r="AK151" s="70"/>
      <c r="AL151" s="57"/>
      <c r="AM151" s="57"/>
      <c r="AN151" s="57"/>
      <c r="AO151" s="70"/>
      <c r="AP151" s="70"/>
      <c r="AQ151" s="57"/>
      <c r="AR151" s="74"/>
      <c r="AS151" s="70"/>
      <c r="AT151" s="235"/>
      <c r="AU151" s="57"/>
      <c r="AV151" s="57"/>
      <c r="AW151" s="57"/>
      <c r="AX151" s="70"/>
      <c r="AY151" s="70"/>
      <c r="AZ151" s="112"/>
      <c r="BA151" s="236"/>
      <c r="BB151" s="236"/>
      <c r="BC151" s="152"/>
      <c r="BD151" s="152"/>
      <c r="BE151" s="236"/>
      <c r="BF151" s="262"/>
      <c r="BG151" s="262"/>
    </row>
    <row r="152" spans="1:59" ht="12" customHeight="1" x14ac:dyDescent="0.15">
      <c r="A152" s="57"/>
      <c r="B152" s="57"/>
      <c r="C152" s="57"/>
      <c r="D152" s="103"/>
      <c r="E152" s="125"/>
      <c r="F152" s="125"/>
      <c r="G152" s="57"/>
      <c r="H152" s="57"/>
      <c r="I152" s="57"/>
      <c r="J152" s="57"/>
      <c r="K152" s="57"/>
      <c r="L152" s="57"/>
      <c r="M152" s="57"/>
      <c r="N152" s="57"/>
      <c r="O152" s="70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220"/>
      <c r="AD152" s="57"/>
      <c r="AE152" s="57"/>
      <c r="AF152" s="57"/>
      <c r="AG152" s="57"/>
      <c r="AH152" s="57"/>
      <c r="AI152" s="57"/>
      <c r="AJ152" s="57"/>
      <c r="AK152" s="70"/>
      <c r="AL152" s="57"/>
      <c r="AM152" s="57"/>
      <c r="AN152" s="57"/>
      <c r="AO152" s="70"/>
      <c r="AP152" s="70"/>
      <c r="AQ152" s="57"/>
      <c r="AR152" s="74"/>
      <c r="AS152" s="70"/>
      <c r="AT152" s="235"/>
      <c r="AU152" s="57"/>
      <c r="AV152" s="57"/>
      <c r="AW152" s="57"/>
      <c r="AX152" s="70"/>
      <c r="AY152" s="70"/>
      <c r="AZ152" s="112"/>
      <c r="BA152" s="236"/>
      <c r="BB152" s="236"/>
      <c r="BC152" s="152"/>
      <c r="BD152" s="152"/>
      <c r="BE152" s="236"/>
      <c r="BF152" s="262"/>
      <c r="BG152" s="262"/>
    </row>
    <row r="153" spans="1:59" ht="12" customHeight="1" x14ac:dyDescent="0.15">
      <c r="A153" s="57"/>
      <c r="B153" s="57"/>
      <c r="C153" s="57"/>
      <c r="D153" s="103"/>
      <c r="E153" s="125"/>
      <c r="F153" s="125"/>
      <c r="G153" s="57"/>
      <c r="H153" s="57"/>
      <c r="I153" s="57"/>
      <c r="J153" s="57"/>
      <c r="K153" s="57"/>
      <c r="L153" s="57"/>
      <c r="M153" s="57"/>
      <c r="N153" s="57"/>
      <c r="O153" s="70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220"/>
      <c r="AD153" s="57"/>
      <c r="AE153" s="57"/>
      <c r="AF153" s="57"/>
      <c r="AG153" s="57"/>
      <c r="AH153" s="57"/>
      <c r="AI153" s="57"/>
      <c r="AJ153" s="57"/>
      <c r="AK153" s="70"/>
      <c r="AL153" s="57"/>
      <c r="AM153" s="57"/>
      <c r="AN153" s="57"/>
      <c r="AO153" s="70"/>
      <c r="AP153" s="70"/>
      <c r="AQ153" s="57"/>
      <c r="AR153" s="74"/>
      <c r="AS153" s="70"/>
      <c r="AT153" s="235"/>
      <c r="AU153" s="57"/>
      <c r="AV153" s="57"/>
      <c r="AW153" s="57"/>
      <c r="AX153" s="70"/>
      <c r="AY153" s="70"/>
      <c r="AZ153" s="112"/>
      <c r="BA153" s="236"/>
      <c r="BB153" s="236"/>
      <c r="BC153" s="152"/>
      <c r="BD153" s="152"/>
      <c r="BE153" s="236"/>
      <c r="BF153" s="262"/>
      <c r="BG153" s="262"/>
    </row>
    <row r="154" spans="1:59" ht="12" customHeight="1" x14ac:dyDescent="0.15">
      <c r="A154" s="57"/>
      <c r="B154" s="57"/>
      <c r="C154" s="57"/>
      <c r="D154" s="103"/>
      <c r="E154" s="125"/>
      <c r="F154" s="125"/>
      <c r="G154" s="57"/>
      <c r="H154" s="57"/>
      <c r="I154" s="57"/>
      <c r="J154" s="57"/>
      <c r="K154" s="57"/>
      <c r="L154" s="57"/>
      <c r="M154" s="57"/>
      <c r="N154" s="57"/>
      <c r="O154" s="70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220"/>
      <c r="AD154" s="57"/>
      <c r="AE154" s="57"/>
      <c r="AF154" s="57"/>
      <c r="AG154" s="57"/>
      <c r="AH154" s="57"/>
      <c r="AI154" s="57"/>
      <c r="AJ154" s="57"/>
      <c r="AK154" s="70"/>
      <c r="AL154" s="57"/>
      <c r="AM154" s="57"/>
      <c r="AN154" s="57"/>
      <c r="AO154" s="70"/>
      <c r="AP154" s="70"/>
      <c r="AQ154" s="57"/>
      <c r="AR154" s="74"/>
      <c r="AS154" s="70"/>
      <c r="AT154" s="235"/>
      <c r="AU154" s="57"/>
      <c r="AV154" s="57"/>
      <c r="AW154" s="57"/>
      <c r="AX154" s="70"/>
      <c r="AY154" s="70"/>
      <c r="AZ154" s="112"/>
      <c r="BA154" s="236"/>
      <c r="BB154" s="236"/>
      <c r="BC154" s="152"/>
      <c r="BD154" s="152"/>
      <c r="BE154" s="236"/>
      <c r="BF154" s="262"/>
      <c r="BG154" s="262"/>
    </row>
    <row r="155" spans="1:59" ht="12" customHeight="1" x14ac:dyDescent="0.15">
      <c r="A155" s="57"/>
      <c r="B155" s="57"/>
      <c r="C155" s="57"/>
      <c r="D155" s="103"/>
      <c r="E155" s="125"/>
      <c r="F155" s="125"/>
      <c r="G155" s="57"/>
      <c r="H155" s="57"/>
      <c r="I155" s="57"/>
      <c r="J155" s="57"/>
      <c r="K155" s="57"/>
      <c r="L155" s="57"/>
      <c r="M155" s="57"/>
      <c r="N155" s="57"/>
      <c r="O155" s="70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220"/>
      <c r="AD155" s="57"/>
      <c r="AE155" s="57"/>
      <c r="AF155" s="57"/>
      <c r="AG155" s="57"/>
      <c r="AH155" s="57"/>
      <c r="AI155" s="57"/>
      <c r="AJ155" s="57"/>
      <c r="AK155" s="70"/>
      <c r="AL155" s="57"/>
      <c r="AM155" s="57"/>
      <c r="AN155" s="57"/>
      <c r="AO155" s="70"/>
      <c r="AP155" s="70"/>
      <c r="AQ155" s="57"/>
      <c r="AR155" s="74"/>
      <c r="AS155" s="70"/>
      <c r="AT155" s="235"/>
      <c r="AU155" s="57"/>
      <c r="AV155" s="57"/>
      <c r="AW155" s="57"/>
      <c r="AX155" s="70"/>
      <c r="AY155" s="70"/>
      <c r="AZ155" s="112"/>
      <c r="BA155" s="236"/>
      <c r="BB155" s="236"/>
      <c r="BC155" s="152"/>
      <c r="BD155" s="152"/>
      <c r="BE155" s="236"/>
      <c r="BF155" s="262"/>
      <c r="BG155" s="262"/>
    </row>
    <row r="156" spans="1:59" ht="12" customHeight="1" x14ac:dyDescent="0.15">
      <c r="A156" s="57"/>
      <c r="B156" s="57"/>
      <c r="C156" s="57"/>
      <c r="D156" s="103"/>
      <c r="E156" s="125"/>
      <c r="F156" s="125"/>
      <c r="G156" s="57"/>
      <c r="H156" s="57"/>
      <c r="I156" s="57"/>
      <c r="J156" s="57"/>
      <c r="K156" s="57"/>
      <c r="L156" s="57"/>
      <c r="M156" s="57"/>
      <c r="N156" s="57"/>
      <c r="O156" s="70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220"/>
      <c r="AD156" s="57"/>
      <c r="AE156" s="57"/>
      <c r="AF156" s="57"/>
      <c r="AG156" s="57"/>
      <c r="AH156" s="57"/>
      <c r="AI156" s="57"/>
      <c r="AJ156" s="57"/>
      <c r="AK156" s="70"/>
      <c r="AL156" s="57"/>
      <c r="AM156" s="57"/>
      <c r="AN156" s="57"/>
      <c r="AO156" s="70"/>
      <c r="AP156" s="70"/>
      <c r="AQ156" s="57"/>
      <c r="AR156" s="74"/>
      <c r="AS156" s="70"/>
      <c r="AT156" s="235"/>
      <c r="AU156" s="57"/>
      <c r="AV156" s="57"/>
      <c r="AW156" s="57"/>
      <c r="AX156" s="70"/>
      <c r="AY156" s="70"/>
      <c r="AZ156" s="112"/>
      <c r="BA156" s="236"/>
      <c r="BB156" s="236"/>
      <c r="BC156" s="152"/>
      <c r="BD156" s="152"/>
      <c r="BE156" s="236"/>
      <c r="BF156" s="262"/>
      <c r="BG156" s="262"/>
    </row>
    <row r="157" spans="1:59" ht="12" customHeight="1" x14ac:dyDescent="0.15">
      <c r="A157" s="57"/>
      <c r="B157" s="57"/>
      <c r="C157" s="57"/>
      <c r="D157" s="103"/>
      <c r="E157" s="125"/>
      <c r="F157" s="125"/>
      <c r="G157" s="57"/>
      <c r="H157" s="57"/>
      <c r="I157" s="57"/>
      <c r="J157" s="57"/>
      <c r="K157" s="57"/>
      <c r="L157" s="57"/>
      <c r="M157" s="57"/>
      <c r="N157" s="57"/>
      <c r="O157" s="70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220"/>
      <c r="AD157" s="57"/>
      <c r="AE157" s="57"/>
      <c r="AF157" s="57"/>
      <c r="AG157" s="57"/>
      <c r="AH157" s="57"/>
      <c r="AI157" s="57"/>
      <c r="AJ157" s="57"/>
      <c r="AK157" s="70"/>
      <c r="AL157" s="57"/>
      <c r="AM157" s="57"/>
      <c r="AN157" s="57"/>
      <c r="AO157" s="70"/>
      <c r="AP157" s="70"/>
      <c r="AQ157" s="57"/>
      <c r="AR157" s="74"/>
      <c r="AS157" s="70"/>
      <c r="AT157" s="235"/>
      <c r="AU157" s="57"/>
      <c r="AV157" s="57"/>
      <c r="AW157" s="57"/>
      <c r="AX157" s="70"/>
      <c r="AY157" s="70"/>
      <c r="AZ157" s="112"/>
      <c r="BA157" s="236"/>
      <c r="BB157" s="236"/>
      <c r="BC157" s="152"/>
      <c r="BD157" s="152"/>
      <c r="BE157" s="236"/>
      <c r="BF157" s="262"/>
      <c r="BG157" s="262"/>
    </row>
    <row r="158" spans="1:59" ht="12" customHeight="1" x14ac:dyDescent="0.15">
      <c r="A158" s="57"/>
      <c r="B158" s="57"/>
      <c r="C158" s="57"/>
      <c r="D158" s="103"/>
      <c r="E158" s="125"/>
      <c r="F158" s="125"/>
      <c r="G158" s="57"/>
      <c r="H158" s="57"/>
      <c r="I158" s="57"/>
      <c r="J158" s="57"/>
      <c r="K158" s="57"/>
      <c r="L158" s="57"/>
      <c r="M158" s="57"/>
      <c r="N158" s="57"/>
      <c r="O158" s="70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220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70"/>
      <c r="AP158" s="70"/>
      <c r="AQ158" s="57"/>
      <c r="AR158" s="74"/>
      <c r="AS158" s="70"/>
      <c r="AT158" s="235"/>
      <c r="AU158" s="57"/>
      <c r="AV158" s="57"/>
      <c r="AW158" s="57"/>
      <c r="AX158" s="70"/>
      <c r="AY158" s="70"/>
      <c r="AZ158" s="112"/>
      <c r="BA158" s="236"/>
      <c r="BB158" s="236"/>
      <c r="BC158" s="152"/>
      <c r="BD158" s="152"/>
      <c r="BE158" s="236"/>
      <c r="BF158" s="262"/>
      <c r="BG158" s="262"/>
    </row>
    <row r="159" spans="1:59" ht="12" customHeight="1" x14ac:dyDescent="0.15">
      <c r="A159" s="57"/>
      <c r="B159" s="57"/>
      <c r="C159" s="57"/>
      <c r="D159" s="103"/>
      <c r="E159" s="125"/>
      <c r="F159" s="125"/>
      <c r="G159" s="57"/>
      <c r="H159" s="57"/>
      <c r="I159" s="57"/>
      <c r="J159" s="57"/>
      <c r="K159" s="57"/>
      <c r="L159" s="57"/>
      <c r="M159" s="57"/>
      <c r="N159" s="57"/>
      <c r="O159" s="70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220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70"/>
      <c r="AP159" s="70"/>
      <c r="AQ159" s="57"/>
      <c r="AR159" s="74"/>
      <c r="AS159" s="70"/>
      <c r="AT159" s="235"/>
      <c r="AU159" s="57"/>
      <c r="AV159" s="57"/>
      <c r="AW159" s="57"/>
      <c r="AX159" s="70"/>
      <c r="AY159" s="70"/>
      <c r="AZ159" s="112"/>
      <c r="BA159" s="236"/>
      <c r="BB159" s="236"/>
      <c r="BC159" s="152"/>
      <c r="BD159" s="152"/>
      <c r="BE159" s="236"/>
      <c r="BF159" s="262"/>
      <c r="BG159" s="262"/>
    </row>
    <row r="160" spans="1:59" ht="12" customHeight="1" x14ac:dyDescent="0.15">
      <c r="A160" s="57"/>
      <c r="B160" s="57"/>
      <c r="C160" s="57"/>
      <c r="D160" s="103"/>
      <c r="E160" s="125"/>
      <c r="F160" s="125"/>
      <c r="G160" s="57"/>
      <c r="H160" s="57"/>
      <c r="I160" s="57"/>
      <c r="J160" s="57"/>
      <c r="K160" s="57"/>
      <c r="L160" s="57"/>
      <c r="M160" s="57"/>
      <c r="N160" s="57"/>
      <c r="O160" s="70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220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70"/>
      <c r="AP160" s="70"/>
      <c r="AQ160" s="57"/>
      <c r="AR160" s="74"/>
      <c r="AS160" s="70"/>
      <c r="AT160" s="235"/>
      <c r="AU160" s="57"/>
      <c r="AV160" s="57"/>
      <c r="AW160" s="57"/>
      <c r="AX160" s="70"/>
      <c r="AY160" s="70"/>
      <c r="AZ160" s="112"/>
      <c r="BA160" s="236"/>
      <c r="BB160" s="236"/>
      <c r="BC160" s="152"/>
      <c r="BD160" s="152"/>
      <c r="BE160" s="236"/>
      <c r="BF160" s="262"/>
      <c r="BG160" s="262"/>
    </row>
    <row r="161" spans="1:59" ht="12" customHeight="1" x14ac:dyDescent="0.15">
      <c r="A161" s="57"/>
      <c r="B161" s="57"/>
      <c r="C161" s="57"/>
      <c r="D161" s="103"/>
      <c r="E161" s="125"/>
      <c r="F161" s="125"/>
      <c r="G161" s="57"/>
      <c r="H161" s="57"/>
      <c r="I161" s="57"/>
      <c r="J161" s="57"/>
      <c r="K161" s="57"/>
      <c r="L161" s="57"/>
      <c r="M161" s="57"/>
      <c r="N161" s="57"/>
      <c r="O161" s="70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220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70"/>
      <c r="AP161" s="70"/>
      <c r="AQ161" s="57"/>
      <c r="AR161" s="74"/>
      <c r="AS161" s="70"/>
      <c r="AT161" s="235"/>
      <c r="AU161" s="57"/>
      <c r="AV161" s="57"/>
      <c r="AW161" s="57"/>
      <c r="AX161" s="70"/>
      <c r="AY161" s="70"/>
      <c r="AZ161" s="112"/>
      <c r="BA161" s="236"/>
      <c r="BB161" s="236"/>
      <c r="BC161" s="152"/>
      <c r="BD161" s="152"/>
      <c r="BE161" s="236"/>
      <c r="BF161" s="262"/>
      <c r="BG161" s="262"/>
    </row>
    <row r="162" spans="1:59" ht="12" customHeight="1" x14ac:dyDescent="0.15">
      <c r="A162" s="57"/>
      <c r="B162" s="57"/>
      <c r="C162" s="57"/>
      <c r="D162" s="103"/>
      <c r="E162" s="125"/>
      <c r="F162" s="125"/>
      <c r="G162" s="57"/>
      <c r="H162" s="57"/>
      <c r="I162" s="57"/>
      <c r="J162" s="57"/>
      <c r="K162" s="57"/>
      <c r="L162" s="57"/>
      <c r="M162" s="57"/>
      <c r="N162" s="57"/>
      <c r="O162" s="70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220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70"/>
      <c r="AP162" s="70"/>
      <c r="AQ162" s="57"/>
      <c r="AR162" s="74"/>
      <c r="AS162" s="70"/>
      <c r="AT162" s="235"/>
      <c r="AU162" s="57"/>
      <c r="AV162" s="57"/>
      <c r="AW162" s="57"/>
      <c r="AX162" s="70"/>
      <c r="AY162" s="70"/>
      <c r="AZ162" s="112"/>
      <c r="BA162" s="236"/>
      <c r="BB162" s="236"/>
      <c r="BC162" s="152"/>
      <c r="BD162" s="152"/>
      <c r="BE162" s="236"/>
      <c r="BF162" s="262"/>
      <c r="BG162" s="262"/>
    </row>
    <row r="163" spans="1:59" ht="12" customHeight="1" x14ac:dyDescent="0.15">
      <c r="A163" s="57"/>
      <c r="B163" s="57"/>
      <c r="C163" s="57"/>
      <c r="D163" s="103"/>
      <c r="E163" s="125"/>
      <c r="F163" s="125"/>
      <c r="G163" s="57"/>
      <c r="H163" s="57"/>
      <c r="I163" s="57"/>
      <c r="J163" s="57"/>
      <c r="K163" s="57"/>
      <c r="L163" s="57"/>
      <c r="M163" s="57"/>
      <c r="N163" s="57"/>
      <c r="O163" s="70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220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70"/>
      <c r="AP163" s="70"/>
      <c r="AQ163" s="57"/>
      <c r="AR163" s="74"/>
      <c r="AS163" s="70"/>
      <c r="AT163" s="235"/>
      <c r="AU163" s="57"/>
      <c r="AV163" s="57"/>
      <c r="AW163" s="57"/>
      <c r="AX163" s="70"/>
      <c r="AY163" s="70"/>
      <c r="AZ163" s="112"/>
      <c r="BA163" s="236"/>
      <c r="BB163" s="236"/>
      <c r="BC163" s="152"/>
      <c r="BD163" s="152"/>
      <c r="BE163" s="236"/>
      <c r="BF163" s="262"/>
      <c r="BG163" s="262"/>
    </row>
    <row r="164" spans="1:59" ht="12" customHeight="1" x14ac:dyDescent="0.15">
      <c r="A164" s="57"/>
      <c r="B164" s="57"/>
      <c r="C164" s="57"/>
      <c r="D164" s="103"/>
      <c r="E164" s="125"/>
      <c r="F164" s="125"/>
      <c r="G164" s="57"/>
      <c r="H164" s="57"/>
      <c r="I164" s="57"/>
      <c r="J164" s="57"/>
      <c r="K164" s="57"/>
      <c r="L164" s="57"/>
      <c r="M164" s="57"/>
      <c r="N164" s="57"/>
      <c r="O164" s="70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220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70"/>
      <c r="AP164" s="70"/>
      <c r="AQ164" s="57"/>
      <c r="AR164" s="74"/>
      <c r="AS164" s="70"/>
      <c r="AT164" s="235"/>
      <c r="AU164" s="57"/>
      <c r="AV164" s="57"/>
      <c r="AW164" s="57"/>
      <c r="AX164" s="70"/>
      <c r="AY164" s="70"/>
      <c r="AZ164" s="112"/>
      <c r="BA164" s="236"/>
      <c r="BB164" s="236"/>
      <c r="BC164" s="152"/>
      <c r="BD164" s="152"/>
      <c r="BE164" s="236"/>
      <c r="BF164" s="262"/>
      <c r="BG164" s="262"/>
    </row>
    <row r="165" spans="1:59" ht="12" customHeight="1" x14ac:dyDescent="0.15">
      <c r="A165" s="57"/>
      <c r="B165" s="57"/>
      <c r="C165" s="57"/>
      <c r="D165" s="103"/>
      <c r="E165" s="125"/>
      <c r="F165" s="125"/>
      <c r="G165" s="57"/>
      <c r="H165" s="57"/>
      <c r="I165" s="57"/>
      <c r="J165" s="57"/>
      <c r="K165" s="57"/>
      <c r="L165" s="57"/>
      <c r="M165" s="57"/>
      <c r="N165" s="57"/>
      <c r="O165" s="70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220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70"/>
      <c r="AP165" s="70"/>
      <c r="AQ165" s="57"/>
      <c r="AR165" s="74"/>
      <c r="AS165" s="70"/>
      <c r="AT165" s="235"/>
      <c r="AU165" s="57"/>
      <c r="AV165" s="57"/>
      <c r="AW165" s="57"/>
      <c r="AX165" s="70"/>
      <c r="AY165" s="70"/>
      <c r="AZ165" s="112"/>
      <c r="BA165" s="236"/>
      <c r="BB165" s="236"/>
      <c r="BC165" s="152"/>
      <c r="BD165" s="152"/>
      <c r="BE165" s="236"/>
      <c r="BF165" s="262"/>
      <c r="BG165" s="262"/>
    </row>
    <row r="166" spans="1:59" ht="12" customHeight="1" x14ac:dyDescent="0.15">
      <c r="A166" s="57"/>
      <c r="B166" s="57"/>
      <c r="C166" s="57"/>
      <c r="D166" s="103"/>
      <c r="E166" s="125"/>
      <c r="F166" s="125"/>
      <c r="G166" s="57"/>
      <c r="H166" s="57"/>
      <c r="I166" s="57"/>
      <c r="J166" s="57"/>
      <c r="K166" s="57"/>
      <c r="L166" s="57"/>
      <c r="M166" s="57"/>
      <c r="N166" s="57"/>
      <c r="O166" s="70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220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70"/>
      <c r="AP166" s="70"/>
      <c r="AQ166" s="57"/>
      <c r="AR166" s="74"/>
      <c r="AS166" s="70"/>
      <c r="AT166" s="235"/>
      <c r="AU166" s="57"/>
      <c r="AV166" s="57"/>
      <c r="AW166" s="57"/>
      <c r="AX166" s="70"/>
      <c r="AY166" s="70"/>
      <c r="AZ166" s="112"/>
      <c r="BA166" s="236"/>
      <c r="BB166" s="236"/>
      <c r="BC166" s="152"/>
      <c r="BD166" s="152"/>
      <c r="BE166" s="236"/>
      <c r="BF166" s="262"/>
      <c r="BG166" s="262"/>
    </row>
    <row r="167" spans="1:59" ht="12" customHeight="1" x14ac:dyDescent="0.15">
      <c r="A167" s="57"/>
      <c r="B167" s="57"/>
      <c r="C167" s="57"/>
      <c r="D167" s="103"/>
      <c r="E167" s="125"/>
      <c r="F167" s="125"/>
      <c r="G167" s="57"/>
      <c r="H167" s="57"/>
      <c r="I167" s="57"/>
      <c r="J167" s="57"/>
      <c r="K167" s="57"/>
      <c r="L167" s="57"/>
      <c r="M167" s="57"/>
      <c r="N167" s="57"/>
      <c r="O167" s="70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220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70"/>
      <c r="AP167" s="70"/>
      <c r="AQ167" s="57"/>
      <c r="AR167" s="74"/>
      <c r="AS167" s="70"/>
      <c r="AT167" s="235"/>
      <c r="AU167" s="57"/>
      <c r="AV167" s="57"/>
      <c r="AW167" s="57"/>
      <c r="AX167" s="70"/>
      <c r="AY167" s="70"/>
      <c r="AZ167" s="112"/>
      <c r="BA167" s="236"/>
      <c r="BB167" s="236"/>
      <c r="BC167" s="152"/>
      <c r="BD167" s="152"/>
      <c r="BE167" s="236"/>
      <c r="BF167" s="262"/>
      <c r="BG167" s="262"/>
    </row>
    <row r="168" spans="1:59" ht="12" customHeight="1" x14ac:dyDescent="0.15">
      <c r="A168" s="57"/>
      <c r="B168" s="57"/>
      <c r="C168" s="57"/>
      <c r="D168" s="103"/>
      <c r="E168" s="125"/>
      <c r="F168" s="125"/>
      <c r="G168" s="57"/>
      <c r="H168" s="57"/>
      <c r="I168" s="57"/>
      <c r="J168" s="57"/>
      <c r="K168" s="57"/>
      <c r="L168" s="57"/>
      <c r="M168" s="57"/>
      <c r="N168" s="57"/>
      <c r="O168" s="70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220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70"/>
      <c r="AP168" s="70"/>
      <c r="AQ168" s="57"/>
      <c r="AR168" s="74"/>
      <c r="AS168" s="70"/>
      <c r="AT168" s="235"/>
      <c r="AU168" s="57"/>
      <c r="AV168" s="57"/>
      <c r="AW168" s="57"/>
      <c r="AX168" s="70"/>
      <c r="AY168" s="70"/>
      <c r="AZ168" s="112"/>
      <c r="BA168" s="236"/>
      <c r="BB168" s="236"/>
      <c r="BC168" s="152"/>
      <c r="BD168" s="152"/>
      <c r="BE168" s="236"/>
      <c r="BF168" s="262"/>
      <c r="BG168" s="262"/>
    </row>
    <row r="169" spans="1:59" ht="12.75" customHeight="1" x14ac:dyDescent="0.15">
      <c r="A169" s="57"/>
      <c r="B169" s="57"/>
      <c r="C169" s="57"/>
      <c r="D169" s="103"/>
      <c r="E169" s="125"/>
      <c r="F169" s="125"/>
      <c r="G169" s="57"/>
      <c r="H169" s="57"/>
      <c r="I169" s="57"/>
      <c r="J169" s="57"/>
      <c r="K169" s="57"/>
      <c r="L169" s="57"/>
      <c r="M169" s="57"/>
      <c r="N169" s="57"/>
      <c r="O169" s="70"/>
      <c r="P169" s="57"/>
      <c r="Q169" s="24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220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149"/>
      <c r="AP169" s="149"/>
      <c r="AQ169" s="57"/>
      <c r="AR169" s="74"/>
      <c r="AS169" s="149"/>
      <c r="AT169" s="235"/>
      <c r="AU169" s="57"/>
      <c r="AV169" s="57"/>
      <c r="AW169" s="57"/>
      <c r="AX169" s="70"/>
      <c r="AY169" s="149"/>
      <c r="AZ169" s="112"/>
      <c r="BA169" s="236"/>
      <c r="BB169" s="236"/>
      <c r="BC169" s="152"/>
      <c r="BD169" s="152"/>
      <c r="BE169" s="236"/>
      <c r="BF169" s="262"/>
      <c r="BG169" s="262"/>
    </row>
    <row r="170" spans="1:59" ht="12.75" customHeight="1" x14ac:dyDescent="0.15">
      <c r="A170" s="57"/>
      <c r="B170" s="57"/>
      <c r="C170" s="57"/>
      <c r="D170" s="103"/>
      <c r="E170" s="125"/>
      <c r="F170" s="125"/>
      <c r="G170" s="57"/>
      <c r="H170" s="57"/>
      <c r="I170" s="57"/>
      <c r="J170" s="57"/>
      <c r="K170" s="57"/>
      <c r="L170" s="57"/>
      <c r="M170" s="57"/>
      <c r="N170" s="57"/>
      <c r="O170" s="70"/>
      <c r="P170" s="57"/>
      <c r="Q170" s="24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220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149"/>
      <c r="AP170" s="149"/>
      <c r="AQ170" s="57"/>
      <c r="AR170" s="74"/>
      <c r="AS170" s="149"/>
      <c r="AT170" s="235"/>
      <c r="AU170" s="57"/>
      <c r="AV170" s="57"/>
      <c r="AW170" s="57"/>
      <c r="AX170" s="70"/>
      <c r="AY170" s="149"/>
      <c r="AZ170" s="112"/>
      <c r="BA170" s="236"/>
      <c r="BB170" s="236"/>
      <c r="BC170" s="152"/>
      <c r="BD170" s="152"/>
      <c r="BE170" s="236"/>
      <c r="BF170" s="262"/>
      <c r="BG170" s="262"/>
    </row>
    <row r="171" spans="1:59" ht="12.75" customHeight="1" x14ac:dyDescent="0.15">
      <c r="A171" s="57"/>
      <c r="B171" s="57"/>
      <c r="C171" s="57"/>
      <c r="D171" s="103"/>
      <c r="E171" s="125"/>
      <c r="F171" s="125"/>
      <c r="G171" s="57"/>
      <c r="H171" s="57"/>
      <c r="I171" s="57"/>
      <c r="J171" s="57"/>
      <c r="K171" s="57"/>
      <c r="L171" s="57"/>
      <c r="M171" s="57"/>
      <c r="N171" s="57"/>
      <c r="O171" s="70"/>
      <c r="P171" s="57"/>
      <c r="Q171" s="24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220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149"/>
      <c r="AP171" s="149"/>
      <c r="AQ171" s="57"/>
      <c r="AR171" s="74"/>
      <c r="AS171" s="149"/>
      <c r="AT171" s="235"/>
      <c r="AU171" s="57"/>
      <c r="AV171" s="57"/>
      <c r="AW171" s="57"/>
      <c r="AX171" s="70"/>
      <c r="AY171" s="149"/>
      <c r="AZ171" s="112"/>
      <c r="BA171" s="236"/>
      <c r="BB171" s="236"/>
      <c r="BC171" s="152"/>
      <c r="BD171" s="152"/>
      <c r="BE171" s="236"/>
      <c r="BF171" s="262"/>
      <c r="BG171" s="262"/>
    </row>
    <row r="172" spans="1:59" ht="12.75" customHeight="1" x14ac:dyDescent="0.15">
      <c r="A172" s="57"/>
      <c r="B172" s="57"/>
      <c r="C172" s="57"/>
      <c r="D172" s="103"/>
      <c r="E172" s="125"/>
      <c r="F172" s="125"/>
      <c r="G172" s="57"/>
      <c r="H172" s="57"/>
      <c r="I172" s="57"/>
      <c r="J172" s="57"/>
      <c r="K172" s="57"/>
      <c r="L172" s="57"/>
      <c r="M172" s="57"/>
      <c r="N172" s="57"/>
      <c r="O172" s="70"/>
      <c r="P172" s="57"/>
      <c r="Q172" s="24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220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149"/>
      <c r="AP172" s="149"/>
      <c r="AQ172" s="57"/>
      <c r="AR172" s="74"/>
      <c r="AS172" s="149"/>
      <c r="AT172" s="235"/>
      <c r="AU172" s="57"/>
      <c r="AV172" s="57"/>
      <c r="AW172" s="57"/>
      <c r="AX172" s="70"/>
      <c r="AY172" s="149"/>
      <c r="AZ172" s="112"/>
      <c r="BA172" s="236"/>
      <c r="BB172" s="236"/>
      <c r="BC172" s="152"/>
      <c r="BD172" s="152"/>
      <c r="BE172" s="236"/>
      <c r="BF172" s="262"/>
      <c r="BG172" s="262"/>
    </row>
    <row r="173" spans="1:59" ht="12.75" customHeight="1" x14ac:dyDescent="0.15">
      <c r="A173" s="57"/>
      <c r="B173" s="57"/>
      <c r="C173" s="57"/>
      <c r="D173" s="103"/>
      <c r="E173" s="125"/>
      <c r="F173" s="125"/>
      <c r="G173" s="57"/>
      <c r="H173" s="57"/>
      <c r="I173" s="57"/>
      <c r="J173" s="57"/>
      <c r="K173" s="57"/>
      <c r="L173" s="57"/>
      <c r="M173" s="57"/>
      <c r="N173" s="57"/>
      <c r="O173" s="70"/>
      <c r="P173" s="57"/>
      <c r="Q173" s="24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220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149"/>
      <c r="AP173" s="149"/>
      <c r="AQ173" s="57"/>
      <c r="AR173" s="74"/>
      <c r="AS173" s="149"/>
      <c r="AT173" s="235"/>
      <c r="AU173" s="57"/>
      <c r="AV173" s="57"/>
      <c r="AW173" s="57"/>
      <c r="AX173" s="70"/>
      <c r="AY173" s="149"/>
      <c r="AZ173" s="112"/>
      <c r="BA173" s="236"/>
      <c r="BB173" s="236"/>
      <c r="BC173" s="152"/>
      <c r="BD173" s="152"/>
      <c r="BE173" s="236"/>
      <c r="BF173" s="262"/>
      <c r="BG173" s="262"/>
    </row>
    <row r="174" spans="1:59" ht="12.75" customHeight="1" x14ac:dyDescent="0.15">
      <c r="A174" s="57"/>
      <c r="B174" s="57"/>
      <c r="C174" s="57"/>
      <c r="D174" s="103"/>
      <c r="E174" s="125"/>
      <c r="F174" s="125"/>
      <c r="G174" s="57"/>
      <c r="H174" s="57"/>
      <c r="I174" s="57"/>
      <c r="J174" s="57"/>
      <c r="K174" s="57"/>
      <c r="L174" s="57"/>
      <c r="M174" s="57"/>
      <c r="N174" s="57"/>
      <c r="O174" s="70"/>
      <c r="P174" s="57"/>
      <c r="Q174" s="24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220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149"/>
      <c r="AP174" s="149"/>
      <c r="AQ174" s="57"/>
      <c r="AR174" s="74"/>
      <c r="AS174" s="149"/>
      <c r="AT174" s="235"/>
      <c r="AU174" s="57"/>
      <c r="AV174" s="57"/>
      <c r="AW174" s="57"/>
      <c r="AX174" s="70"/>
      <c r="AY174" s="149"/>
      <c r="AZ174" s="112"/>
      <c r="BA174" s="236"/>
      <c r="BB174" s="236"/>
      <c r="BC174" s="152"/>
      <c r="BD174" s="152"/>
      <c r="BE174" s="236"/>
      <c r="BF174" s="262"/>
      <c r="BG174" s="262"/>
    </row>
    <row r="175" spans="1:59" ht="12.75" customHeight="1" x14ac:dyDescent="0.15">
      <c r="A175" s="57"/>
      <c r="B175" s="57"/>
      <c r="C175" s="57"/>
      <c r="D175" s="103"/>
      <c r="E175" s="125"/>
      <c r="F175" s="125"/>
      <c r="G175" s="57"/>
      <c r="H175" s="57"/>
      <c r="I175" s="57"/>
      <c r="J175" s="57"/>
      <c r="K175" s="57"/>
      <c r="L175" s="57"/>
      <c r="M175" s="57"/>
      <c r="N175" s="57"/>
      <c r="O175" s="70"/>
      <c r="P175" s="57"/>
      <c r="Q175" s="24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220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149"/>
      <c r="AP175" s="149"/>
      <c r="AQ175" s="57"/>
      <c r="AR175" s="74"/>
      <c r="AS175" s="149"/>
      <c r="AT175" s="235"/>
      <c r="AU175" s="57"/>
      <c r="AV175" s="57"/>
      <c r="AW175" s="57"/>
      <c r="AX175" s="70"/>
      <c r="AY175" s="149"/>
      <c r="AZ175" s="112"/>
      <c r="BA175" s="236"/>
      <c r="BB175" s="236"/>
      <c r="BC175" s="152"/>
      <c r="BD175" s="152"/>
      <c r="BE175" s="236"/>
      <c r="BF175" s="262"/>
      <c r="BG175" s="262"/>
    </row>
    <row r="176" spans="1:59" ht="12.75" customHeight="1" x14ac:dyDescent="0.15">
      <c r="A176" s="57"/>
      <c r="B176" s="57"/>
      <c r="C176" s="57"/>
      <c r="D176" s="103"/>
      <c r="E176" s="125"/>
      <c r="F176" s="125"/>
      <c r="G176" s="57"/>
      <c r="H176" s="57"/>
      <c r="I176" s="57"/>
      <c r="J176" s="57"/>
      <c r="K176" s="57"/>
      <c r="L176" s="57"/>
      <c r="M176" s="57"/>
      <c r="N176" s="57"/>
      <c r="O176" s="70"/>
      <c r="P176" s="57"/>
      <c r="Q176" s="24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220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149"/>
      <c r="AP176" s="149"/>
      <c r="AQ176" s="57"/>
      <c r="AR176" s="74"/>
      <c r="AS176" s="149"/>
      <c r="AT176" s="235"/>
      <c r="AU176" s="57"/>
      <c r="AV176" s="57"/>
      <c r="AW176" s="57"/>
      <c r="AX176" s="70"/>
      <c r="AY176" s="149"/>
      <c r="AZ176" s="112"/>
      <c r="BA176" s="236"/>
      <c r="BB176" s="236"/>
      <c r="BC176" s="152"/>
      <c r="BD176" s="152"/>
      <c r="BE176" s="236"/>
      <c r="BF176" s="262"/>
      <c r="BG176" s="262"/>
    </row>
    <row r="177" spans="1:59" ht="12.75" customHeight="1" x14ac:dyDescent="0.15">
      <c r="A177" s="57"/>
      <c r="B177" s="57"/>
      <c r="C177" s="57"/>
      <c r="D177" s="103"/>
      <c r="E177" s="125"/>
      <c r="F177" s="125"/>
      <c r="G177" s="57"/>
      <c r="H177" s="57"/>
      <c r="I177" s="57"/>
      <c r="J177" s="57"/>
      <c r="K177" s="57"/>
      <c r="L177" s="57"/>
      <c r="M177" s="57"/>
      <c r="N177" s="57"/>
      <c r="O177" s="70"/>
      <c r="P177" s="57"/>
      <c r="Q177" s="24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220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149"/>
      <c r="AP177" s="149"/>
      <c r="AQ177" s="57"/>
      <c r="AR177" s="74"/>
      <c r="AS177" s="149"/>
      <c r="AT177" s="235"/>
      <c r="AU177" s="57"/>
      <c r="AV177" s="57"/>
      <c r="AW177" s="57"/>
      <c r="AX177" s="70"/>
      <c r="AY177" s="149"/>
      <c r="AZ177" s="112"/>
      <c r="BA177" s="236"/>
      <c r="BB177" s="236"/>
      <c r="BC177" s="152"/>
      <c r="BD177" s="152"/>
      <c r="BE177" s="236"/>
      <c r="BF177" s="262"/>
      <c r="BG177" s="262"/>
    </row>
    <row r="178" spans="1:59" ht="12.75" customHeight="1" x14ac:dyDescent="0.15">
      <c r="A178" s="57"/>
      <c r="B178" s="57"/>
      <c r="C178" s="57"/>
      <c r="D178" s="103"/>
      <c r="E178" s="125"/>
      <c r="F178" s="125"/>
      <c r="G178" s="57"/>
      <c r="H178" s="57"/>
      <c r="I178" s="57"/>
      <c r="J178" s="57"/>
      <c r="K178" s="57"/>
      <c r="L178" s="57"/>
      <c r="M178" s="57"/>
      <c r="N178" s="57"/>
      <c r="O178" s="70"/>
      <c r="P178" s="57"/>
      <c r="Q178" s="24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220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149"/>
      <c r="AP178" s="149"/>
      <c r="AQ178" s="57"/>
      <c r="AR178" s="74"/>
      <c r="AS178" s="149"/>
      <c r="AT178" s="235"/>
      <c r="AU178" s="57"/>
      <c r="AV178" s="57"/>
      <c r="AW178" s="57"/>
      <c r="AX178" s="70"/>
      <c r="AY178" s="149"/>
      <c r="AZ178" s="112"/>
      <c r="BA178" s="236"/>
      <c r="BB178" s="236"/>
      <c r="BC178" s="152"/>
      <c r="BD178" s="152"/>
      <c r="BE178" s="236"/>
      <c r="BF178" s="262"/>
      <c r="BG178" s="262"/>
    </row>
    <row r="179" spans="1:59" ht="12.75" customHeight="1" x14ac:dyDescent="0.15">
      <c r="A179" s="57"/>
      <c r="B179" s="57"/>
      <c r="C179" s="57"/>
      <c r="D179" s="103"/>
      <c r="E179" s="125"/>
      <c r="F179" s="125"/>
      <c r="G179" s="57"/>
      <c r="H179" s="57"/>
      <c r="I179" s="57"/>
      <c r="J179" s="57"/>
      <c r="K179" s="57"/>
      <c r="L179" s="57"/>
      <c r="M179" s="57"/>
      <c r="N179" s="57"/>
      <c r="O179" s="70"/>
      <c r="P179" s="57"/>
      <c r="Q179" s="24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220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149"/>
      <c r="AP179" s="149"/>
      <c r="AQ179" s="57"/>
      <c r="AR179" s="74"/>
      <c r="AS179" s="149"/>
      <c r="AT179" s="235"/>
      <c r="AU179" s="57"/>
      <c r="AV179" s="57"/>
      <c r="AW179" s="57"/>
      <c r="AX179" s="70"/>
      <c r="AY179" s="149"/>
      <c r="AZ179" s="112"/>
      <c r="BA179" s="236"/>
      <c r="BB179" s="236"/>
      <c r="BC179" s="152"/>
      <c r="BD179" s="152"/>
      <c r="BE179" s="236"/>
      <c r="BF179" s="262"/>
      <c r="BG179" s="262"/>
    </row>
    <row r="180" spans="1:59" ht="12.75" customHeight="1" x14ac:dyDescent="0.15">
      <c r="A180" s="57"/>
      <c r="B180" s="57"/>
      <c r="C180" s="57"/>
      <c r="D180" s="103"/>
      <c r="E180" s="125"/>
      <c r="F180" s="125"/>
      <c r="G180" s="57"/>
      <c r="H180" s="57"/>
      <c r="I180" s="57"/>
      <c r="J180" s="57"/>
      <c r="K180" s="57"/>
      <c r="L180" s="57"/>
      <c r="M180" s="57"/>
      <c r="N180" s="57"/>
      <c r="O180" s="70"/>
      <c r="P180" s="57"/>
      <c r="Q180" s="24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220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149"/>
      <c r="AP180" s="149"/>
      <c r="AQ180" s="57"/>
      <c r="AR180" s="74"/>
      <c r="AS180" s="149"/>
      <c r="AT180" s="235"/>
      <c r="AU180" s="57"/>
      <c r="AV180" s="57"/>
      <c r="AW180" s="57"/>
      <c r="AX180" s="70"/>
      <c r="AY180" s="149"/>
      <c r="AZ180" s="112"/>
      <c r="BA180" s="236"/>
      <c r="BB180" s="236"/>
      <c r="BC180" s="152"/>
      <c r="BD180" s="152"/>
      <c r="BE180" s="236"/>
      <c r="BF180" s="262"/>
      <c r="BG180" s="262"/>
    </row>
    <row r="181" spans="1:59" ht="12.75" customHeight="1" x14ac:dyDescent="0.15">
      <c r="A181" s="57"/>
      <c r="B181" s="57"/>
      <c r="C181" s="57"/>
      <c r="D181" s="103"/>
      <c r="E181" s="125"/>
      <c r="F181" s="125"/>
      <c r="G181" s="57"/>
      <c r="H181" s="57"/>
      <c r="I181" s="57"/>
      <c r="J181" s="57"/>
      <c r="K181" s="57"/>
      <c r="L181" s="57"/>
      <c r="M181" s="57"/>
      <c r="N181" s="57"/>
      <c r="O181" s="70"/>
      <c r="P181" s="57"/>
      <c r="Q181" s="24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220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149"/>
      <c r="AP181" s="149"/>
      <c r="AQ181" s="57"/>
      <c r="AR181" s="74"/>
      <c r="AS181" s="149"/>
      <c r="AT181" s="235"/>
      <c r="AU181" s="57"/>
      <c r="AV181" s="57"/>
      <c r="AW181" s="57"/>
      <c r="AX181" s="70"/>
      <c r="AY181" s="149"/>
      <c r="AZ181" s="112"/>
      <c r="BA181" s="236"/>
      <c r="BB181" s="236"/>
      <c r="BC181" s="152"/>
      <c r="BD181" s="152"/>
      <c r="BE181" s="236"/>
      <c r="BF181" s="262"/>
      <c r="BG181" s="262"/>
    </row>
    <row r="182" spans="1:59" ht="12.75" customHeight="1" x14ac:dyDescent="0.15">
      <c r="A182" s="57"/>
      <c r="B182" s="57"/>
      <c r="C182" s="57"/>
      <c r="D182" s="103"/>
      <c r="E182" s="125"/>
      <c r="F182" s="125"/>
      <c r="G182" s="57"/>
      <c r="H182" s="57"/>
      <c r="I182" s="57"/>
      <c r="J182" s="57"/>
      <c r="K182" s="57"/>
      <c r="L182" s="57"/>
      <c r="M182" s="57"/>
      <c r="N182" s="57"/>
      <c r="O182" s="70"/>
      <c r="P182" s="57"/>
      <c r="Q182" s="24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220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149"/>
      <c r="AP182" s="149"/>
      <c r="AQ182" s="57"/>
      <c r="AR182" s="74"/>
      <c r="AS182" s="149"/>
      <c r="AT182" s="235"/>
      <c r="AU182" s="57"/>
      <c r="AV182" s="57"/>
      <c r="AW182" s="57"/>
      <c r="AX182" s="70"/>
      <c r="AY182" s="149"/>
      <c r="AZ182" s="112"/>
      <c r="BA182" s="236"/>
      <c r="BB182" s="236"/>
      <c r="BC182" s="152"/>
      <c r="BD182" s="152"/>
      <c r="BE182" s="236"/>
      <c r="BF182" s="262"/>
      <c r="BG182" s="262"/>
    </row>
    <row r="183" spans="1:59" ht="12.75" customHeight="1" x14ac:dyDescent="0.15">
      <c r="A183" s="57"/>
      <c r="B183" s="57"/>
      <c r="C183" s="57"/>
      <c r="D183" s="103"/>
      <c r="E183" s="125"/>
      <c r="F183" s="125"/>
      <c r="G183" s="57"/>
      <c r="H183" s="57"/>
      <c r="I183" s="57"/>
      <c r="J183" s="57"/>
      <c r="K183" s="57"/>
      <c r="L183" s="57"/>
      <c r="M183" s="57"/>
      <c r="N183" s="57"/>
      <c r="O183" s="70"/>
      <c r="P183" s="57"/>
      <c r="Q183" s="24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220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149"/>
      <c r="AP183" s="149"/>
      <c r="AQ183" s="57"/>
      <c r="AR183" s="74"/>
      <c r="AS183" s="149"/>
      <c r="AT183" s="235"/>
      <c r="AU183" s="57"/>
      <c r="AV183" s="57"/>
      <c r="AW183" s="57"/>
      <c r="AX183" s="70"/>
      <c r="AY183" s="149"/>
      <c r="AZ183" s="112"/>
      <c r="BA183" s="236"/>
      <c r="BB183" s="236"/>
      <c r="BC183" s="152"/>
      <c r="BD183" s="152"/>
      <c r="BE183" s="236"/>
      <c r="BF183" s="262"/>
      <c r="BG183" s="262"/>
    </row>
    <row r="184" spans="1:59" ht="12.75" customHeight="1" x14ac:dyDescent="0.15">
      <c r="A184" s="57"/>
      <c r="B184" s="57"/>
      <c r="C184" s="57"/>
      <c r="D184" s="103"/>
      <c r="E184" s="125"/>
      <c r="F184" s="125"/>
      <c r="G184" s="57"/>
      <c r="H184" s="57"/>
      <c r="I184" s="57"/>
      <c r="J184" s="57"/>
      <c r="K184" s="57"/>
      <c r="L184" s="57"/>
      <c r="M184" s="57"/>
      <c r="N184" s="57"/>
      <c r="O184" s="70"/>
      <c r="P184" s="57"/>
      <c r="Q184" s="24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220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149"/>
      <c r="AP184" s="149"/>
      <c r="AQ184" s="57"/>
      <c r="AR184" s="74"/>
      <c r="AS184" s="149"/>
      <c r="AT184" s="235"/>
      <c r="AU184" s="57"/>
      <c r="AV184" s="57"/>
      <c r="AW184" s="57"/>
      <c r="AX184" s="70"/>
      <c r="AY184" s="149"/>
      <c r="AZ184" s="112"/>
      <c r="BA184" s="236"/>
      <c r="BB184" s="236"/>
      <c r="BC184" s="152"/>
      <c r="BD184" s="152"/>
      <c r="BE184" s="236"/>
      <c r="BF184" s="262"/>
      <c r="BG184" s="262"/>
    </row>
    <row r="185" spans="1:59" ht="12.75" customHeight="1" x14ac:dyDescent="0.15">
      <c r="A185" s="57"/>
      <c r="B185" s="57"/>
      <c r="C185" s="57"/>
      <c r="D185" s="103"/>
      <c r="E185" s="125"/>
      <c r="F185" s="125"/>
      <c r="G185" s="57"/>
      <c r="H185" s="57"/>
      <c r="I185" s="57"/>
      <c r="J185" s="57"/>
      <c r="K185" s="57"/>
      <c r="L185" s="57"/>
      <c r="M185" s="57"/>
      <c r="N185" s="57"/>
      <c r="O185" s="70"/>
      <c r="P185" s="57"/>
      <c r="Q185" s="24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220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149"/>
      <c r="AP185" s="149"/>
      <c r="AQ185" s="57"/>
      <c r="AR185" s="74"/>
      <c r="AS185" s="149"/>
      <c r="AT185" s="235"/>
      <c r="AU185" s="57"/>
      <c r="AV185" s="57"/>
      <c r="AW185" s="57"/>
      <c r="AX185" s="70"/>
      <c r="AY185" s="149"/>
      <c r="AZ185" s="112"/>
      <c r="BA185" s="236"/>
      <c r="BB185" s="236"/>
      <c r="BC185" s="152"/>
      <c r="BD185" s="152"/>
      <c r="BE185" s="236"/>
      <c r="BF185" s="262"/>
      <c r="BG185" s="262"/>
    </row>
    <row r="186" spans="1:59" ht="12.75" customHeight="1" x14ac:dyDescent="0.15">
      <c r="A186" s="57"/>
      <c r="B186" s="57"/>
      <c r="C186" s="57"/>
      <c r="D186" s="103"/>
      <c r="E186" s="125"/>
      <c r="F186" s="125"/>
      <c r="G186" s="57"/>
      <c r="H186" s="57"/>
      <c r="I186" s="57"/>
      <c r="J186" s="57"/>
      <c r="K186" s="57"/>
      <c r="L186" s="57"/>
      <c r="M186" s="57"/>
      <c r="N186" s="57"/>
      <c r="O186" s="70"/>
      <c r="P186" s="57"/>
      <c r="Q186" s="24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220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149"/>
      <c r="AP186" s="149"/>
      <c r="AQ186" s="57"/>
      <c r="AR186" s="74"/>
      <c r="AS186" s="149"/>
      <c r="AT186" s="235"/>
      <c r="AU186" s="57"/>
      <c r="AV186" s="57"/>
      <c r="AW186" s="57"/>
      <c r="AX186" s="70"/>
      <c r="AY186" s="149"/>
      <c r="AZ186" s="112"/>
      <c r="BA186" s="236"/>
      <c r="BB186" s="236"/>
      <c r="BC186" s="152"/>
      <c r="BD186" s="152"/>
      <c r="BE186" s="236"/>
      <c r="BF186" s="262"/>
      <c r="BG186" s="262"/>
    </row>
    <row r="187" spans="1:59" ht="12.75" customHeight="1" x14ac:dyDescent="0.15">
      <c r="A187" s="57"/>
      <c r="B187" s="57"/>
      <c r="C187" s="57"/>
      <c r="D187" s="103"/>
      <c r="E187" s="125"/>
      <c r="F187" s="125"/>
      <c r="G187" s="57"/>
      <c r="H187" s="57"/>
      <c r="I187" s="57"/>
      <c r="J187" s="57"/>
      <c r="K187" s="57"/>
      <c r="L187" s="57"/>
      <c r="M187" s="57"/>
      <c r="N187" s="57"/>
      <c r="O187" s="70"/>
      <c r="P187" s="57"/>
      <c r="Q187" s="24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220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149"/>
      <c r="AP187" s="149"/>
      <c r="AQ187" s="57"/>
      <c r="AR187" s="74"/>
      <c r="AS187" s="149"/>
      <c r="AT187" s="235"/>
      <c r="AU187" s="57"/>
      <c r="AV187" s="57"/>
      <c r="AW187" s="57"/>
      <c r="AX187" s="70"/>
      <c r="AY187" s="149"/>
      <c r="AZ187" s="112"/>
      <c r="BA187" s="236"/>
      <c r="BB187" s="236"/>
      <c r="BC187" s="152"/>
      <c r="BD187" s="152"/>
      <c r="BE187" s="236"/>
      <c r="BF187" s="262"/>
      <c r="BG187" s="262"/>
    </row>
    <row r="188" spans="1:59" ht="12.75" customHeight="1" x14ac:dyDescent="0.15">
      <c r="A188" s="57"/>
      <c r="B188" s="57"/>
      <c r="C188" s="57"/>
      <c r="D188" s="103"/>
      <c r="E188" s="125"/>
      <c r="F188" s="125"/>
      <c r="G188" s="57"/>
      <c r="H188" s="57"/>
      <c r="I188" s="57"/>
      <c r="J188" s="57"/>
      <c r="K188" s="57"/>
      <c r="L188" s="57"/>
      <c r="M188" s="57"/>
      <c r="N188" s="57"/>
      <c r="O188" s="70"/>
      <c r="P188" s="57"/>
      <c r="Q188" s="24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220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149"/>
      <c r="AP188" s="149"/>
      <c r="AQ188" s="57"/>
      <c r="AR188" s="74"/>
      <c r="AS188" s="149"/>
      <c r="AT188" s="235"/>
      <c r="AU188" s="57"/>
      <c r="AV188" s="57"/>
      <c r="AW188" s="57"/>
      <c r="AX188" s="70"/>
      <c r="AY188" s="149"/>
      <c r="AZ188" s="112"/>
      <c r="BA188" s="236"/>
      <c r="BB188" s="236"/>
      <c r="BC188" s="152"/>
      <c r="BD188" s="152"/>
      <c r="BE188" s="236"/>
      <c r="BF188" s="262"/>
      <c r="BG188" s="262"/>
    </row>
    <row r="189" spans="1:59" ht="12.75" customHeight="1" x14ac:dyDescent="0.15">
      <c r="A189" s="57"/>
      <c r="B189" s="57"/>
      <c r="C189" s="57"/>
      <c r="D189" s="103"/>
      <c r="E189" s="125"/>
      <c r="F189" s="125"/>
      <c r="G189" s="57"/>
      <c r="H189" s="57"/>
      <c r="I189" s="57"/>
      <c r="J189" s="57"/>
      <c r="K189" s="57"/>
      <c r="L189" s="57"/>
      <c r="M189" s="57"/>
      <c r="N189" s="57"/>
      <c r="O189" s="70"/>
      <c r="P189" s="57"/>
      <c r="Q189" s="24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220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149"/>
      <c r="AP189" s="149"/>
      <c r="AQ189" s="57"/>
      <c r="AR189" s="74"/>
      <c r="AS189" s="149"/>
      <c r="AT189" s="235"/>
      <c r="AU189" s="57"/>
      <c r="AV189" s="57"/>
      <c r="AW189" s="57"/>
      <c r="AX189" s="70"/>
      <c r="AY189" s="149"/>
      <c r="AZ189" s="112"/>
      <c r="BA189" s="236"/>
      <c r="BB189" s="236"/>
      <c r="BC189" s="152"/>
      <c r="BD189" s="152"/>
      <c r="BE189" s="236"/>
      <c r="BF189" s="262"/>
      <c r="BG189" s="262"/>
    </row>
    <row r="190" spans="1:59" ht="12.75" customHeight="1" x14ac:dyDescent="0.15">
      <c r="A190" s="57"/>
      <c r="B190" s="57"/>
      <c r="C190" s="57"/>
      <c r="D190" s="103"/>
      <c r="E190" s="125"/>
      <c r="F190" s="125"/>
      <c r="G190" s="57"/>
      <c r="H190" s="57"/>
      <c r="I190" s="57"/>
      <c r="J190" s="57"/>
      <c r="K190" s="57"/>
      <c r="L190" s="57"/>
      <c r="M190" s="57"/>
      <c r="N190" s="57"/>
      <c r="O190" s="70"/>
      <c r="P190" s="57"/>
      <c r="Q190" s="24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220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149"/>
      <c r="AP190" s="149"/>
      <c r="AQ190" s="57"/>
      <c r="AR190" s="74"/>
      <c r="AS190" s="149"/>
      <c r="AT190" s="235"/>
      <c r="AU190" s="57"/>
      <c r="AV190" s="57"/>
      <c r="AW190" s="57"/>
      <c r="AX190" s="70"/>
      <c r="AY190" s="149"/>
      <c r="AZ190" s="112"/>
      <c r="BA190" s="236"/>
      <c r="BB190" s="236"/>
      <c r="BC190" s="152"/>
      <c r="BD190" s="152"/>
      <c r="BE190" s="236"/>
      <c r="BF190" s="262"/>
      <c r="BG190" s="262"/>
    </row>
    <row r="191" spans="1:59" ht="12.75" customHeight="1" x14ac:dyDescent="0.15">
      <c r="A191" s="57"/>
      <c r="B191" s="57"/>
      <c r="C191" s="57"/>
      <c r="D191" s="103"/>
      <c r="E191" s="125"/>
      <c r="F191" s="125"/>
      <c r="G191" s="57"/>
      <c r="H191" s="57"/>
      <c r="I191" s="57"/>
      <c r="J191" s="57"/>
      <c r="K191" s="57"/>
      <c r="L191" s="57"/>
      <c r="M191" s="57"/>
      <c r="N191" s="57"/>
      <c r="O191" s="70"/>
      <c r="P191" s="57"/>
      <c r="Q191" s="24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220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149"/>
      <c r="AP191" s="149"/>
      <c r="AQ191" s="57"/>
      <c r="AR191" s="74"/>
      <c r="AS191" s="149"/>
      <c r="AT191" s="235"/>
      <c r="AU191" s="57"/>
      <c r="AV191" s="57"/>
      <c r="AW191" s="57"/>
      <c r="AX191" s="70"/>
      <c r="AY191" s="149"/>
      <c r="AZ191" s="112"/>
      <c r="BA191" s="236"/>
      <c r="BB191" s="236"/>
      <c r="BC191" s="152"/>
      <c r="BD191" s="152"/>
      <c r="BE191" s="236"/>
      <c r="BF191" s="262"/>
      <c r="BG191" s="262"/>
    </row>
    <row r="192" spans="1:59" ht="12.75" customHeight="1" x14ac:dyDescent="0.15">
      <c r="A192" s="57"/>
      <c r="B192" s="57"/>
      <c r="C192" s="57"/>
      <c r="D192" s="103"/>
      <c r="E192" s="125"/>
      <c r="F192" s="125"/>
      <c r="G192" s="57"/>
      <c r="H192" s="57"/>
      <c r="I192" s="57"/>
      <c r="J192" s="57"/>
      <c r="K192" s="57"/>
      <c r="L192" s="57"/>
      <c r="M192" s="57"/>
      <c r="N192" s="57"/>
      <c r="O192" s="70"/>
      <c r="P192" s="57"/>
      <c r="Q192" s="24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220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149"/>
      <c r="AP192" s="149"/>
      <c r="AQ192" s="57"/>
      <c r="AR192" s="74"/>
      <c r="AS192" s="149"/>
      <c r="AT192" s="235"/>
      <c r="AU192" s="57"/>
      <c r="AV192" s="57"/>
      <c r="AW192" s="57"/>
      <c r="AX192" s="70"/>
      <c r="AY192" s="149"/>
      <c r="AZ192" s="112"/>
      <c r="BA192" s="236"/>
      <c r="BB192" s="236"/>
      <c r="BC192" s="152"/>
      <c r="BD192" s="152"/>
      <c r="BE192" s="236"/>
      <c r="BF192" s="262"/>
      <c r="BG192" s="262"/>
    </row>
    <row r="193" spans="1:59" ht="12.75" customHeight="1" x14ac:dyDescent="0.15">
      <c r="A193" s="57"/>
      <c r="B193" s="57"/>
      <c r="C193" s="57"/>
      <c r="D193" s="103"/>
      <c r="E193" s="125"/>
      <c r="F193" s="125"/>
      <c r="G193" s="57"/>
      <c r="H193" s="57"/>
      <c r="I193" s="57"/>
      <c r="J193" s="57"/>
      <c r="K193" s="57"/>
      <c r="L193" s="57"/>
      <c r="M193" s="57"/>
      <c r="N193" s="57"/>
      <c r="O193" s="70"/>
      <c r="P193" s="57"/>
      <c r="Q193" s="24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220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149"/>
      <c r="AP193" s="149"/>
      <c r="AQ193" s="57"/>
      <c r="AR193" s="74"/>
      <c r="AS193" s="149"/>
      <c r="AT193" s="235"/>
      <c r="AU193" s="57"/>
      <c r="AV193" s="57"/>
      <c r="AW193" s="57"/>
      <c r="AX193" s="70"/>
      <c r="AY193" s="149"/>
      <c r="AZ193" s="112"/>
      <c r="BA193" s="236"/>
      <c r="BB193" s="236"/>
      <c r="BC193" s="152"/>
      <c r="BD193" s="152"/>
      <c r="BE193" s="236"/>
      <c r="BF193" s="262"/>
      <c r="BG193" s="262"/>
    </row>
    <row r="194" spans="1:59" ht="12.75" customHeight="1" x14ac:dyDescent="0.15">
      <c r="A194" s="57"/>
      <c r="B194" s="57"/>
      <c r="C194" s="57"/>
      <c r="D194" s="103"/>
      <c r="E194" s="125"/>
      <c r="F194" s="125"/>
      <c r="G194" s="57"/>
      <c r="H194" s="57"/>
      <c r="I194" s="57"/>
      <c r="J194" s="57"/>
      <c r="K194" s="57"/>
      <c r="L194" s="57"/>
      <c r="M194" s="57"/>
      <c r="N194" s="57"/>
      <c r="O194" s="70"/>
      <c r="P194" s="57"/>
      <c r="Q194" s="24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220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149"/>
      <c r="AP194" s="149"/>
      <c r="AQ194" s="57"/>
      <c r="AR194" s="74"/>
      <c r="AS194" s="149"/>
      <c r="AT194" s="235"/>
      <c r="AU194" s="57"/>
      <c r="AV194" s="57"/>
      <c r="AW194" s="57"/>
      <c r="AX194" s="70"/>
      <c r="AY194" s="149"/>
      <c r="AZ194" s="112"/>
      <c r="BA194" s="236"/>
      <c r="BB194" s="236"/>
      <c r="BC194" s="152"/>
      <c r="BD194" s="152"/>
      <c r="BE194" s="236"/>
      <c r="BF194" s="262"/>
      <c r="BG194" s="262"/>
    </row>
    <row r="195" spans="1:59" ht="12.75" customHeight="1" x14ac:dyDescent="0.15">
      <c r="A195" s="57"/>
      <c r="B195" s="57"/>
      <c r="C195" s="57"/>
      <c r="D195" s="103"/>
      <c r="E195" s="125"/>
      <c r="F195" s="125"/>
      <c r="G195" s="57"/>
      <c r="H195" s="57"/>
      <c r="I195" s="57"/>
      <c r="J195" s="57"/>
      <c r="K195" s="57"/>
      <c r="L195" s="57"/>
      <c r="M195" s="57"/>
      <c r="N195" s="57"/>
      <c r="O195" s="70"/>
      <c r="P195" s="57"/>
      <c r="Q195" s="24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220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149"/>
      <c r="AP195" s="149"/>
      <c r="AQ195" s="57"/>
      <c r="AR195" s="74"/>
      <c r="AS195" s="149"/>
      <c r="AT195" s="235"/>
      <c r="AU195" s="57"/>
      <c r="AV195" s="57"/>
      <c r="AW195" s="57"/>
      <c r="AX195" s="70"/>
      <c r="AY195" s="149"/>
      <c r="AZ195" s="112"/>
      <c r="BA195" s="236"/>
      <c r="BB195" s="236"/>
      <c r="BC195" s="152"/>
      <c r="BD195" s="152"/>
      <c r="BE195" s="236"/>
      <c r="BF195" s="262"/>
      <c r="BG195" s="262"/>
    </row>
    <row r="196" spans="1:59" ht="12.75" customHeight="1" x14ac:dyDescent="0.15">
      <c r="A196" s="57"/>
      <c r="B196" s="57"/>
      <c r="C196" s="57"/>
      <c r="D196" s="103"/>
      <c r="E196" s="125"/>
      <c r="F196" s="125"/>
      <c r="G196" s="57"/>
      <c r="H196" s="57"/>
      <c r="I196" s="57"/>
      <c r="J196" s="57"/>
      <c r="K196" s="57"/>
      <c r="L196" s="57"/>
      <c r="M196" s="57"/>
      <c r="N196" s="57"/>
      <c r="O196" s="70"/>
      <c r="P196" s="57"/>
      <c r="Q196" s="24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220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149"/>
      <c r="AP196" s="149"/>
      <c r="AQ196" s="57"/>
      <c r="AR196" s="74"/>
      <c r="AS196" s="149"/>
      <c r="AT196" s="235"/>
      <c r="AU196" s="57"/>
      <c r="AV196" s="57"/>
      <c r="AW196" s="57"/>
      <c r="AX196" s="70"/>
      <c r="AY196" s="149"/>
      <c r="AZ196" s="112"/>
      <c r="BA196" s="236"/>
      <c r="BB196" s="236"/>
      <c r="BC196" s="152"/>
      <c r="BD196" s="152"/>
      <c r="BE196" s="236"/>
      <c r="BF196" s="262"/>
      <c r="BG196" s="262"/>
    </row>
    <row r="197" spans="1:59" ht="12.75" customHeight="1" x14ac:dyDescent="0.15">
      <c r="A197" s="57"/>
      <c r="B197" s="57"/>
      <c r="C197" s="57"/>
      <c r="D197" s="103"/>
      <c r="E197" s="125"/>
      <c r="F197" s="125"/>
      <c r="G197" s="57"/>
      <c r="H197" s="57"/>
      <c r="I197" s="57"/>
      <c r="J197" s="57"/>
      <c r="K197" s="57"/>
      <c r="L197" s="57"/>
      <c r="M197" s="57"/>
      <c r="N197" s="57"/>
      <c r="O197" s="70"/>
      <c r="P197" s="57"/>
      <c r="Q197" s="24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220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149"/>
      <c r="AP197" s="149"/>
      <c r="AQ197" s="57"/>
      <c r="AR197" s="74"/>
      <c r="AS197" s="149"/>
      <c r="AT197" s="235"/>
      <c r="AU197" s="57"/>
      <c r="AV197" s="57"/>
      <c r="AW197" s="57"/>
      <c r="AX197" s="70"/>
      <c r="AY197" s="149"/>
      <c r="AZ197" s="112"/>
      <c r="BA197" s="236"/>
      <c r="BB197" s="236"/>
      <c r="BC197" s="152"/>
      <c r="BD197" s="152"/>
      <c r="BE197" s="236"/>
      <c r="BF197" s="262"/>
      <c r="BG197" s="262"/>
    </row>
    <row r="198" spans="1:59" ht="12.75" customHeight="1" x14ac:dyDescent="0.15">
      <c r="A198" s="57"/>
      <c r="B198" s="57"/>
      <c r="C198" s="57"/>
      <c r="D198" s="103"/>
      <c r="E198" s="125"/>
      <c r="F198" s="125"/>
      <c r="G198" s="57"/>
      <c r="H198" s="57"/>
      <c r="I198" s="57"/>
      <c r="J198" s="57"/>
      <c r="K198" s="57"/>
      <c r="L198" s="57"/>
      <c r="M198" s="57"/>
      <c r="N198" s="57"/>
      <c r="O198" s="70"/>
      <c r="P198" s="57"/>
      <c r="Q198" s="24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220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149"/>
      <c r="AP198" s="149"/>
      <c r="AQ198" s="57"/>
      <c r="AR198" s="74"/>
      <c r="AS198" s="149"/>
      <c r="AT198" s="235"/>
      <c r="AU198" s="57"/>
      <c r="AV198" s="57"/>
      <c r="AW198" s="57"/>
      <c r="AX198" s="70"/>
      <c r="AY198" s="149"/>
      <c r="AZ198" s="112"/>
      <c r="BA198" s="236"/>
      <c r="BB198" s="236"/>
      <c r="BC198" s="152"/>
      <c r="BD198" s="152"/>
      <c r="BE198" s="236"/>
      <c r="BF198" s="262"/>
      <c r="BG198" s="262"/>
    </row>
    <row r="199" spans="1:59" ht="12.75" customHeight="1" x14ac:dyDescent="0.15">
      <c r="A199" s="57"/>
      <c r="B199" s="57"/>
      <c r="C199" s="57"/>
      <c r="D199" s="103"/>
      <c r="E199" s="125"/>
      <c r="F199" s="125"/>
      <c r="G199" s="57"/>
      <c r="H199" s="57"/>
      <c r="I199" s="57"/>
      <c r="J199" s="57"/>
      <c r="K199" s="57"/>
      <c r="L199" s="57"/>
      <c r="M199" s="57"/>
      <c r="N199" s="57"/>
      <c r="O199" s="70"/>
      <c r="P199" s="57"/>
      <c r="Q199" s="24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220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149"/>
      <c r="AP199" s="149"/>
      <c r="AQ199" s="57"/>
      <c r="AR199" s="74"/>
      <c r="AS199" s="149"/>
      <c r="AT199" s="235"/>
      <c r="AU199" s="57"/>
      <c r="AV199" s="57"/>
      <c r="AW199" s="57"/>
      <c r="AX199" s="70"/>
      <c r="AY199" s="149"/>
      <c r="AZ199" s="112"/>
      <c r="BA199" s="236"/>
      <c r="BB199" s="236"/>
      <c r="BC199" s="152"/>
      <c r="BD199" s="152"/>
      <c r="BE199" s="236"/>
      <c r="BF199" s="262"/>
      <c r="BG199" s="262"/>
    </row>
    <row r="200" spans="1:59" ht="12.75" customHeight="1" x14ac:dyDescent="0.15">
      <c r="A200" s="57"/>
      <c r="B200" s="57"/>
      <c r="C200" s="57"/>
      <c r="D200" s="103"/>
      <c r="E200" s="125"/>
      <c r="F200" s="125"/>
      <c r="G200" s="57"/>
      <c r="H200" s="57"/>
      <c r="I200" s="57"/>
      <c r="J200" s="57"/>
      <c r="K200" s="57"/>
      <c r="L200" s="57"/>
      <c r="M200" s="57"/>
      <c r="N200" s="57"/>
      <c r="O200" s="70"/>
      <c r="P200" s="57"/>
      <c r="Q200" s="24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220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149"/>
      <c r="AP200" s="149"/>
      <c r="AQ200" s="57"/>
      <c r="AR200" s="74"/>
      <c r="AS200" s="149"/>
      <c r="AT200" s="235"/>
      <c r="AU200" s="57"/>
      <c r="AV200" s="57"/>
      <c r="AW200" s="57"/>
      <c r="AX200" s="70"/>
      <c r="AY200" s="149"/>
      <c r="AZ200" s="112"/>
      <c r="BA200" s="236"/>
      <c r="BB200" s="236"/>
      <c r="BC200" s="152"/>
      <c r="BD200" s="152"/>
      <c r="BE200" s="236"/>
      <c r="BF200" s="262"/>
      <c r="BG200" s="262"/>
    </row>
    <row r="201" spans="1:59" ht="12.75" customHeight="1" x14ac:dyDescent="0.15">
      <c r="A201" s="57"/>
      <c r="B201" s="57"/>
      <c r="C201" s="57"/>
      <c r="D201" s="103"/>
      <c r="E201" s="125"/>
      <c r="F201" s="125"/>
      <c r="G201" s="57"/>
      <c r="H201" s="57"/>
      <c r="I201" s="57"/>
      <c r="J201" s="57"/>
      <c r="K201" s="57"/>
      <c r="L201" s="57"/>
      <c r="M201" s="57"/>
      <c r="N201" s="57"/>
      <c r="O201" s="70"/>
      <c r="P201" s="57"/>
      <c r="Q201" s="24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220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149"/>
      <c r="AP201" s="149"/>
      <c r="AQ201" s="57"/>
      <c r="AR201" s="74"/>
      <c r="AS201" s="149"/>
      <c r="AT201" s="235"/>
      <c r="AU201" s="57"/>
      <c r="AV201" s="57"/>
      <c r="AW201" s="57"/>
      <c r="AX201" s="70"/>
      <c r="AY201" s="149"/>
      <c r="AZ201" s="112"/>
      <c r="BA201" s="236"/>
      <c r="BB201" s="236"/>
      <c r="BC201" s="152"/>
      <c r="BD201" s="152"/>
      <c r="BE201" s="236"/>
      <c r="BF201" s="262"/>
      <c r="BG201" s="262"/>
    </row>
    <row r="202" spans="1:59" ht="12.75" customHeight="1" x14ac:dyDescent="0.15">
      <c r="A202" s="57"/>
      <c r="B202" s="57"/>
      <c r="C202" s="57"/>
      <c r="D202" s="103"/>
      <c r="E202" s="125"/>
      <c r="F202" s="125"/>
      <c r="G202" s="57"/>
      <c r="H202" s="57"/>
      <c r="I202" s="57"/>
      <c r="J202" s="57"/>
      <c r="K202" s="57"/>
      <c r="L202" s="57"/>
      <c r="M202" s="57"/>
      <c r="N202" s="57"/>
      <c r="O202" s="70"/>
      <c r="P202" s="57"/>
      <c r="Q202" s="24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220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149"/>
      <c r="AP202" s="149"/>
      <c r="AQ202" s="57"/>
      <c r="AR202" s="74"/>
      <c r="AS202" s="149"/>
      <c r="AT202" s="235"/>
      <c r="AU202" s="57"/>
      <c r="AV202" s="57"/>
      <c r="AW202" s="57"/>
      <c r="AX202" s="70"/>
      <c r="AY202" s="149"/>
      <c r="AZ202" s="112"/>
      <c r="BA202" s="236"/>
      <c r="BB202" s="236"/>
      <c r="BC202" s="152"/>
      <c r="BD202" s="152"/>
      <c r="BE202" s="236"/>
      <c r="BF202" s="262"/>
      <c r="BG202" s="262"/>
    </row>
    <row r="203" spans="1:59" ht="12.75" customHeight="1" x14ac:dyDescent="0.15">
      <c r="A203" s="57"/>
      <c r="B203" s="57"/>
      <c r="C203" s="57"/>
      <c r="D203" s="103"/>
      <c r="E203" s="125"/>
      <c r="F203" s="125"/>
      <c r="G203" s="57"/>
      <c r="H203" s="57"/>
      <c r="I203" s="57"/>
      <c r="J203" s="57"/>
      <c r="K203" s="57"/>
      <c r="L203" s="57"/>
      <c r="M203" s="57"/>
      <c r="N203" s="57"/>
      <c r="O203" s="70"/>
      <c r="P203" s="57"/>
      <c r="Q203" s="24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220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149"/>
      <c r="AP203" s="149"/>
      <c r="AQ203" s="57"/>
      <c r="AR203" s="74"/>
      <c r="AS203" s="149"/>
      <c r="AT203" s="235"/>
      <c r="AU203" s="57"/>
      <c r="AV203" s="57"/>
      <c r="AW203" s="57"/>
      <c r="AX203" s="70"/>
      <c r="AY203" s="149"/>
      <c r="AZ203" s="112"/>
      <c r="BA203" s="236"/>
      <c r="BB203" s="236"/>
      <c r="BC203" s="152"/>
      <c r="BD203" s="152"/>
      <c r="BE203" s="236"/>
      <c r="BF203" s="262"/>
      <c r="BG203" s="262"/>
    </row>
    <row r="204" spans="1:59" ht="12.75" customHeight="1" x14ac:dyDescent="0.15">
      <c r="A204" s="57"/>
      <c r="B204" s="57"/>
      <c r="C204" s="57"/>
      <c r="D204" s="103"/>
      <c r="E204" s="125"/>
      <c r="F204" s="125"/>
      <c r="G204" s="57"/>
      <c r="H204" s="57"/>
      <c r="I204" s="57"/>
      <c r="J204" s="57"/>
      <c r="K204" s="57"/>
      <c r="L204" s="57"/>
      <c r="M204" s="57"/>
      <c r="N204" s="57"/>
      <c r="O204" s="70"/>
      <c r="P204" s="57"/>
      <c r="Q204" s="24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220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149"/>
      <c r="AP204" s="149"/>
      <c r="AQ204" s="57"/>
      <c r="AR204" s="74"/>
      <c r="AS204" s="149"/>
      <c r="AT204" s="235"/>
      <c r="AU204" s="57"/>
      <c r="AV204" s="57"/>
      <c r="AW204" s="57"/>
      <c r="AX204" s="70"/>
      <c r="AY204" s="149"/>
      <c r="AZ204" s="112"/>
      <c r="BA204" s="236"/>
      <c r="BB204" s="236"/>
      <c r="BC204" s="152"/>
      <c r="BD204" s="152"/>
      <c r="BE204" s="236"/>
      <c r="BF204" s="262"/>
      <c r="BG204" s="262"/>
    </row>
    <row r="205" spans="1:59" ht="12.75" customHeight="1" x14ac:dyDescent="0.15">
      <c r="A205" s="57"/>
      <c r="B205" s="57"/>
      <c r="C205" s="57"/>
      <c r="D205" s="103"/>
      <c r="E205" s="125"/>
      <c r="F205" s="125"/>
      <c r="G205" s="57"/>
      <c r="H205" s="57"/>
      <c r="I205" s="57"/>
      <c r="J205" s="57"/>
      <c r="K205" s="57"/>
      <c r="L205" s="57"/>
      <c r="M205" s="57"/>
      <c r="N205" s="57"/>
      <c r="O205" s="70"/>
      <c r="P205" s="57"/>
      <c r="Q205" s="24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220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149"/>
      <c r="AP205" s="149"/>
      <c r="AQ205" s="57"/>
      <c r="AR205" s="74"/>
      <c r="AS205" s="149"/>
      <c r="AT205" s="235"/>
      <c r="AU205" s="57"/>
      <c r="AV205" s="57"/>
      <c r="AW205" s="57"/>
      <c r="AX205" s="70"/>
      <c r="AY205" s="149"/>
      <c r="AZ205" s="112"/>
      <c r="BA205" s="236"/>
      <c r="BB205" s="236"/>
      <c r="BC205" s="152"/>
      <c r="BD205" s="152"/>
      <c r="BE205" s="236"/>
      <c r="BF205" s="262"/>
      <c r="BG205" s="262"/>
    </row>
    <row r="206" spans="1:59" ht="12.75" customHeight="1" x14ac:dyDescent="0.15">
      <c r="A206" s="57"/>
      <c r="B206" s="57"/>
      <c r="C206" s="57"/>
      <c r="D206" s="103"/>
      <c r="E206" s="125"/>
      <c r="F206" s="125"/>
      <c r="G206" s="57"/>
      <c r="H206" s="57"/>
      <c r="I206" s="57"/>
      <c r="J206" s="57"/>
      <c r="K206" s="57"/>
      <c r="L206" s="57"/>
      <c r="M206" s="57"/>
      <c r="N206" s="57"/>
      <c r="O206" s="70"/>
      <c r="P206" s="57"/>
      <c r="Q206" s="24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220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149"/>
      <c r="AP206" s="149"/>
      <c r="AQ206" s="57"/>
      <c r="AR206" s="74"/>
      <c r="AS206" s="149"/>
      <c r="AT206" s="235"/>
      <c r="AU206" s="57"/>
      <c r="AV206" s="57"/>
      <c r="AW206" s="57"/>
      <c r="AX206" s="70"/>
      <c r="AY206" s="149"/>
      <c r="AZ206" s="112"/>
      <c r="BA206" s="236"/>
      <c r="BB206" s="236"/>
      <c r="BC206" s="152"/>
      <c r="BD206" s="152"/>
      <c r="BE206" s="236"/>
      <c r="BF206" s="262"/>
      <c r="BG206" s="262"/>
    </row>
    <row r="207" spans="1:59" ht="12.75" customHeight="1" x14ac:dyDescent="0.15">
      <c r="A207" s="57"/>
      <c r="B207" s="57"/>
      <c r="C207" s="57"/>
      <c r="D207" s="103"/>
      <c r="E207" s="125"/>
      <c r="F207" s="125"/>
      <c r="G207" s="57"/>
      <c r="H207" s="57"/>
      <c r="I207" s="57"/>
      <c r="J207" s="57"/>
      <c r="K207" s="57"/>
      <c r="L207" s="57"/>
      <c r="M207" s="57"/>
      <c r="N207" s="57"/>
      <c r="O207" s="70"/>
      <c r="P207" s="57"/>
      <c r="Q207" s="24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220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149"/>
      <c r="AP207" s="149"/>
      <c r="AQ207" s="57"/>
      <c r="AR207" s="74"/>
      <c r="AS207" s="149"/>
      <c r="AT207" s="235"/>
      <c r="AU207" s="57"/>
      <c r="AV207" s="57"/>
      <c r="AW207" s="57"/>
      <c r="AX207" s="70"/>
      <c r="AY207" s="149"/>
      <c r="AZ207" s="112"/>
      <c r="BA207" s="236"/>
      <c r="BB207" s="236"/>
      <c r="BC207" s="152"/>
      <c r="BD207" s="152"/>
      <c r="BE207" s="236"/>
      <c r="BF207" s="262"/>
      <c r="BG207" s="262"/>
    </row>
    <row r="208" spans="1:59" ht="12.75" customHeight="1" x14ac:dyDescent="0.15">
      <c r="A208" s="57"/>
      <c r="B208" s="57"/>
      <c r="C208" s="57"/>
      <c r="D208" s="103"/>
      <c r="E208" s="125"/>
      <c r="F208" s="125"/>
      <c r="G208" s="57"/>
      <c r="H208" s="57"/>
      <c r="I208" s="57"/>
      <c r="J208" s="57"/>
      <c r="K208" s="57"/>
      <c r="L208" s="57"/>
      <c r="M208" s="57"/>
      <c r="N208" s="57"/>
      <c r="O208" s="70"/>
      <c r="P208" s="57"/>
      <c r="Q208" s="24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220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149"/>
      <c r="AP208" s="149"/>
      <c r="AQ208" s="57"/>
      <c r="AR208" s="74"/>
      <c r="AS208" s="149"/>
      <c r="AT208" s="235"/>
      <c r="AU208" s="57"/>
      <c r="AV208" s="57"/>
      <c r="AW208" s="57"/>
      <c r="AX208" s="70"/>
      <c r="AY208" s="149"/>
      <c r="AZ208" s="112"/>
      <c r="BA208" s="236"/>
      <c r="BB208" s="236"/>
      <c r="BC208" s="152"/>
      <c r="BD208" s="152"/>
      <c r="BE208" s="236"/>
      <c r="BF208" s="262"/>
      <c r="BG208" s="262"/>
    </row>
    <row r="209" spans="1:59" ht="12.75" customHeight="1" x14ac:dyDescent="0.15">
      <c r="A209" s="57"/>
      <c r="B209" s="57"/>
      <c r="C209" s="57"/>
      <c r="D209" s="103"/>
      <c r="E209" s="125"/>
      <c r="F209" s="125"/>
      <c r="G209" s="57"/>
      <c r="H209" s="57"/>
      <c r="I209" s="57"/>
      <c r="J209" s="57"/>
      <c r="K209" s="57"/>
      <c r="L209" s="57"/>
      <c r="M209" s="57"/>
      <c r="N209" s="57"/>
      <c r="O209" s="70"/>
      <c r="P209" s="57"/>
      <c r="Q209" s="24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220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149"/>
      <c r="AP209" s="149"/>
      <c r="AQ209" s="57"/>
      <c r="AR209" s="74"/>
      <c r="AS209" s="149"/>
      <c r="AT209" s="235"/>
      <c r="AU209" s="57"/>
      <c r="AV209" s="57"/>
      <c r="AW209" s="57"/>
      <c r="AX209" s="70"/>
      <c r="AY209" s="149"/>
      <c r="AZ209" s="112"/>
      <c r="BA209" s="236"/>
      <c r="BB209" s="236"/>
      <c r="BC209" s="152"/>
      <c r="BD209" s="152"/>
      <c r="BE209" s="236"/>
      <c r="BF209" s="262"/>
      <c r="BG209" s="262"/>
    </row>
    <row r="210" spans="1:59" ht="12.75" customHeight="1" x14ac:dyDescent="0.15">
      <c r="A210" s="57"/>
      <c r="B210" s="57"/>
      <c r="C210" s="57"/>
      <c r="D210" s="103"/>
      <c r="E210" s="125"/>
      <c r="F210" s="125"/>
      <c r="G210" s="57"/>
      <c r="H210" s="57"/>
      <c r="I210" s="57"/>
      <c r="J210" s="57"/>
      <c r="K210" s="57"/>
      <c r="L210" s="57"/>
      <c r="M210" s="57"/>
      <c r="N210" s="57"/>
      <c r="O210" s="70"/>
      <c r="P210" s="57"/>
      <c r="Q210" s="24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220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149"/>
      <c r="AP210" s="149"/>
      <c r="AQ210" s="57"/>
      <c r="AR210" s="74"/>
      <c r="AS210" s="149"/>
      <c r="AT210" s="235"/>
      <c r="AU210" s="57"/>
      <c r="AV210" s="57"/>
      <c r="AW210" s="57"/>
      <c r="AX210" s="70"/>
      <c r="AY210" s="149"/>
      <c r="AZ210" s="112"/>
      <c r="BA210" s="236"/>
      <c r="BB210" s="236"/>
      <c r="BC210" s="152"/>
      <c r="BD210" s="152"/>
      <c r="BE210" s="236"/>
      <c r="BF210" s="262"/>
      <c r="BG210" s="262"/>
    </row>
    <row r="211" spans="1:59" ht="12.75" customHeight="1" x14ac:dyDescent="0.15">
      <c r="A211" s="57"/>
      <c r="B211" s="57"/>
      <c r="C211" s="57"/>
      <c r="D211" s="103"/>
      <c r="E211" s="125"/>
      <c r="F211" s="125"/>
      <c r="G211" s="57"/>
      <c r="H211" s="57"/>
      <c r="I211" s="57"/>
      <c r="J211" s="57"/>
      <c r="K211" s="57"/>
      <c r="L211" s="57"/>
      <c r="M211" s="57"/>
      <c r="N211" s="57"/>
      <c r="O211" s="70"/>
      <c r="P211" s="57"/>
      <c r="Q211" s="24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220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149"/>
      <c r="AP211" s="149"/>
      <c r="AQ211" s="57"/>
      <c r="AR211" s="74"/>
      <c r="AS211" s="149"/>
      <c r="AT211" s="235"/>
      <c r="AU211" s="57"/>
      <c r="AV211" s="57"/>
      <c r="AW211" s="57"/>
      <c r="AX211" s="70"/>
      <c r="AY211" s="149"/>
      <c r="AZ211" s="112"/>
      <c r="BA211" s="236"/>
      <c r="BB211" s="236"/>
      <c r="BC211" s="152"/>
      <c r="BD211" s="152"/>
      <c r="BE211" s="236"/>
      <c r="BF211" s="262"/>
      <c r="BG211" s="262"/>
    </row>
    <row r="212" spans="1:59" ht="12.75" customHeight="1" x14ac:dyDescent="0.15">
      <c r="A212" s="57"/>
      <c r="B212" s="57"/>
      <c r="C212" s="57"/>
      <c r="D212" s="103"/>
      <c r="E212" s="125"/>
      <c r="F212" s="125"/>
      <c r="G212" s="57"/>
      <c r="H212" s="57"/>
      <c r="I212" s="57"/>
      <c r="J212" s="57"/>
      <c r="K212" s="57"/>
      <c r="L212" s="57"/>
      <c r="M212" s="57"/>
      <c r="N212" s="57"/>
      <c r="O212" s="70"/>
      <c r="P212" s="57"/>
      <c r="Q212" s="24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220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149"/>
      <c r="AP212" s="149"/>
      <c r="AQ212" s="57"/>
      <c r="AR212" s="74"/>
      <c r="AS212" s="149"/>
      <c r="AT212" s="235"/>
      <c r="AU212" s="57"/>
      <c r="AV212" s="57"/>
      <c r="AW212" s="57"/>
      <c r="AX212" s="70"/>
      <c r="AY212" s="149"/>
      <c r="AZ212" s="112"/>
      <c r="BA212" s="236"/>
      <c r="BB212" s="236"/>
      <c r="BC212" s="152"/>
      <c r="BD212" s="152"/>
      <c r="BE212" s="236"/>
      <c r="BF212" s="262"/>
      <c r="BG212" s="262"/>
    </row>
    <row r="213" spans="1:59" ht="12.75" customHeight="1" x14ac:dyDescent="0.15">
      <c r="A213" s="57"/>
      <c r="B213" s="57"/>
      <c r="C213" s="57"/>
      <c r="D213" s="103"/>
      <c r="E213" s="125"/>
      <c r="F213" s="125"/>
      <c r="G213" s="57"/>
      <c r="H213" s="57"/>
      <c r="I213" s="57"/>
      <c r="J213" s="57"/>
      <c r="K213" s="57"/>
      <c r="L213" s="57"/>
      <c r="M213" s="57"/>
      <c r="N213" s="57"/>
      <c r="O213" s="70"/>
      <c r="P213" s="57"/>
      <c r="Q213" s="24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220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149"/>
      <c r="AP213" s="149"/>
      <c r="AQ213" s="57"/>
      <c r="AR213" s="74"/>
      <c r="AS213" s="149"/>
      <c r="AT213" s="235"/>
      <c r="AU213" s="57"/>
      <c r="AV213" s="57"/>
      <c r="AW213" s="57"/>
      <c r="AX213" s="70"/>
      <c r="AY213" s="149"/>
      <c r="AZ213" s="112"/>
      <c r="BA213" s="236"/>
      <c r="BB213" s="236"/>
      <c r="BC213" s="152"/>
      <c r="BD213" s="152"/>
      <c r="BE213" s="236"/>
      <c r="BF213" s="262"/>
      <c r="BG213" s="262"/>
    </row>
    <row r="214" spans="1:59" ht="12.75" customHeight="1" x14ac:dyDescent="0.15">
      <c r="A214" s="57"/>
      <c r="B214" s="57"/>
      <c r="C214" s="57"/>
      <c r="D214" s="103"/>
      <c r="E214" s="125"/>
      <c r="F214" s="125"/>
      <c r="G214" s="57"/>
      <c r="H214" s="57"/>
      <c r="I214" s="57"/>
      <c r="J214" s="57"/>
      <c r="K214" s="57"/>
      <c r="L214" s="57"/>
      <c r="M214" s="57"/>
      <c r="N214" s="57"/>
      <c r="O214" s="70"/>
      <c r="P214" s="57"/>
      <c r="Q214" s="24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220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149"/>
      <c r="AP214" s="149"/>
      <c r="AQ214" s="57"/>
      <c r="AR214" s="74"/>
      <c r="AS214" s="149"/>
      <c r="AT214" s="235"/>
      <c r="AU214" s="57"/>
      <c r="AV214" s="57"/>
      <c r="AW214" s="57"/>
      <c r="AX214" s="70"/>
      <c r="AY214" s="149"/>
      <c r="AZ214" s="112"/>
      <c r="BA214" s="236"/>
      <c r="BB214" s="236"/>
      <c r="BC214" s="152"/>
      <c r="BD214" s="152"/>
      <c r="BE214" s="236"/>
      <c r="BF214" s="262"/>
      <c r="BG214" s="262"/>
    </row>
    <row r="215" spans="1:59" ht="12.75" customHeight="1" x14ac:dyDescent="0.15">
      <c r="A215" s="57"/>
      <c r="B215" s="57"/>
      <c r="C215" s="57"/>
      <c r="D215" s="103"/>
      <c r="E215" s="125"/>
      <c r="F215" s="125"/>
      <c r="G215" s="57"/>
      <c r="H215" s="57"/>
      <c r="I215" s="57"/>
      <c r="J215" s="57"/>
      <c r="K215" s="57"/>
      <c r="L215" s="57"/>
      <c r="M215" s="57"/>
      <c r="N215" s="57"/>
      <c r="O215" s="70"/>
      <c r="P215" s="57"/>
      <c r="Q215" s="24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220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149"/>
      <c r="AP215" s="149"/>
      <c r="AQ215" s="57"/>
      <c r="AR215" s="74"/>
      <c r="AS215" s="149"/>
      <c r="AT215" s="235"/>
      <c r="AU215" s="57"/>
      <c r="AV215" s="57"/>
      <c r="AW215" s="57"/>
      <c r="AX215" s="70"/>
      <c r="AY215" s="149"/>
      <c r="AZ215" s="112"/>
      <c r="BA215" s="236"/>
      <c r="BB215" s="236"/>
      <c r="BC215" s="152"/>
      <c r="BD215" s="152"/>
      <c r="BE215" s="236"/>
      <c r="BF215" s="262"/>
      <c r="BG215" s="262"/>
    </row>
    <row r="216" spans="1:59" ht="12.75" customHeight="1" x14ac:dyDescent="0.15">
      <c r="A216" s="57"/>
      <c r="B216" s="57"/>
      <c r="C216" s="57"/>
      <c r="D216" s="103"/>
      <c r="E216" s="125"/>
      <c r="F216" s="125"/>
      <c r="G216" s="57"/>
      <c r="H216" s="57"/>
      <c r="I216" s="57"/>
      <c r="J216" s="57"/>
      <c r="K216" s="57"/>
      <c r="L216" s="57"/>
      <c r="M216" s="57"/>
      <c r="N216" s="57"/>
      <c r="O216" s="70"/>
      <c r="P216" s="57"/>
      <c r="Q216" s="24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220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149"/>
      <c r="AP216" s="149"/>
      <c r="AQ216" s="57"/>
      <c r="AR216" s="74"/>
      <c r="AS216" s="149"/>
      <c r="AT216" s="235"/>
      <c r="AU216" s="57"/>
      <c r="AV216" s="57"/>
      <c r="AW216" s="57"/>
      <c r="AX216" s="70"/>
      <c r="AY216" s="149"/>
      <c r="AZ216" s="112"/>
      <c r="BA216" s="236"/>
      <c r="BB216" s="236"/>
      <c r="BC216" s="152"/>
      <c r="BD216" s="152"/>
      <c r="BE216" s="236"/>
      <c r="BF216" s="262"/>
      <c r="BG216" s="262"/>
    </row>
    <row r="217" spans="1:59" ht="12.75" customHeight="1" x14ac:dyDescent="0.15">
      <c r="A217" s="57"/>
      <c r="B217" s="57"/>
      <c r="C217" s="57"/>
      <c r="D217" s="103"/>
      <c r="E217" s="125"/>
      <c r="F217" s="125"/>
      <c r="G217" s="57"/>
      <c r="H217" s="57"/>
      <c r="I217" s="57"/>
      <c r="J217" s="57"/>
      <c r="K217" s="57"/>
      <c r="L217" s="57"/>
      <c r="M217" s="57"/>
      <c r="N217" s="57"/>
      <c r="O217" s="70"/>
      <c r="P217" s="57"/>
      <c r="Q217" s="24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220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149"/>
      <c r="AP217" s="149"/>
      <c r="AQ217" s="57"/>
      <c r="AR217" s="74"/>
      <c r="AS217" s="149"/>
      <c r="AT217" s="235"/>
      <c r="AU217" s="57"/>
      <c r="AV217" s="57"/>
      <c r="AW217" s="57"/>
      <c r="AX217" s="70"/>
      <c r="AY217" s="149"/>
      <c r="AZ217" s="112"/>
      <c r="BA217" s="236"/>
      <c r="BB217" s="236"/>
      <c r="BC217" s="152"/>
      <c r="BD217" s="152"/>
      <c r="BE217" s="236"/>
      <c r="BF217" s="262"/>
      <c r="BG217" s="262"/>
    </row>
    <row r="218" spans="1:59" ht="12.75" customHeight="1" x14ac:dyDescent="0.15">
      <c r="A218" s="57"/>
      <c r="B218" s="57"/>
      <c r="C218" s="57"/>
      <c r="D218" s="103"/>
      <c r="E218" s="125"/>
      <c r="F218" s="125"/>
      <c r="G218" s="57"/>
      <c r="H218" s="57"/>
      <c r="I218" s="57"/>
      <c r="J218" s="57"/>
      <c r="K218" s="57"/>
      <c r="L218" s="57"/>
      <c r="M218" s="57"/>
      <c r="N218" s="57"/>
      <c r="O218" s="70"/>
      <c r="P218" s="57"/>
      <c r="Q218" s="24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220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149"/>
      <c r="AP218" s="149"/>
      <c r="AQ218" s="57"/>
      <c r="AR218" s="74"/>
      <c r="AS218" s="149"/>
      <c r="AT218" s="235"/>
      <c r="AU218" s="57"/>
      <c r="AV218" s="57"/>
      <c r="AW218" s="57"/>
      <c r="AX218" s="70"/>
      <c r="AY218" s="149"/>
      <c r="AZ218" s="112"/>
      <c r="BA218" s="236"/>
      <c r="BB218" s="236"/>
      <c r="BC218" s="152"/>
      <c r="BD218" s="152"/>
      <c r="BE218" s="236"/>
      <c r="BF218" s="262"/>
      <c r="BG218" s="262"/>
    </row>
    <row r="219" spans="1:59" ht="12.75" customHeight="1" x14ac:dyDescent="0.15">
      <c r="A219" s="57"/>
      <c r="B219" s="57"/>
      <c r="C219" s="57"/>
      <c r="D219" s="103"/>
      <c r="E219" s="125"/>
      <c r="F219" s="125"/>
      <c r="G219" s="57"/>
      <c r="H219" s="57"/>
      <c r="I219" s="57"/>
      <c r="J219" s="57"/>
      <c r="K219" s="57"/>
      <c r="L219" s="57"/>
      <c r="M219" s="57"/>
      <c r="N219" s="57"/>
      <c r="O219" s="70"/>
      <c r="P219" s="57"/>
      <c r="Q219" s="24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220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149"/>
      <c r="AP219" s="149"/>
      <c r="AQ219" s="57"/>
      <c r="AR219" s="74"/>
      <c r="AS219" s="149"/>
      <c r="AT219" s="235"/>
      <c r="AU219" s="57"/>
      <c r="AV219" s="57"/>
      <c r="AW219" s="57"/>
      <c r="AX219" s="70"/>
      <c r="AY219" s="149"/>
      <c r="AZ219" s="112"/>
      <c r="BA219" s="236"/>
      <c r="BB219" s="236"/>
      <c r="BC219" s="152"/>
      <c r="BD219" s="152"/>
      <c r="BE219" s="236"/>
      <c r="BF219" s="262"/>
      <c r="BG219" s="262"/>
    </row>
    <row r="220" spans="1:59" ht="12.75" customHeight="1" x14ac:dyDescent="0.15">
      <c r="A220" s="57"/>
      <c r="B220" s="57"/>
      <c r="C220" s="57"/>
      <c r="D220" s="103"/>
      <c r="E220" s="125"/>
      <c r="F220" s="125"/>
      <c r="G220" s="57"/>
      <c r="H220" s="57"/>
      <c r="I220" s="57"/>
      <c r="J220" s="57"/>
      <c r="K220" s="57"/>
      <c r="L220" s="57"/>
      <c r="M220" s="57"/>
      <c r="N220" s="57"/>
      <c r="O220" s="70"/>
      <c r="P220" s="57"/>
      <c r="Q220" s="24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220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149"/>
      <c r="AP220" s="149"/>
      <c r="AQ220" s="57"/>
      <c r="AR220" s="74"/>
      <c r="AS220" s="149"/>
      <c r="AT220" s="235"/>
      <c r="AU220" s="57"/>
      <c r="AV220" s="57"/>
      <c r="AW220" s="57"/>
      <c r="AX220" s="70"/>
      <c r="AY220" s="149"/>
      <c r="AZ220" s="112"/>
      <c r="BA220" s="236"/>
      <c r="BB220" s="236"/>
      <c r="BC220" s="152"/>
      <c r="BD220" s="152"/>
      <c r="BE220" s="236"/>
      <c r="BF220" s="262"/>
      <c r="BG220" s="262"/>
    </row>
    <row r="221" spans="1:59" ht="12.75" customHeight="1" x14ac:dyDescent="0.15">
      <c r="A221" s="57"/>
      <c r="B221" s="57"/>
      <c r="C221" s="57"/>
      <c r="D221" s="103"/>
      <c r="E221" s="125"/>
      <c r="F221" s="125"/>
      <c r="G221" s="57"/>
      <c r="H221" s="57"/>
      <c r="I221" s="57"/>
      <c r="J221" s="57"/>
      <c r="K221" s="57"/>
      <c r="L221" s="57"/>
      <c r="M221" s="57"/>
      <c r="N221" s="57"/>
      <c r="O221" s="70"/>
      <c r="P221" s="57"/>
      <c r="Q221" s="24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220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149"/>
      <c r="AP221" s="149"/>
      <c r="AQ221" s="57"/>
      <c r="AR221" s="74"/>
      <c r="AS221" s="149"/>
      <c r="AT221" s="235"/>
      <c r="AU221" s="57"/>
      <c r="AV221" s="57"/>
      <c r="AW221" s="57"/>
      <c r="AX221" s="70"/>
      <c r="AY221" s="149"/>
      <c r="AZ221" s="112"/>
      <c r="BA221" s="236"/>
      <c r="BB221" s="236"/>
      <c r="BC221" s="152"/>
      <c r="BD221" s="152"/>
      <c r="BE221" s="236"/>
      <c r="BF221" s="262"/>
      <c r="BG221" s="262"/>
    </row>
    <row r="222" spans="1:59" ht="12.75" customHeight="1" x14ac:dyDescent="0.15">
      <c r="A222" s="57"/>
      <c r="B222" s="57"/>
      <c r="C222" s="57"/>
      <c r="D222" s="103"/>
      <c r="E222" s="125"/>
      <c r="F222" s="125"/>
      <c r="G222" s="57"/>
      <c r="H222" s="57"/>
      <c r="I222" s="57"/>
      <c r="J222" s="57"/>
      <c r="K222" s="57"/>
      <c r="L222" s="57"/>
      <c r="M222" s="57"/>
      <c r="N222" s="57"/>
      <c r="O222" s="70"/>
      <c r="P222" s="57"/>
      <c r="Q222" s="24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220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149"/>
      <c r="AP222" s="149"/>
      <c r="AQ222" s="57"/>
      <c r="AR222" s="74"/>
      <c r="AS222" s="149"/>
      <c r="AT222" s="235"/>
      <c r="AU222" s="57"/>
      <c r="AV222" s="57"/>
      <c r="AW222" s="57"/>
      <c r="AX222" s="70"/>
      <c r="AY222" s="149"/>
      <c r="AZ222" s="112"/>
      <c r="BA222" s="236"/>
      <c r="BB222" s="236"/>
      <c r="BC222" s="152"/>
      <c r="BD222" s="152"/>
      <c r="BE222" s="236"/>
      <c r="BF222" s="262"/>
      <c r="BG222" s="262"/>
    </row>
    <row r="223" spans="1:59" ht="12.75" customHeight="1" x14ac:dyDescent="0.15">
      <c r="A223" s="57"/>
      <c r="B223" s="57"/>
      <c r="C223" s="57"/>
      <c r="D223" s="103"/>
      <c r="E223" s="125"/>
      <c r="F223" s="125"/>
      <c r="G223" s="57"/>
      <c r="H223" s="57"/>
      <c r="I223" s="57"/>
      <c r="J223" s="57"/>
      <c r="K223" s="57"/>
      <c r="L223" s="57"/>
      <c r="M223" s="57"/>
      <c r="N223" s="57"/>
      <c r="O223" s="70"/>
      <c r="P223" s="57"/>
      <c r="Q223" s="24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220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149"/>
      <c r="AP223" s="149"/>
      <c r="AQ223" s="57"/>
      <c r="AR223" s="74"/>
      <c r="AS223" s="149"/>
      <c r="AT223" s="235"/>
      <c r="AU223" s="57"/>
      <c r="AV223" s="57"/>
      <c r="AW223" s="57"/>
      <c r="AX223" s="70"/>
      <c r="AY223" s="149"/>
      <c r="AZ223" s="112"/>
      <c r="BA223" s="236"/>
      <c r="BB223" s="236"/>
      <c r="BC223" s="152"/>
      <c r="BD223" s="152"/>
      <c r="BE223" s="236"/>
      <c r="BF223" s="262"/>
      <c r="BG223" s="262"/>
    </row>
    <row r="224" spans="1:59" ht="12.75" customHeight="1" x14ac:dyDescent="0.15">
      <c r="A224" s="57"/>
      <c r="B224" s="57"/>
      <c r="C224" s="57"/>
      <c r="D224" s="103"/>
      <c r="E224" s="125"/>
      <c r="F224" s="125"/>
      <c r="G224" s="57"/>
      <c r="H224" s="57"/>
      <c r="I224" s="57"/>
      <c r="J224" s="57"/>
      <c r="K224" s="57"/>
      <c r="L224" s="57"/>
      <c r="M224" s="57"/>
      <c r="N224" s="57"/>
      <c r="O224" s="70"/>
      <c r="P224" s="57"/>
      <c r="Q224" s="24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220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149"/>
      <c r="AP224" s="149"/>
      <c r="AQ224" s="57"/>
      <c r="AR224" s="74"/>
      <c r="AS224" s="149"/>
      <c r="AT224" s="235"/>
      <c r="AU224" s="57"/>
      <c r="AV224" s="57"/>
      <c r="AW224" s="57"/>
      <c r="AX224" s="70"/>
      <c r="AY224" s="149"/>
      <c r="AZ224" s="112"/>
      <c r="BA224" s="236"/>
      <c r="BB224" s="236"/>
      <c r="BC224" s="152"/>
      <c r="BD224" s="152"/>
      <c r="BE224" s="236"/>
      <c r="BF224" s="262"/>
      <c r="BG224" s="262"/>
    </row>
    <row r="225" spans="1:59" ht="12.75" customHeight="1" x14ac:dyDescent="0.15">
      <c r="A225" s="57"/>
      <c r="B225" s="57"/>
      <c r="C225" s="57"/>
      <c r="D225" s="103"/>
      <c r="E225" s="125"/>
      <c r="F225" s="125"/>
      <c r="G225" s="57"/>
      <c r="H225" s="57"/>
      <c r="I225" s="57"/>
      <c r="J225" s="57"/>
      <c r="K225" s="57"/>
      <c r="L225" s="57"/>
      <c r="M225" s="57"/>
      <c r="N225" s="57"/>
      <c r="O225" s="70"/>
      <c r="P225" s="57"/>
      <c r="Q225" s="24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220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149"/>
      <c r="AP225" s="149"/>
      <c r="AQ225" s="57"/>
      <c r="AR225" s="74"/>
      <c r="AS225" s="149"/>
      <c r="AT225" s="235"/>
      <c r="AU225" s="57"/>
      <c r="AV225" s="57"/>
      <c r="AW225" s="57"/>
      <c r="AX225" s="70"/>
      <c r="AY225" s="149"/>
      <c r="AZ225" s="112"/>
      <c r="BA225" s="236"/>
      <c r="BB225" s="236"/>
      <c r="BC225" s="152"/>
      <c r="BD225" s="152"/>
      <c r="BE225" s="236"/>
      <c r="BF225" s="262"/>
      <c r="BG225" s="262"/>
    </row>
    <row r="226" spans="1:59" ht="12.75" customHeight="1" x14ac:dyDescent="0.15">
      <c r="A226" s="57"/>
      <c r="B226" s="57"/>
      <c r="C226" s="57"/>
      <c r="D226" s="103"/>
      <c r="E226" s="125"/>
      <c r="F226" s="125"/>
      <c r="G226" s="57"/>
      <c r="H226" s="57"/>
      <c r="I226" s="57"/>
      <c r="J226" s="57"/>
      <c r="K226" s="57"/>
      <c r="L226" s="57"/>
      <c r="M226" s="57"/>
      <c r="N226" s="57"/>
      <c r="O226" s="70"/>
      <c r="P226" s="57"/>
      <c r="Q226" s="24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220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149"/>
      <c r="AP226" s="149"/>
      <c r="AQ226" s="57"/>
      <c r="AR226" s="74"/>
      <c r="AS226" s="149"/>
      <c r="AT226" s="235"/>
      <c r="AU226" s="57"/>
      <c r="AV226" s="57"/>
      <c r="AW226" s="57"/>
      <c r="AX226" s="70"/>
      <c r="AY226" s="149"/>
      <c r="AZ226" s="112"/>
      <c r="BA226" s="236"/>
      <c r="BB226" s="236"/>
      <c r="BC226" s="152"/>
      <c r="BD226" s="152"/>
      <c r="BE226" s="236"/>
      <c r="BF226" s="262"/>
      <c r="BG226" s="262"/>
    </row>
    <row r="227" spans="1:59" ht="12.75" customHeight="1" x14ac:dyDescent="0.15">
      <c r="A227" s="57"/>
      <c r="B227" s="57"/>
      <c r="C227" s="57"/>
      <c r="D227" s="103"/>
      <c r="E227" s="125"/>
      <c r="F227" s="125"/>
      <c r="G227" s="57"/>
      <c r="H227" s="57"/>
      <c r="I227" s="57"/>
      <c r="J227" s="57"/>
      <c r="K227" s="57"/>
      <c r="L227" s="57"/>
      <c r="M227" s="57"/>
      <c r="N227" s="57"/>
      <c r="O227" s="70"/>
      <c r="P227" s="57"/>
      <c r="Q227" s="24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220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149"/>
      <c r="AP227" s="149"/>
      <c r="AQ227" s="57"/>
      <c r="AR227" s="74"/>
      <c r="AS227" s="149"/>
      <c r="AT227" s="235"/>
      <c r="AU227" s="57"/>
      <c r="AV227" s="57"/>
      <c r="AW227" s="57"/>
      <c r="AX227" s="70"/>
      <c r="AY227" s="149"/>
      <c r="AZ227" s="112"/>
      <c r="BA227" s="236"/>
      <c r="BB227" s="236"/>
      <c r="BC227" s="152"/>
      <c r="BD227" s="152"/>
      <c r="BE227" s="236"/>
      <c r="BF227" s="262"/>
      <c r="BG227" s="262"/>
    </row>
    <row r="228" spans="1:59" ht="12.75" customHeight="1" x14ac:dyDescent="0.15">
      <c r="A228" s="57"/>
      <c r="B228" s="57"/>
      <c r="C228" s="57"/>
      <c r="D228" s="103"/>
      <c r="E228" s="125"/>
      <c r="F228" s="125"/>
      <c r="G228" s="57"/>
      <c r="H228" s="57"/>
      <c r="I228" s="57"/>
      <c r="J228" s="57"/>
      <c r="K228" s="57"/>
      <c r="L228" s="57"/>
      <c r="M228" s="57"/>
      <c r="N228" s="57"/>
      <c r="O228" s="70"/>
      <c r="P228" s="57"/>
      <c r="Q228" s="24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220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149"/>
      <c r="AP228" s="149"/>
      <c r="AQ228" s="57"/>
      <c r="AR228" s="74"/>
      <c r="AS228" s="149"/>
      <c r="AT228" s="235"/>
      <c r="AU228" s="57"/>
      <c r="AV228" s="57"/>
      <c r="AW228" s="57"/>
      <c r="AX228" s="70"/>
      <c r="AY228" s="149"/>
      <c r="AZ228" s="112"/>
      <c r="BA228" s="236"/>
      <c r="BB228" s="236"/>
      <c r="BC228" s="152"/>
      <c r="BD228" s="152"/>
      <c r="BE228" s="236"/>
      <c r="BF228" s="262"/>
      <c r="BG228" s="262"/>
    </row>
    <row r="229" spans="1:59" ht="12.75" customHeight="1" x14ac:dyDescent="0.15">
      <c r="A229" s="57"/>
      <c r="B229" s="57"/>
      <c r="C229" s="57"/>
      <c r="D229" s="103"/>
      <c r="E229" s="125"/>
      <c r="F229" s="125"/>
      <c r="G229" s="57"/>
      <c r="H229" s="57"/>
      <c r="I229" s="57"/>
      <c r="J229" s="57"/>
      <c r="K229" s="57"/>
      <c r="L229" s="57"/>
      <c r="M229" s="57"/>
      <c r="N229" s="57"/>
      <c r="O229" s="70"/>
      <c r="P229" s="57"/>
      <c r="Q229" s="24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220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149"/>
      <c r="AP229" s="149"/>
      <c r="AQ229" s="57"/>
      <c r="AR229" s="74"/>
      <c r="AS229" s="149"/>
      <c r="AT229" s="235"/>
      <c r="AU229" s="57"/>
      <c r="AV229" s="57"/>
      <c r="AW229" s="57"/>
      <c r="AX229" s="70"/>
      <c r="AY229" s="149"/>
      <c r="AZ229" s="112"/>
      <c r="BA229" s="236"/>
      <c r="BB229" s="236"/>
      <c r="BC229" s="152"/>
      <c r="BD229" s="152"/>
      <c r="BE229" s="236"/>
      <c r="BF229" s="262"/>
      <c r="BG229" s="262"/>
    </row>
    <row r="230" spans="1:59" ht="12.75" customHeight="1" x14ac:dyDescent="0.15">
      <c r="A230" s="57"/>
      <c r="B230" s="57"/>
      <c r="C230" s="57"/>
      <c r="D230" s="103"/>
      <c r="E230" s="125"/>
      <c r="F230" s="125"/>
      <c r="G230" s="57"/>
      <c r="H230" s="57"/>
      <c r="I230" s="57"/>
      <c r="J230" s="57"/>
      <c r="K230" s="57"/>
      <c r="L230" s="57"/>
      <c r="M230" s="57"/>
      <c r="N230" s="57"/>
      <c r="O230" s="70"/>
      <c r="P230" s="57"/>
      <c r="Q230" s="24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220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149"/>
      <c r="AP230" s="149"/>
      <c r="AQ230" s="57"/>
      <c r="AR230" s="74"/>
      <c r="AS230" s="149"/>
      <c r="AT230" s="235"/>
      <c r="AU230" s="57"/>
      <c r="AV230" s="57"/>
      <c r="AW230" s="57"/>
      <c r="AX230" s="70"/>
      <c r="AY230" s="149"/>
      <c r="AZ230" s="112"/>
      <c r="BA230" s="236"/>
      <c r="BB230" s="236"/>
      <c r="BC230" s="152"/>
      <c r="BD230" s="152"/>
      <c r="BE230" s="236"/>
      <c r="BF230" s="262"/>
      <c r="BG230" s="262"/>
    </row>
    <row r="231" spans="1:59" ht="12.75" customHeight="1" x14ac:dyDescent="0.15">
      <c r="A231" s="57"/>
      <c r="B231" s="57"/>
      <c r="C231" s="57"/>
      <c r="D231" s="103"/>
      <c r="E231" s="125"/>
      <c r="F231" s="125"/>
      <c r="G231" s="57"/>
      <c r="H231" s="57"/>
      <c r="I231" s="57"/>
      <c r="J231" s="57"/>
      <c r="K231" s="57"/>
      <c r="L231" s="57"/>
      <c r="M231" s="57"/>
      <c r="N231" s="57"/>
      <c r="O231" s="70"/>
      <c r="P231" s="57"/>
      <c r="Q231" s="24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220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149"/>
      <c r="AP231" s="149"/>
      <c r="AQ231" s="57"/>
      <c r="AR231" s="74"/>
      <c r="AS231" s="149"/>
      <c r="AT231" s="235"/>
      <c r="AU231" s="57"/>
      <c r="AV231" s="57"/>
      <c r="AW231" s="57"/>
      <c r="AX231" s="70"/>
      <c r="AY231" s="149"/>
      <c r="AZ231" s="112"/>
      <c r="BA231" s="236"/>
      <c r="BB231" s="236"/>
      <c r="BC231" s="152"/>
      <c r="BD231" s="152"/>
      <c r="BE231" s="236"/>
      <c r="BF231" s="262"/>
      <c r="BG231" s="262"/>
    </row>
    <row r="232" spans="1:59" ht="12.75" customHeight="1" x14ac:dyDescent="0.15">
      <c r="A232" s="57"/>
      <c r="B232" s="57"/>
      <c r="C232" s="57"/>
      <c r="D232" s="103"/>
      <c r="E232" s="125"/>
      <c r="F232" s="125"/>
      <c r="G232" s="57"/>
      <c r="H232" s="57"/>
      <c r="I232" s="57"/>
      <c r="J232" s="57"/>
      <c r="K232" s="57"/>
      <c r="L232" s="57"/>
      <c r="M232" s="57"/>
      <c r="N232" s="57"/>
      <c r="O232" s="70"/>
      <c r="P232" s="57"/>
      <c r="Q232" s="24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220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149"/>
      <c r="AP232" s="149"/>
      <c r="AQ232" s="57"/>
      <c r="AR232" s="74"/>
      <c r="AS232" s="149"/>
      <c r="AT232" s="235"/>
      <c r="AU232" s="57"/>
      <c r="AV232" s="57"/>
      <c r="AW232" s="57"/>
      <c r="AX232" s="70"/>
      <c r="AY232" s="149"/>
      <c r="AZ232" s="112"/>
      <c r="BA232" s="236"/>
      <c r="BB232" s="236"/>
      <c r="BC232" s="152"/>
      <c r="BD232" s="152"/>
      <c r="BE232" s="236"/>
      <c r="BF232" s="262"/>
      <c r="BG232" s="262"/>
    </row>
    <row r="233" spans="1:59" ht="12.75" customHeight="1" x14ac:dyDescent="0.15">
      <c r="A233" s="57"/>
      <c r="B233" s="57"/>
      <c r="C233" s="57"/>
      <c r="D233" s="103"/>
      <c r="E233" s="125"/>
      <c r="F233" s="125"/>
      <c r="G233" s="57"/>
      <c r="H233" s="57"/>
      <c r="I233" s="57"/>
      <c r="J233" s="57"/>
      <c r="K233" s="57"/>
      <c r="L233" s="57"/>
      <c r="M233" s="57"/>
      <c r="N233" s="57"/>
      <c r="O233" s="70"/>
      <c r="P233" s="57"/>
      <c r="Q233" s="24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220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149"/>
      <c r="AP233" s="149"/>
      <c r="AQ233" s="57"/>
      <c r="AR233" s="74"/>
      <c r="AS233" s="149"/>
      <c r="AT233" s="235"/>
      <c r="AU233" s="57"/>
      <c r="AV233" s="57"/>
      <c r="AW233" s="57"/>
      <c r="AX233" s="70"/>
      <c r="AY233" s="149"/>
      <c r="AZ233" s="112"/>
      <c r="BA233" s="236"/>
      <c r="BB233" s="236"/>
      <c r="BC233" s="152"/>
      <c r="BD233" s="152"/>
      <c r="BE233" s="236"/>
      <c r="BF233" s="262"/>
      <c r="BG233" s="262"/>
    </row>
    <row r="234" spans="1:59" ht="12.75" customHeight="1" x14ac:dyDescent="0.15">
      <c r="A234" s="57"/>
      <c r="B234" s="57"/>
      <c r="C234" s="57"/>
      <c r="D234" s="103"/>
      <c r="E234" s="125"/>
      <c r="F234" s="125"/>
      <c r="G234" s="57"/>
      <c r="H234" s="57"/>
      <c r="I234" s="57"/>
      <c r="J234" s="57"/>
      <c r="K234" s="57"/>
      <c r="L234" s="57"/>
      <c r="M234" s="57"/>
      <c r="N234" s="57"/>
      <c r="O234" s="70"/>
      <c r="P234" s="57"/>
      <c r="Q234" s="24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220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149"/>
      <c r="AP234" s="149"/>
      <c r="AQ234" s="57"/>
      <c r="AR234" s="74"/>
      <c r="AS234" s="149"/>
      <c r="AT234" s="235"/>
      <c r="AU234" s="57"/>
      <c r="AV234" s="57"/>
      <c r="AW234" s="57"/>
      <c r="AX234" s="70"/>
      <c r="AY234" s="149"/>
      <c r="AZ234" s="112"/>
      <c r="BA234" s="236"/>
      <c r="BB234" s="236"/>
      <c r="BC234" s="152"/>
      <c r="BD234" s="152"/>
      <c r="BE234" s="236"/>
      <c r="BF234" s="262"/>
      <c r="BG234" s="262"/>
    </row>
    <row r="235" spans="1:59" ht="12.75" customHeight="1" x14ac:dyDescent="0.15">
      <c r="A235" s="57"/>
      <c r="B235" s="57"/>
      <c r="C235" s="57"/>
      <c r="D235" s="103"/>
      <c r="E235" s="125"/>
      <c r="F235" s="125"/>
      <c r="G235" s="57"/>
      <c r="H235" s="57"/>
      <c r="I235" s="57"/>
      <c r="J235" s="57"/>
      <c r="K235" s="57"/>
      <c r="L235" s="57"/>
      <c r="M235" s="57"/>
      <c r="N235" s="57"/>
      <c r="O235" s="70"/>
      <c r="P235" s="57"/>
      <c r="Q235" s="24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220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149"/>
      <c r="AP235" s="149"/>
      <c r="AQ235" s="57"/>
      <c r="AR235" s="74"/>
      <c r="AS235" s="149"/>
      <c r="AT235" s="235"/>
      <c r="AU235" s="57"/>
      <c r="AV235" s="57"/>
      <c r="AW235" s="57"/>
      <c r="AX235" s="70"/>
      <c r="AY235" s="149"/>
      <c r="AZ235" s="112"/>
      <c r="BA235" s="236"/>
      <c r="BB235" s="236"/>
      <c r="BC235" s="152"/>
      <c r="BD235" s="152"/>
      <c r="BE235" s="236"/>
      <c r="BF235" s="262"/>
      <c r="BG235" s="262"/>
    </row>
    <row r="236" spans="1:59" ht="12.75" customHeight="1" x14ac:dyDescent="0.15">
      <c r="A236" s="57"/>
      <c r="B236" s="57"/>
      <c r="C236" s="57"/>
      <c r="D236" s="103"/>
      <c r="E236" s="125"/>
      <c r="F236" s="125"/>
      <c r="G236" s="57"/>
      <c r="H236" s="57"/>
      <c r="I236" s="57"/>
      <c r="J236" s="57"/>
      <c r="K236" s="57"/>
      <c r="L236" s="57"/>
      <c r="M236" s="57"/>
      <c r="N236" s="57"/>
      <c r="O236" s="70"/>
      <c r="P236" s="57"/>
      <c r="Q236" s="24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220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149"/>
      <c r="AP236" s="149"/>
      <c r="AQ236" s="57"/>
      <c r="AR236" s="74"/>
      <c r="AS236" s="149"/>
      <c r="AT236" s="235"/>
      <c r="AU236" s="57"/>
      <c r="AV236" s="57"/>
      <c r="AW236" s="57"/>
      <c r="AX236" s="70"/>
      <c r="AY236" s="149"/>
      <c r="AZ236" s="112"/>
      <c r="BA236" s="236"/>
      <c r="BB236" s="236"/>
      <c r="BC236" s="152"/>
      <c r="BD236" s="152"/>
      <c r="BE236" s="236"/>
      <c r="BF236" s="262"/>
      <c r="BG236" s="262"/>
    </row>
    <row r="237" spans="1:59" ht="12.75" customHeight="1" x14ac:dyDescent="0.15">
      <c r="A237" s="57"/>
      <c r="B237" s="57"/>
      <c r="C237" s="57"/>
      <c r="D237" s="103"/>
      <c r="E237" s="125"/>
      <c r="F237" s="125"/>
      <c r="G237" s="57"/>
      <c r="H237" s="57"/>
      <c r="I237" s="57"/>
      <c r="J237" s="57"/>
      <c r="K237" s="57"/>
      <c r="L237" s="57"/>
      <c r="M237" s="57"/>
      <c r="N237" s="57"/>
      <c r="O237" s="70"/>
      <c r="P237" s="57"/>
      <c r="Q237" s="24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220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149"/>
      <c r="AP237" s="149"/>
      <c r="AQ237" s="57"/>
      <c r="AR237" s="74"/>
      <c r="AS237" s="149"/>
      <c r="AT237" s="235"/>
      <c r="AU237" s="57"/>
      <c r="AV237" s="57"/>
      <c r="AW237" s="57"/>
      <c r="AX237" s="70"/>
      <c r="AY237" s="149"/>
      <c r="AZ237" s="112"/>
      <c r="BA237" s="236"/>
      <c r="BB237" s="236"/>
      <c r="BC237" s="152"/>
      <c r="BD237" s="152"/>
      <c r="BE237" s="236"/>
      <c r="BF237" s="262"/>
      <c r="BG237" s="262"/>
    </row>
    <row r="238" spans="1:59" ht="12.75" customHeight="1" x14ac:dyDescent="0.15">
      <c r="A238" s="57"/>
      <c r="B238" s="57"/>
      <c r="C238" s="57"/>
      <c r="D238" s="103"/>
      <c r="E238" s="125"/>
      <c r="F238" s="125"/>
      <c r="G238" s="57"/>
      <c r="H238" s="57"/>
      <c r="I238" s="57"/>
      <c r="J238" s="57"/>
      <c r="K238" s="57"/>
      <c r="L238" s="57"/>
      <c r="M238" s="57"/>
      <c r="N238" s="57"/>
      <c r="O238" s="70"/>
      <c r="P238" s="57"/>
      <c r="Q238" s="24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220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149"/>
      <c r="AP238" s="149"/>
      <c r="AQ238" s="57"/>
      <c r="AR238" s="74"/>
      <c r="AS238" s="149"/>
      <c r="AT238" s="235"/>
      <c r="AU238" s="57"/>
      <c r="AV238" s="57"/>
      <c r="AW238" s="57"/>
      <c r="AX238" s="70"/>
      <c r="AY238" s="149"/>
      <c r="AZ238" s="112"/>
      <c r="BA238" s="236"/>
      <c r="BB238" s="236"/>
      <c r="BC238" s="152"/>
      <c r="BD238" s="152"/>
      <c r="BE238" s="236"/>
      <c r="BF238" s="262"/>
      <c r="BG238" s="262"/>
    </row>
    <row r="239" spans="1:59" ht="12.75" customHeight="1" x14ac:dyDescent="0.15">
      <c r="A239" s="57"/>
      <c r="B239" s="57"/>
      <c r="C239" s="57"/>
      <c r="D239" s="103"/>
      <c r="E239" s="125"/>
      <c r="F239" s="125"/>
      <c r="G239" s="57"/>
      <c r="H239" s="57"/>
      <c r="I239" s="57"/>
      <c r="J239" s="57"/>
      <c r="K239" s="57"/>
      <c r="L239" s="57"/>
      <c r="M239" s="57"/>
      <c r="N239" s="57"/>
      <c r="O239" s="70"/>
      <c r="P239" s="57"/>
      <c r="Q239" s="24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220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149"/>
      <c r="AP239" s="149"/>
      <c r="AQ239" s="57"/>
      <c r="AR239" s="74"/>
      <c r="AS239" s="149"/>
      <c r="AT239" s="235"/>
      <c r="AU239" s="57"/>
      <c r="AV239" s="57"/>
      <c r="AW239" s="57"/>
      <c r="AX239" s="70"/>
      <c r="AY239" s="149"/>
      <c r="AZ239" s="112"/>
      <c r="BA239" s="236"/>
      <c r="BB239" s="236"/>
      <c r="BC239" s="152"/>
      <c r="BD239" s="152"/>
      <c r="BE239" s="236"/>
      <c r="BF239" s="262"/>
      <c r="BG239" s="262"/>
    </row>
    <row r="240" spans="1:59" ht="12.75" customHeight="1" x14ac:dyDescent="0.15">
      <c r="A240" s="57"/>
      <c r="B240" s="57"/>
      <c r="C240" s="57"/>
      <c r="D240" s="103"/>
      <c r="E240" s="125"/>
      <c r="F240" s="125"/>
      <c r="G240" s="57"/>
      <c r="H240" s="57"/>
      <c r="I240" s="57"/>
      <c r="J240" s="57"/>
      <c r="K240" s="57"/>
      <c r="L240" s="57"/>
      <c r="M240" s="57"/>
      <c r="N240" s="57"/>
      <c r="O240" s="70"/>
      <c r="P240" s="57"/>
      <c r="Q240" s="24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220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149"/>
      <c r="AP240" s="149"/>
      <c r="AQ240" s="57"/>
      <c r="AR240" s="74"/>
      <c r="AS240" s="149"/>
      <c r="AT240" s="235"/>
      <c r="AU240" s="57"/>
      <c r="AV240" s="57"/>
      <c r="AW240" s="57"/>
      <c r="AX240" s="70"/>
      <c r="AY240" s="149"/>
      <c r="AZ240" s="112"/>
      <c r="BA240" s="236"/>
      <c r="BB240" s="236"/>
      <c r="BC240" s="152"/>
      <c r="BD240" s="152"/>
      <c r="BE240" s="236"/>
      <c r="BF240" s="262"/>
      <c r="BG240" s="262"/>
    </row>
    <row r="241" spans="1:59" ht="12.75" customHeight="1" x14ac:dyDescent="0.15">
      <c r="A241" s="57"/>
      <c r="B241" s="57"/>
      <c r="C241" s="57"/>
      <c r="D241" s="103"/>
      <c r="E241" s="125"/>
      <c r="F241" s="125"/>
      <c r="G241" s="57"/>
      <c r="H241" s="57"/>
      <c r="I241" s="57"/>
      <c r="J241" s="57"/>
      <c r="K241" s="57"/>
      <c r="L241" s="57"/>
      <c r="M241" s="57"/>
      <c r="N241" s="57"/>
      <c r="O241" s="70"/>
      <c r="P241" s="57"/>
      <c r="Q241" s="24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220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149"/>
      <c r="AP241" s="149"/>
      <c r="AQ241" s="57"/>
      <c r="AR241" s="74"/>
      <c r="AS241" s="149"/>
      <c r="AT241" s="235"/>
      <c r="AU241" s="57"/>
      <c r="AV241" s="57"/>
      <c r="AW241" s="57"/>
      <c r="AX241" s="70"/>
      <c r="AY241" s="149"/>
      <c r="AZ241" s="112"/>
      <c r="BA241" s="236"/>
      <c r="BB241" s="236"/>
      <c r="BC241" s="152"/>
      <c r="BD241" s="152"/>
      <c r="BE241" s="236"/>
      <c r="BF241" s="262"/>
      <c r="BG241" s="262"/>
    </row>
    <row r="242" spans="1:59" ht="12.75" customHeight="1" x14ac:dyDescent="0.15">
      <c r="A242" s="57"/>
      <c r="B242" s="57"/>
      <c r="C242" s="57"/>
      <c r="D242" s="103"/>
      <c r="E242" s="125"/>
      <c r="F242" s="125"/>
      <c r="G242" s="57"/>
      <c r="H242" s="57"/>
      <c r="I242" s="57"/>
      <c r="J242" s="57"/>
      <c r="K242" s="57"/>
      <c r="L242" s="57"/>
      <c r="M242" s="57"/>
      <c r="N242" s="57"/>
      <c r="O242" s="70"/>
      <c r="P242" s="57"/>
      <c r="Q242" s="24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220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149"/>
      <c r="AP242" s="149"/>
      <c r="AQ242" s="57"/>
      <c r="AR242" s="74"/>
      <c r="AS242" s="149"/>
      <c r="AT242" s="235"/>
      <c r="AU242" s="57"/>
      <c r="AV242" s="57"/>
      <c r="AW242" s="57"/>
      <c r="AX242" s="70"/>
      <c r="AY242" s="149"/>
      <c r="AZ242" s="112"/>
      <c r="BA242" s="236"/>
      <c r="BB242" s="236"/>
      <c r="BC242" s="152"/>
      <c r="BD242" s="152"/>
      <c r="BE242" s="236"/>
      <c r="BF242" s="262"/>
      <c r="BG242" s="262"/>
    </row>
    <row r="243" spans="1:59" ht="12.75" customHeight="1" x14ac:dyDescent="0.15">
      <c r="A243" s="57"/>
      <c r="B243" s="57"/>
      <c r="C243" s="57"/>
      <c r="D243" s="103"/>
      <c r="E243" s="125"/>
      <c r="F243" s="125"/>
      <c r="G243" s="57"/>
      <c r="H243" s="57"/>
      <c r="I243" s="57"/>
      <c r="J243" s="57"/>
      <c r="K243" s="57"/>
      <c r="L243" s="57"/>
      <c r="M243" s="57"/>
      <c r="N243" s="57"/>
      <c r="O243" s="70"/>
      <c r="P243" s="57"/>
      <c r="Q243" s="24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220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149"/>
      <c r="AP243" s="149"/>
      <c r="AQ243" s="57"/>
      <c r="AR243" s="74"/>
      <c r="AS243" s="149"/>
      <c r="AT243" s="235"/>
      <c r="AU243" s="57"/>
      <c r="AV243" s="57"/>
      <c r="AW243" s="57"/>
      <c r="AX243" s="70"/>
      <c r="AY243" s="149"/>
      <c r="AZ243" s="112"/>
      <c r="BA243" s="236"/>
      <c r="BB243" s="236"/>
      <c r="BC243" s="152"/>
      <c r="BD243" s="152"/>
      <c r="BE243" s="236"/>
      <c r="BF243" s="262"/>
      <c r="BG243" s="262"/>
    </row>
    <row r="244" spans="1:59" ht="12.75" customHeight="1" x14ac:dyDescent="0.15">
      <c r="A244" s="57"/>
      <c r="B244" s="57"/>
      <c r="C244" s="57"/>
      <c r="D244" s="103"/>
      <c r="E244" s="125"/>
      <c r="F244" s="125"/>
      <c r="G244" s="57"/>
      <c r="H244" s="57"/>
      <c r="I244" s="57"/>
      <c r="J244" s="57"/>
      <c r="K244" s="57"/>
      <c r="L244" s="57"/>
      <c r="M244" s="57"/>
      <c r="N244" s="57"/>
      <c r="O244" s="70"/>
      <c r="P244" s="57"/>
      <c r="Q244" s="24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220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149"/>
      <c r="AP244" s="149"/>
      <c r="AQ244" s="57"/>
      <c r="AR244" s="74"/>
      <c r="AS244" s="149"/>
      <c r="AT244" s="235"/>
      <c r="AU244" s="57"/>
      <c r="AV244" s="57"/>
      <c r="AW244" s="57"/>
      <c r="AX244" s="70"/>
      <c r="AY244" s="149"/>
      <c r="AZ244" s="112"/>
      <c r="BA244" s="236"/>
      <c r="BB244" s="236"/>
      <c r="BC244" s="152"/>
      <c r="BD244" s="152"/>
      <c r="BE244" s="236"/>
      <c r="BF244" s="262"/>
      <c r="BG244" s="262"/>
    </row>
    <row r="245" spans="1:59" ht="12.75" customHeight="1" x14ac:dyDescent="0.15">
      <c r="A245" s="57"/>
      <c r="B245" s="57"/>
      <c r="C245" s="57"/>
      <c r="D245" s="103"/>
      <c r="E245" s="125"/>
      <c r="F245" s="125"/>
      <c r="G245" s="57"/>
      <c r="H245" s="57"/>
      <c r="I245" s="57"/>
      <c r="J245" s="57"/>
      <c r="K245" s="57"/>
      <c r="L245" s="57"/>
      <c r="M245" s="57"/>
      <c r="N245" s="57"/>
      <c r="O245" s="70"/>
      <c r="P245" s="57"/>
      <c r="Q245" s="24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220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149"/>
      <c r="AP245" s="149"/>
      <c r="AQ245" s="57"/>
      <c r="AR245" s="74"/>
      <c r="AS245" s="149"/>
      <c r="AT245" s="235"/>
      <c r="AU245" s="57"/>
      <c r="AV245" s="57"/>
      <c r="AW245" s="57"/>
      <c r="AX245" s="70"/>
      <c r="AY245" s="149"/>
      <c r="AZ245" s="112"/>
      <c r="BA245" s="236"/>
      <c r="BB245" s="236"/>
      <c r="BC245" s="152"/>
      <c r="BD245" s="152"/>
      <c r="BE245" s="236"/>
      <c r="BF245" s="262"/>
      <c r="BG245" s="262"/>
    </row>
    <row r="246" spans="1:59" ht="12.75" customHeight="1" x14ac:dyDescent="0.15">
      <c r="A246" s="57"/>
      <c r="B246" s="57"/>
      <c r="C246" s="57"/>
      <c r="D246" s="103"/>
      <c r="E246" s="125"/>
      <c r="F246" s="125"/>
      <c r="G246" s="57"/>
      <c r="H246" s="57"/>
      <c r="I246" s="57"/>
      <c r="J246" s="57"/>
      <c r="K246" s="57"/>
      <c r="L246" s="57"/>
      <c r="M246" s="57"/>
      <c r="N246" s="57"/>
      <c r="O246" s="70"/>
      <c r="P246" s="57"/>
      <c r="Q246" s="24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220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149"/>
      <c r="AP246" s="149"/>
      <c r="AQ246" s="57"/>
      <c r="AR246" s="74"/>
      <c r="AS246" s="149"/>
      <c r="AT246" s="235"/>
      <c r="AU246" s="57"/>
      <c r="AV246" s="57"/>
      <c r="AW246" s="57"/>
      <c r="AX246" s="70"/>
      <c r="AY246" s="149"/>
      <c r="AZ246" s="112"/>
      <c r="BA246" s="236"/>
      <c r="BB246" s="236"/>
      <c r="BC246" s="152"/>
      <c r="BD246" s="152"/>
      <c r="BE246" s="236"/>
      <c r="BF246" s="262"/>
      <c r="BG246" s="262"/>
    </row>
    <row r="247" spans="1:59" ht="12.75" customHeight="1" x14ac:dyDescent="0.15">
      <c r="A247" s="57"/>
      <c r="B247" s="57"/>
      <c r="C247" s="57"/>
      <c r="D247" s="103"/>
      <c r="E247" s="125"/>
      <c r="F247" s="125"/>
      <c r="G247" s="57"/>
      <c r="H247" s="57"/>
      <c r="I247" s="57"/>
      <c r="J247" s="57"/>
      <c r="K247" s="57"/>
      <c r="L247" s="57"/>
      <c r="M247" s="57"/>
      <c r="N247" s="57"/>
      <c r="O247" s="70"/>
      <c r="P247" s="57"/>
      <c r="Q247" s="24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220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149"/>
      <c r="AP247" s="149"/>
      <c r="AQ247" s="57"/>
      <c r="AR247" s="74"/>
      <c r="AS247" s="149"/>
      <c r="AT247" s="235"/>
      <c r="AU247" s="57"/>
      <c r="AV247" s="57"/>
      <c r="AW247" s="57"/>
      <c r="AX247" s="70"/>
      <c r="AY247" s="149"/>
      <c r="AZ247" s="112"/>
      <c r="BA247" s="236"/>
      <c r="BB247" s="236"/>
      <c r="BC247" s="152"/>
      <c r="BD247" s="152"/>
      <c r="BE247" s="236"/>
      <c r="BF247" s="262"/>
      <c r="BG247" s="262"/>
    </row>
    <row r="248" spans="1:59" ht="12.75" customHeight="1" x14ac:dyDescent="0.15">
      <c r="A248" s="57"/>
      <c r="B248" s="57"/>
      <c r="C248" s="57"/>
      <c r="D248" s="103"/>
      <c r="E248" s="125"/>
      <c r="F248" s="125"/>
      <c r="G248" s="57"/>
      <c r="H248" s="57"/>
      <c r="I248" s="57"/>
      <c r="J248" s="57"/>
      <c r="K248" s="57"/>
      <c r="L248" s="57"/>
      <c r="M248" s="57"/>
      <c r="N248" s="57"/>
      <c r="O248" s="70"/>
      <c r="P248" s="57"/>
      <c r="Q248" s="24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220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149"/>
      <c r="AP248" s="149"/>
      <c r="AQ248" s="57"/>
      <c r="AR248" s="74"/>
      <c r="AS248" s="149"/>
      <c r="AT248" s="235"/>
      <c r="AU248" s="57"/>
      <c r="AV248" s="57"/>
      <c r="AW248" s="57"/>
      <c r="AX248" s="70"/>
      <c r="AY248" s="149"/>
      <c r="AZ248" s="112"/>
      <c r="BA248" s="236"/>
      <c r="BB248" s="236"/>
      <c r="BC248" s="152"/>
      <c r="BD248" s="152"/>
      <c r="BE248" s="236"/>
      <c r="BF248" s="262"/>
      <c r="BG248" s="262"/>
    </row>
    <row r="249" spans="1:59" ht="12.75" customHeight="1" x14ac:dyDescent="0.15">
      <c r="A249" s="57"/>
      <c r="B249" s="57"/>
      <c r="C249" s="57"/>
      <c r="D249" s="103"/>
      <c r="E249" s="125"/>
      <c r="F249" s="125"/>
      <c r="G249" s="57"/>
      <c r="H249" s="57"/>
      <c r="I249" s="57"/>
      <c r="J249" s="57"/>
      <c r="K249" s="57"/>
      <c r="L249" s="57"/>
      <c r="M249" s="57"/>
      <c r="N249" s="57"/>
      <c r="O249" s="70"/>
      <c r="P249" s="57"/>
      <c r="Q249" s="24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220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149"/>
      <c r="AP249" s="149"/>
      <c r="AQ249" s="57"/>
      <c r="AR249" s="74"/>
      <c r="AS249" s="149"/>
      <c r="AT249" s="235"/>
      <c r="AU249" s="57"/>
      <c r="AV249" s="57"/>
      <c r="AW249" s="57"/>
      <c r="AX249" s="70"/>
      <c r="AY249" s="149"/>
      <c r="AZ249" s="112"/>
      <c r="BA249" s="236"/>
      <c r="BB249" s="236"/>
      <c r="BC249" s="152"/>
      <c r="BD249" s="152"/>
      <c r="BE249" s="236"/>
      <c r="BF249" s="262"/>
      <c r="BG249" s="262"/>
    </row>
    <row r="250" spans="1:59" ht="12.75" customHeight="1" x14ac:dyDescent="0.15">
      <c r="A250" s="57"/>
      <c r="B250" s="57"/>
      <c r="C250" s="57"/>
      <c r="D250" s="103"/>
      <c r="E250" s="125"/>
      <c r="F250" s="125"/>
      <c r="G250" s="57"/>
      <c r="H250" s="57"/>
      <c r="I250" s="57"/>
      <c r="J250" s="57"/>
      <c r="K250" s="57"/>
      <c r="L250" s="57"/>
      <c r="M250" s="57"/>
      <c r="N250" s="57"/>
      <c r="O250" s="70"/>
      <c r="P250" s="57"/>
      <c r="Q250" s="24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220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149"/>
      <c r="AP250" s="149"/>
      <c r="AQ250" s="57"/>
      <c r="AR250" s="74"/>
      <c r="AS250" s="149"/>
      <c r="AT250" s="235"/>
      <c r="AU250" s="57"/>
      <c r="AV250" s="57"/>
      <c r="AW250" s="57"/>
      <c r="AX250" s="70"/>
      <c r="AY250" s="149"/>
      <c r="AZ250" s="112"/>
      <c r="BA250" s="236"/>
      <c r="BB250" s="236"/>
      <c r="BC250" s="152"/>
      <c r="BD250" s="152"/>
      <c r="BE250" s="236"/>
      <c r="BF250" s="262"/>
      <c r="BG250" s="262"/>
    </row>
    <row r="251" spans="1:59" ht="12.75" customHeight="1" x14ac:dyDescent="0.15">
      <c r="A251" s="57"/>
      <c r="B251" s="57"/>
      <c r="C251" s="57"/>
      <c r="D251" s="103"/>
      <c r="E251" s="125"/>
      <c r="F251" s="125"/>
      <c r="G251" s="57"/>
      <c r="H251" s="57"/>
      <c r="I251" s="57"/>
      <c r="J251" s="57"/>
      <c r="K251" s="57"/>
      <c r="L251" s="57"/>
      <c r="M251" s="57"/>
      <c r="N251" s="57"/>
      <c r="O251" s="70"/>
      <c r="P251" s="57"/>
      <c r="Q251" s="24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220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149"/>
      <c r="AP251" s="149"/>
      <c r="AQ251" s="57"/>
      <c r="AR251" s="74"/>
      <c r="AS251" s="149"/>
      <c r="AT251" s="235"/>
      <c r="AU251" s="57"/>
      <c r="AV251" s="57"/>
      <c r="AW251" s="57"/>
      <c r="AX251" s="70"/>
      <c r="AY251" s="149"/>
      <c r="AZ251" s="112"/>
      <c r="BA251" s="236"/>
      <c r="BB251" s="236"/>
      <c r="BC251" s="152"/>
      <c r="BD251" s="152"/>
      <c r="BE251" s="236"/>
      <c r="BF251" s="262"/>
      <c r="BG251" s="262"/>
    </row>
    <row r="252" spans="1:59" ht="12.75" customHeight="1" x14ac:dyDescent="0.15">
      <c r="A252" s="57"/>
      <c r="B252" s="57"/>
      <c r="C252" s="57"/>
      <c r="D252" s="103"/>
      <c r="E252" s="125"/>
      <c r="F252" s="125"/>
      <c r="G252" s="57"/>
      <c r="H252" s="57"/>
      <c r="I252" s="57"/>
      <c r="J252" s="57"/>
      <c r="K252" s="57"/>
      <c r="L252" s="57"/>
      <c r="M252" s="57"/>
      <c r="N252" s="57"/>
      <c r="O252" s="70"/>
      <c r="P252" s="57"/>
      <c r="Q252" s="24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220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149"/>
      <c r="AP252" s="149"/>
      <c r="AQ252" s="57"/>
      <c r="AR252" s="74"/>
      <c r="AS252" s="149"/>
      <c r="AT252" s="235"/>
      <c r="AU252" s="57"/>
      <c r="AV252" s="57"/>
      <c r="AW252" s="57"/>
      <c r="AX252" s="70"/>
      <c r="AY252" s="149"/>
      <c r="AZ252" s="112"/>
      <c r="BA252" s="236"/>
      <c r="BB252" s="236"/>
      <c r="BC252" s="152"/>
      <c r="BD252" s="152"/>
      <c r="BE252" s="236"/>
      <c r="BF252" s="262"/>
      <c r="BG252" s="262"/>
    </row>
    <row r="253" spans="1:59" ht="12.75" customHeight="1" x14ac:dyDescent="0.15">
      <c r="A253" s="57"/>
      <c r="B253" s="57"/>
      <c r="C253" s="57"/>
      <c r="D253" s="103"/>
      <c r="E253" s="125"/>
      <c r="F253" s="125"/>
      <c r="G253" s="57"/>
      <c r="H253" s="57"/>
      <c r="I253" s="57"/>
      <c r="J253" s="57"/>
      <c r="K253" s="57"/>
      <c r="L253" s="57"/>
      <c r="M253" s="57"/>
      <c r="N253" s="57"/>
      <c r="O253" s="70"/>
      <c r="P253" s="57"/>
      <c r="Q253" s="24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220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149"/>
      <c r="AP253" s="149"/>
      <c r="AQ253" s="57"/>
      <c r="AR253" s="74"/>
      <c r="AS253" s="149"/>
      <c r="AT253" s="235"/>
      <c r="AU253" s="57"/>
      <c r="AV253" s="57"/>
      <c r="AW253" s="57"/>
      <c r="AX253" s="70"/>
      <c r="AY253" s="149"/>
      <c r="AZ253" s="112"/>
      <c r="BA253" s="236"/>
      <c r="BB253" s="236"/>
      <c r="BC253" s="152"/>
      <c r="BD253" s="152"/>
      <c r="BE253" s="236"/>
      <c r="BF253" s="262"/>
      <c r="BG253" s="262"/>
    </row>
    <row r="254" spans="1:59" ht="12.75" customHeight="1" x14ac:dyDescent="0.15">
      <c r="A254" s="57"/>
      <c r="B254" s="57"/>
      <c r="C254" s="57"/>
      <c r="D254" s="103"/>
      <c r="E254" s="125"/>
      <c r="F254" s="125"/>
      <c r="G254" s="57"/>
      <c r="H254" s="57"/>
      <c r="I254" s="57"/>
      <c r="J254" s="57"/>
      <c r="K254" s="57"/>
      <c r="L254" s="57"/>
      <c r="M254" s="57"/>
      <c r="N254" s="57"/>
      <c r="O254" s="70"/>
      <c r="P254" s="57"/>
      <c r="Q254" s="24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220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149"/>
      <c r="AP254" s="149"/>
      <c r="AQ254" s="57"/>
      <c r="AR254" s="74"/>
      <c r="AS254" s="149"/>
      <c r="AT254" s="235"/>
      <c r="AU254" s="57"/>
      <c r="AV254" s="57"/>
      <c r="AW254" s="57"/>
      <c r="AX254" s="70"/>
      <c r="AY254" s="149"/>
      <c r="AZ254" s="112"/>
      <c r="BA254" s="236"/>
      <c r="BB254" s="236"/>
      <c r="BC254" s="152"/>
      <c r="BD254" s="152"/>
      <c r="BE254" s="236"/>
      <c r="BF254" s="262"/>
      <c r="BG254" s="262"/>
    </row>
    <row r="255" spans="1:59" ht="12.75" customHeight="1" x14ac:dyDescent="0.15">
      <c r="A255" s="57"/>
      <c r="B255" s="57"/>
      <c r="C255" s="57"/>
      <c r="D255" s="103"/>
      <c r="E255" s="125"/>
      <c r="F255" s="125"/>
      <c r="G255" s="57"/>
      <c r="H255" s="57"/>
      <c r="I255" s="57"/>
      <c r="J255" s="57"/>
      <c r="K255" s="57"/>
      <c r="L255" s="57"/>
      <c r="M255" s="57"/>
      <c r="N255" s="57"/>
      <c r="O255" s="70"/>
      <c r="P255" s="57"/>
      <c r="Q255" s="24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220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149"/>
      <c r="AP255" s="149"/>
      <c r="AQ255" s="57"/>
      <c r="AR255" s="74"/>
      <c r="AS255" s="149"/>
      <c r="AT255" s="235"/>
      <c r="AU255" s="57"/>
      <c r="AV255" s="57"/>
      <c r="AW255" s="57"/>
      <c r="AX255" s="70"/>
      <c r="AY255" s="149"/>
      <c r="AZ255" s="112"/>
      <c r="BA255" s="236"/>
      <c r="BB255" s="236"/>
      <c r="BC255" s="152"/>
      <c r="BD255" s="152"/>
      <c r="BE255" s="236"/>
      <c r="BF255" s="262"/>
      <c r="BG255" s="262"/>
    </row>
    <row r="256" spans="1:59" ht="12.75" customHeight="1" x14ac:dyDescent="0.15">
      <c r="A256" s="57"/>
      <c r="B256" s="57"/>
      <c r="C256" s="57"/>
      <c r="D256" s="103"/>
      <c r="E256" s="125"/>
      <c r="F256" s="125"/>
      <c r="G256" s="57"/>
      <c r="H256" s="57"/>
      <c r="I256" s="57"/>
      <c r="J256" s="57"/>
      <c r="K256" s="57"/>
      <c r="L256" s="57"/>
      <c r="M256" s="57"/>
      <c r="N256" s="57"/>
      <c r="O256" s="70"/>
      <c r="P256" s="57"/>
      <c r="Q256" s="24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220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149"/>
      <c r="AP256" s="149"/>
      <c r="AQ256" s="57"/>
      <c r="AR256" s="74"/>
      <c r="AS256" s="149"/>
      <c r="AT256" s="235"/>
      <c r="AU256" s="57"/>
      <c r="AV256" s="57"/>
      <c r="AW256" s="57"/>
      <c r="AX256" s="70"/>
      <c r="AY256" s="149"/>
      <c r="AZ256" s="112"/>
      <c r="BA256" s="236"/>
      <c r="BB256" s="236"/>
      <c r="BC256" s="152"/>
      <c r="BD256" s="152"/>
      <c r="BE256" s="236"/>
      <c r="BF256" s="262"/>
      <c r="BG256" s="262"/>
    </row>
    <row r="257" spans="1:59" ht="12.75" customHeight="1" x14ac:dyDescent="0.15">
      <c r="A257" s="57"/>
      <c r="B257" s="57"/>
      <c r="C257" s="57"/>
      <c r="D257" s="103"/>
      <c r="E257" s="125"/>
      <c r="F257" s="125"/>
      <c r="G257" s="57"/>
      <c r="H257" s="57"/>
      <c r="I257" s="57"/>
      <c r="J257" s="57"/>
      <c r="K257" s="57"/>
      <c r="L257" s="57"/>
      <c r="M257" s="57"/>
      <c r="N257" s="57"/>
      <c r="O257" s="70"/>
      <c r="P257" s="57"/>
      <c r="Q257" s="24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220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149"/>
      <c r="AP257" s="149"/>
      <c r="AQ257" s="57"/>
      <c r="AR257" s="74"/>
      <c r="AS257" s="149"/>
      <c r="AT257" s="235"/>
      <c r="AU257" s="57"/>
      <c r="AV257" s="57"/>
      <c r="AW257" s="57"/>
      <c r="AX257" s="70"/>
      <c r="AY257" s="149"/>
      <c r="AZ257" s="112"/>
      <c r="BA257" s="236"/>
      <c r="BB257" s="236"/>
      <c r="BC257" s="152"/>
      <c r="BD257" s="152"/>
      <c r="BE257" s="236"/>
      <c r="BF257" s="262"/>
      <c r="BG257" s="262"/>
    </row>
    <row r="258" spans="1:59" ht="12.75" customHeight="1" x14ac:dyDescent="0.15">
      <c r="A258" s="57"/>
      <c r="B258" s="57"/>
      <c r="C258" s="57"/>
      <c r="D258" s="103"/>
      <c r="E258" s="125"/>
      <c r="F258" s="125"/>
      <c r="G258" s="57"/>
      <c r="H258" s="57"/>
      <c r="I258" s="57"/>
      <c r="J258" s="57"/>
      <c r="K258" s="57"/>
      <c r="L258" s="57"/>
      <c r="M258" s="57"/>
      <c r="N258" s="57"/>
      <c r="O258" s="70"/>
      <c r="P258" s="57"/>
      <c r="Q258" s="24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220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149"/>
      <c r="AP258" s="149"/>
      <c r="AQ258" s="57"/>
      <c r="AR258" s="74"/>
      <c r="AS258" s="149"/>
      <c r="AT258" s="235"/>
      <c r="AU258" s="57"/>
      <c r="AV258" s="57"/>
      <c r="AW258" s="57"/>
      <c r="AX258" s="70"/>
      <c r="AY258" s="149"/>
      <c r="AZ258" s="112"/>
      <c r="BA258" s="236"/>
      <c r="BB258" s="236"/>
      <c r="BC258" s="152"/>
      <c r="BD258" s="152"/>
      <c r="BE258" s="236"/>
      <c r="BF258" s="262"/>
      <c r="BG258" s="262"/>
    </row>
    <row r="259" spans="1:59" ht="12.75" customHeight="1" x14ac:dyDescent="0.15">
      <c r="A259" s="57"/>
      <c r="B259" s="57"/>
      <c r="C259" s="57"/>
      <c r="D259" s="103"/>
      <c r="E259" s="125"/>
      <c r="F259" s="125"/>
      <c r="G259" s="57"/>
      <c r="H259" s="57"/>
      <c r="I259" s="57"/>
      <c r="J259" s="57"/>
      <c r="K259" s="57"/>
      <c r="L259" s="57"/>
      <c r="M259" s="57"/>
      <c r="N259" s="57"/>
      <c r="O259" s="70"/>
      <c r="P259" s="57"/>
      <c r="Q259" s="24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220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149"/>
      <c r="AP259" s="149"/>
      <c r="AQ259" s="57"/>
      <c r="AR259" s="74"/>
      <c r="AS259" s="149"/>
      <c r="AT259" s="235"/>
      <c r="AU259" s="57"/>
      <c r="AV259" s="57"/>
      <c r="AW259" s="57"/>
      <c r="AX259" s="70"/>
      <c r="AY259" s="149"/>
      <c r="AZ259" s="112"/>
      <c r="BA259" s="236"/>
      <c r="BB259" s="236"/>
      <c r="BC259" s="152"/>
      <c r="BD259" s="152"/>
      <c r="BE259" s="236"/>
      <c r="BF259" s="262"/>
      <c r="BG259" s="262"/>
    </row>
    <row r="260" spans="1:59" ht="12.75" customHeight="1" x14ac:dyDescent="0.15">
      <c r="A260" s="57"/>
      <c r="B260" s="57"/>
      <c r="C260" s="57"/>
      <c r="D260" s="103"/>
      <c r="E260" s="125"/>
      <c r="F260" s="125"/>
      <c r="G260" s="57"/>
      <c r="H260" s="57"/>
      <c r="I260" s="57"/>
      <c r="J260" s="57"/>
      <c r="K260" s="57"/>
      <c r="L260" s="57"/>
      <c r="M260" s="57"/>
      <c r="N260" s="57"/>
      <c r="O260" s="70"/>
      <c r="P260" s="57"/>
      <c r="Q260" s="24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220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149"/>
      <c r="AP260" s="149"/>
      <c r="AQ260" s="57"/>
      <c r="AR260" s="74"/>
      <c r="AS260" s="149"/>
      <c r="AT260" s="235"/>
      <c r="AU260" s="57"/>
      <c r="AV260" s="57"/>
      <c r="AW260" s="57"/>
      <c r="AX260" s="70"/>
      <c r="AY260" s="149"/>
      <c r="AZ260" s="112"/>
      <c r="BA260" s="236"/>
      <c r="BB260" s="236"/>
      <c r="BC260" s="152"/>
      <c r="BD260" s="152"/>
      <c r="BE260" s="236"/>
      <c r="BF260" s="262"/>
      <c r="BG260" s="262"/>
    </row>
    <row r="261" spans="1:59" ht="12.75" customHeight="1" x14ac:dyDescent="0.15">
      <c r="A261" s="57"/>
      <c r="B261" s="57"/>
      <c r="C261" s="57"/>
      <c r="D261" s="103"/>
      <c r="E261" s="125"/>
      <c r="F261" s="125"/>
      <c r="G261" s="57"/>
      <c r="H261" s="57"/>
      <c r="I261" s="57"/>
      <c r="J261" s="57"/>
      <c r="K261" s="57"/>
      <c r="L261" s="57"/>
      <c r="M261" s="57"/>
      <c r="N261" s="57"/>
      <c r="O261" s="70"/>
      <c r="P261" s="57"/>
      <c r="Q261" s="24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220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149"/>
      <c r="AP261" s="149"/>
      <c r="AQ261" s="57"/>
      <c r="AR261" s="74"/>
      <c r="AS261" s="149"/>
      <c r="AT261" s="235"/>
      <c r="AU261" s="57"/>
      <c r="AV261" s="57"/>
      <c r="AW261" s="57"/>
      <c r="AX261" s="70"/>
      <c r="AY261" s="149"/>
      <c r="AZ261" s="112"/>
      <c r="BA261" s="236"/>
      <c r="BB261" s="236"/>
      <c r="BC261" s="152"/>
      <c r="BD261" s="152"/>
      <c r="BE261" s="236"/>
      <c r="BF261" s="262"/>
      <c r="BG261" s="262"/>
    </row>
    <row r="262" spans="1:59" ht="12.75" customHeight="1" x14ac:dyDescent="0.15">
      <c r="A262" s="57"/>
      <c r="B262" s="57"/>
      <c r="C262" s="57"/>
      <c r="D262" s="103"/>
      <c r="E262" s="125"/>
      <c r="F262" s="125"/>
      <c r="G262" s="57"/>
      <c r="H262" s="57"/>
      <c r="I262" s="57"/>
      <c r="J262" s="57"/>
      <c r="K262" s="57"/>
      <c r="L262" s="57"/>
      <c r="M262" s="57"/>
      <c r="N262" s="57"/>
      <c r="O262" s="70"/>
      <c r="P262" s="57"/>
      <c r="Q262" s="24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220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149"/>
      <c r="AP262" s="149"/>
      <c r="AQ262" s="57"/>
      <c r="AR262" s="74"/>
      <c r="AS262" s="149"/>
      <c r="AT262" s="235"/>
      <c r="AU262" s="57"/>
      <c r="AV262" s="57"/>
      <c r="AW262" s="57"/>
      <c r="AX262" s="70"/>
      <c r="AY262" s="149"/>
      <c r="AZ262" s="112"/>
      <c r="BA262" s="236"/>
      <c r="BB262" s="236"/>
      <c r="BC262" s="152"/>
      <c r="BD262" s="152"/>
      <c r="BE262" s="236"/>
      <c r="BF262" s="262"/>
      <c r="BG262" s="262"/>
    </row>
    <row r="263" spans="1:59" ht="12.75" customHeight="1" x14ac:dyDescent="0.15">
      <c r="A263" s="57"/>
      <c r="B263" s="57"/>
      <c r="C263" s="57"/>
      <c r="D263" s="103"/>
      <c r="E263" s="125"/>
      <c r="F263" s="125"/>
      <c r="G263" s="57"/>
      <c r="H263" s="57"/>
      <c r="I263" s="57"/>
      <c r="J263" s="57"/>
      <c r="K263" s="57"/>
      <c r="L263" s="57"/>
      <c r="M263" s="57"/>
      <c r="N263" s="57"/>
      <c r="O263" s="70"/>
      <c r="P263" s="57"/>
      <c r="Q263" s="24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220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149"/>
      <c r="AP263" s="149"/>
      <c r="AQ263" s="57"/>
      <c r="AR263" s="74"/>
      <c r="AS263" s="149"/>
      <c r="AT263" s="235"/>
      <c r="AU263" s="57"/>
      <c r="AV263" s="57"/>
      <c r="AW263" s="57"/>
      <c r="AX263" s="70"/>
      <c r="AY263" s="149"/>
      <c r="AZ263" s="112"/>
      <c r="BA263" s="236"/>
      <c r="BB263" s="236"/>
      <c r="BC263" s="152"/>
      <c r="BD263" s="152"/>
      <c r="BE263" s="236"/>
      <c r="BF263" s="262"/>
      <c r="BG263" s="262"/>
    </row>
    <row r="264" spans="1:59" ht="12.75" customHeight="1" x14ac:dyDescent="0.15">
      <c r="A264" s="57"/>
      <c r="B264" s="57"/>
      <c r="C264" s="57"/>
      <c r="D264" s="103"/>
      <c r="E264" s="125"/>
      <c r="F264" s="125"/>
      <c r="G264" s="57"/>
      <c r="H264" s="57"/>
      <c r="I264" s="57"/>
      <c r="J264" s="57"/>
      <c r="K264" s="57"/>
      <c r="L264" s="57"/>
      <c r="M264" s="57"/>
      <c r="N264" s="57"/>
      <c r="O264" s="70"/>
      <c r="P264" s="57"/>
      <c r="Q264" s="24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220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149"/>
      <c r="AP264" s="149"/>
      <c r="AQ264" s="57"/>
      <c r="AR264" s="74"/>
      <c r="AS264" s="149"/>
      <c r="AT264" s="235"/>
      <c r="AU264" s="57"/>
      <c r="AV264" s="57"/>
      <c r="AW264" s="57"/>
      <c r="AX264" s="70"/>
      <c r="AY264" s="149"/>
      <c r="AZ264" s="112"/>
      <c r="BA264" s="236"/>
      <c r="BB264" s="236"/>
      <c r="BC264" s="152"/>
      <c r="BD264" s="152"/>
      <c r="BE264" s="236"/>
      <c r="BF264" s="262"/>
      <c r="BG264" s="262"/>
    </row>
    <row r="265" spans="1:59" ht="12.75" customHeight="1" x14ac:dyDescent="0.15">
      <c r="A265" s="57"/>
      <c r="B265" s="57"/>
      <c r="C265" s="57"/>
      <c r="D265" s="103"/>
      <c r="E265" s="125"/>
      <c r="F265" s="125"/>
      <c r="G265" s="57"/>
      <c r="H265" s="57"/>
      <c r="I265" s="57"/>
      <c r="J265" s="57"/>
      <c r="K265" s="57"/>
      <c r="L265" s="57"/>
      <c r="M265" s="57"/>
      <c r="N265" s="57"/>
      <c r="O265" s="70"/>
      <c r="P265" s="57"/>
      <c r="Q265" s="24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220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149"/>
      <c r="AP265" s="149"/>
      <c r="AQ265" s="57"/>
      <c r="AR265" s="74"/>
      <c r="AS265" s="149"/>
      <c r="AT265" s="235"/>
      <c r="AU265" s="57"/>
      <c r="AV265" s="57"/>
      <c r="AW265" s="57"/>
      <c r="AX265" s="70"/>
      <c r="AY265" s="149"/>
      <c r="AZ265" s="112"/>
      <c r="BA265" s="236"/>
      <c r="BB265" s="236"/>
      <c r="BC265" s="152"/>
      <c r="BD265" s="152"/>
      <c r="BE265" s="236"/>
      <c r="BF265" s="262"/>
      <c r="BG265" s="262"/>
    </row>
    <row r="266" spans="1:59" ht="12.75" customHeight="1" x14ac:dyDescent="0.15">
      <c r="A266" s="57"/>
      <c r="B266" s="57"/>
      <c r="C266" s="57"/>
      <c r="D266" s="103"/>
      <c r="E266" s="125"/>
      <c r="F266" s="125"/>
      <c r="G266" s="57"/>
      <c r="H266" s="57"/>
      <c r="I266" s="57"/>
      <c r="J266" s="57"/>
      <c r="K266" s="57"/>
      <c r="L266" s="57"/>
      <c r="M266" s="57"/>
      <c r="N266" s="57"/>
      <c r="O266" s="70"/>
      <c r="P266" s="57"/>
      <c r="Q266" s="24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220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149"/>
      <c r="AP266" s="149"/>
      <c r="AQ266" s="57"/>
      <c r="AR266" s="74"/>
      <c r="AS266" s="149"/>
      <c r="AT266" s="235"/>
      <c r="AU266" s="57"/>
      <c r="AV266" s="57"/>
      <c r="AW266" s="57"/>
      <c r="AX266" s="70"/>
      <c r="AY266" s="149"/>
      <c r="AZ266" s="112"/>
      <c r="BA266" s="236"/>
      <c r="BB266" s="236"/>
      <c r="BC266" s="152"/>
      <c r="BD266" s="152"/>
      <c r="BE266" s="236"/>
      <c r="BF266" s="262"/>
      <c r="BG266" s="262"/>
    </row>
    <row r="267" spans="1:59" ht="12.75" customHeight="1" x14ac:dyDescent="0.15">
      <c r="A267" s="57"/>
      <c r="B267" s="57"/>
      <c r="C267" s="57"/>
      <c r="D267" s="103"/>
      <c r="E267" s="125"/>
      <c r="F267" s="125"/>
      <c r="G267" s="57"/>
      <c r="H267" s="57"/>
      <c r="I267" s="57"/>
      <c r="J267" s="57"/>
      <c r="K267" s="57"/>
      <c r="L267" s="57"/>
      <c r="M267" s="57"/>
      <c r="N267" s="57"/>
      <c r="O267" s="70"/>
      <c r="P267" s="57"/>
      <c r="Q267" s="24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220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149"/>
      <c r="AP267" s="149"/>
      <c r="AQ267" s="57"/>
      <c r="AR267" s="74"/>
      <c r="AS267" s="149"/>
      <c r="AT267" s="235"/>
      <c r="AU267" s="57"/>
      <c r="AV267" s="57"/>
      <c r="AW267" s="57"/>
      <c r="AX267" s="70"/>
      <c r="AY267" s="149"/>
      <c r="AZ267" s="112"/>
      <c r="BA267" s="236"/>
      <c r="BB267" s="236"/>
      <c r="BC267" s="152"/>
      <c r="BD267" s="152"/>
      <c r="BE267" s="236"/>
      <c r="BF267" s="262"/>
      <c r="BG267" s="262"/>
    </row>
    <row r="268" spans="1:59" ht="12.75" customHeight="1" x14ac:dyDescent="0.15">
      <c r="A268" s="57"/>
      <c r="B268" s="57"/>
      <c r="C268" s="57"/>
      <c r="D268" s="103"/>
      <c r="E268" s="125"/>
      <c r="F268" s="125"/>
      <c r="G268" s="57"/>
      <c r="H268" s="57"/>
      <c r="I268" s="57"/>
      <c r="J268" s="57"/>
      <c r="K268" s="57"/>
      <c r="L268" s="57"/>
      <c r="M268" s="57"/>
      <c r="N268" s="57"/>
      <c r="O268" s="70"/>
      <c r="P268" s="57"/>
      <c r="Q268" s="24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220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149"/>
      <c r="AP268" s="149"/>
      <c r="AQ268" s="57"/>
      <c r="AR268" s="74"/>
      <c r="AS268" s="149"/>
      <c r="AT268" s="235"/>
      <c r="AU268" s="57"/>
      <c r="AV268" s="57"/>
      <c r="AW268" s="57"/>
      <c r="AX268" s="70"/>
      <c r="AY268" s="149"/>
      <c r="AZ268" s="112"/>
      <c r="BA268" s="236"/>
      <c r="BB268" s="236"/>
      <c r="BC268" s="152"/>
      <c r="BD268" s="152"/>
      <c r="BE268" s="236"/>
      <c r="BF268" s="262"/>
      <c r="BG268" s="262"/>
    </row>
    <row r="269" spans="1:59" ht="12.75" customHeight="1" x14ac:dyDescent="0.15">
      <c r="A269" s="57"/>
      <c r="B269" s="57"/>
      <c r="C269" s="57"/>
      <c r="D269" s="103"/>
      <c r="E269" s="125"/>
      <c r="F269" s="125"/>
      <c r="G269" s="57"/>
      <c r="H269" s="57"/>
      <c r="I269" s="57"/>
      <c r="J269" s="57"/>
      <c r="K269" s="57"/>
      <c r="L269" s="57"/>
      <c r="M269" s="57"/>
      <c r="N269" s="57"/>
      <c r="O269" s="70"/>
      <c r="P269" s="57"/>
      <c r="Q269" s="24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220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149"/>
      <c r="AP269" s="149"/>
      <c r="AQ269" s="57"/>
      <c r="AR269" s="74"/>
      <c r="AS269" s="149"/>
      <c r="AT269" s="235"/>
      <c r="AU269" s="57"/>
      <c r="AV269" s="57"/>
      <c r="AW269" s="57"/>
      <c r="AX269" s="70"/>
      <c r="AY269" s="149"/>
      <c r="AZ269" s="112"/>
      <c r="BA269" s="236"/>
      <c r="BB269" s="236"/>
      <c r="BC269" s="152"/>
      <c r="BD269" s="152"/>
      <c r="BE269" s="236"/>
      <c r="BF269" s="262"/>
      <c r="BG269" s="262"/>
    </row>
    <row r="270" spans="1:59" ht="12.75" customHeight="1" x14ac:dyDescent="0.15">
      <c r="A270" s="57"/>
      <c r="B270" s="57"/>
      <c r="C270" s="57"/>
      <c r="D270" s="103"/>
      <c r="E270" s="125"/>
      <c r="F270" s="125"/>
      <c r="G270" s="57"/>
      <c r="H270" s="57"/>
      <c r="I270" s="57"/>
      <c r="J270" s="57"/>
      <c r="K270" s="57"/>
      <c r="L270" s="57"/>
      <c r="M270" s="57"/>
      <c r="N270" s="57"/>
      <c r="O270" s="70"/>
      <c r="P270" s="57"/>
      <c r="Q270" s="24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220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149"/>
      <c r="AP270" s="149"/>
      <c r="AQ270" s="57"/>
      <c r="AR270" s="74"/>
      <c r="AS270" s="149"/>
      <c r="AT270" s="235"/>
      <c r="AU270" s="57"/>
      <c r="AV270" s="57"/>
      <c r="AW270" s="57"/>
      <c r="AX270" s="70"/>
      <c r="AY270" s="149"/>
      <c r="AZ270" s="112"/>
      <c r="BA270" s="236"/>
      <c r="BB270" s="236"/>
      <c r="BC270" s="152"/>
      <c r="BD270" s="152"/>
      <c r="BE270" s="236"/>
      <c r="BF270" s="262"/>
      <c r="BG270" s="262"/>
    </row>
    <row r="271" spans="1:59" ht="12.75" customHeight="1" x14ac:dyDescent="0.15">
      <c r="A271" s="57"/>
      <c r="B271" s="57"/>
      <c r="C271" s="57"/>
      <c r="D271" s="103"/>
      <c r="E271" s="125"/>
      <c r="F271" s="125"/>
      <c r="G271" s="57"/>
      <c r="H271" s="57"/>
      <c r="I271" s="57"/>
      <c r="J271" s="57"/>
      <c r="K271" s="57"/>
      <c r="L271" s="57"/>
      <c r="M271" s="57"/>
      <c r="N271" s="57"/>
      <c r="O271" s="70"/>
      <c r="P271" s="57"/>
      <c r="Q271" s="24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220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149"/>
      <c r="AP271" s="149"/>
      <c r="AQ271" s="57"/>
      <c r="AR271" s="74"/>
      <c r="AS271" s="149"/>
      <c r="AT271" s="235"/>
      <c r="AU271" s="57"/>
      <c r="AV271" s="57"/>
      <c r="AW271" s="57"/>
      <c r="AX271" s="70"/>
      <c r="AY271" s="149"/>
      <c r="AZ271" s="112"/>
      <c r="BA271" s="236"/>
      <c r="BB271" s="236"/>
      <c r="BC271" s="152"/>
      <c r="BD271" s="152"/>
      <c r="BE271" s="236"/>
      <c r="BF271" s="262"/>
      <c r="BG271" s="262"/>
    </row>
    <row r="272" spans="1:59" ht="12.75" customHeight="1" x14ac:dyDescent="0.15">
      <c r="A272" s="57"/>
      <c r="B272" s="57"/>
      <c r="C272" s="57"/>
      <c r="D272" s="103"/>
      <c r="E272" s="125"/>
      <c r="F272" s="125"/>
      <c r="G272" s="57"/>
      <c r="H272" s="57"/>
      <c r="I272" s="57"/>
      <c r="J272" s="57"/>
      <c r="K272" s="57"/>
      <c r="L272" s="57"/>
      <c r="M272" s="57"/>
      <c r="N272" s="57"/>
      <c r="O272" s="70"/>
      <c r="P272" s="57"/>
      <c r="Q272" s="24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220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149"/>
      <c r="AP272" s="149"/>
      <c r="AQ272" s="57"/>
      <c r="AR272" s="74"/>
      <c r="AS272" s="149"/>
      <c r="AT272" s="235"/>
      <c r="AU272" s="57"/>
      <c r="AV272" s="57"/>
      <c r="AW272" s="57"/>
      <c r="AX272" s="70"/>
      <c r="AY272" s="149"/>
      <c r="AZ272" s="112"/>
      <c r="BA272" s="236"/>
      <c r="BB272" s="236"/>
      <c r="BC272" s="152"/>
      <c r="BD272" s="152"/>
      <c r="BE272" s="236"/>
      <c r="BF272" s="262"/>
      <c r="BG272" s="262"/>
    </row>
    <row r="273" spans="1:59" ht="12.75" customHeight="1" x14ac:dyDescent="0.15">
      <c r="A273" s="57"/>
      <c r="B273" s="57"/>
      <c r="C273" s="57"/>
      <c r="D273" s="103"/>
      <c r="E273" s="125"/>
      <c r="F273" s="125"/>
      <c r="G273" s="57"/>
      <c r="H273" s="57"/>
      <c r="I273" s="57"/>
      <c r="J273" s="57"/>
      <c r="K273" s="57"/>
      <c r="L273" s="57"/>
      <c r="M273" s="57"/>
      <c r="N273" s="57"/>
      <c r="O273" s="70"/>
      <c r="P273" s="57"/>
      <c r="Q273" s="24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220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149"/>
      <c r="AP273" s="149"/>
      <c r="AQ273" s="57"/>
      <c r="AR273" s="74"/>
      <c r="AS273" s="149"/>
      <c r="AT273" s="235"/>
      <c r="AU273" s="57"/>
      <c r="AV273" s="57"/>
      <c r="AW273" s="57"/>
      <c r="AX273" s="70"/>
      <c r="AY273" s="149"/>
      <c r="AZ273" s="112"/>
      <c r="BA273" s="236"/>
      <c r="BB273" s="236"/>
      <c r="BC273" s="152"/>
      <c r="BD273" s="152"/>
      <c r="BE273" s="236"/>
      <c r="BF273" s="262"/>
      <c r="BG273" s="262"/>
    </row>
    <row r="274" spans="1:59" ht="12.75" customHeight="1" x14ac:dyDescent="0.15">
      <c r="A274" s="57"/>
      <c r="B274" s="57"/>
      <c r="C274" s="57"/>
      <c r="D274" s="103"/>
      <c r="E274" s="125"/>
      <c r="F274" s="125"/>
      <c r="G274" s="57"/>
      <c r="H274" s="57"/>
      <c r="I274" s="57"/>
      <c r="J274" s="57"/>
      <c r="K274" s="57"/>
      <c r="L274" s="57"/>
      <c r="M274" s="57"/>
      <c r="N274" s="57"/>
      <c r="O274" s="70"/>
      <c r="P274" s="57"/>
      <c r="Q274" s="24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220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149"/>
      <c r="AP274" s="149"/>
      <c r="AQ274" s="57"/>
      <c r="AR274" s="74"/>
      <c r="AS274" s="149"/>
      <c r="AT274" s="235"/>
      <c r="AU274" s="57"/>
      <c r="AV274" s="57"/>
      <c r="AW274" s="57"/>
      <c r="AX274" s="70"/>
      <c r="AY274" s="149"/>
      <c r="AZ274" s="112"/>
      <c r="BA274" s="236"/>
      <c r="BB274" s="236"/>
      <c r="BC274" s="152"/>
      <c r="BD274" s="152"/>
      <c r="BE274" s="236"/>
      <c r="BF274" s="262"/>
      <c r="BG274" s="262"/>
    </row>
    <row r="275" spans="1:59" ht="12.75" customHeight="1" x14ac:dyDescent="0.15">
      <c r="A275" s="57"/>
      <c r="B275" s="57"/>
      <c r="C275" s="57"/>
      <c r="D275" s="103"/>
      <c r="E275" s="125"/>
      <c r="F275" s="125"/>
      <c r="G275" s="57"/>
      <c r="H275" s="57"/>
      <c r="I275" s="57"/>
      <c r="J275" s="57"/>
      <c r="K275" s="57"/>
      <c r="L275" s="57"/>
      <c r="M275" s="57"/>
      <c r="N275" s="57"/>
      <c r="O275" s="70"/>
      <c r="P275" s="57"/>
      <c r="Q275" s="24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220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149"/>
      <c r="AP275" s="149"/>
      <c r="AQ275" s="57"/>
      <c r="AR275" s="74"/>
      <c r="AS275" s="149"/>
      <c r="AT275" s="235"/>
      <c r="AU275" s="57"/>
      <c r="AV275" s="57"/>
      <c r="AW275" s="57"/>
      <c r="AX275" s="70"/>
      <c r="AY275" s="149"/>
      <c r="AZ275" s="112"/>
      <c r="BA275" s="236"/>
      <c r="BB275" s="236"/>
      <c r="BC275" s="152"/>
      <c r="BD275" s="152"/>
      <c r="BE275" s="236"/>
      <c r="BF275" s="262"/>
      <c r="BG275" s="262"/>
    </row>
    <row r="276" spans="1:59" ht="12.75" customHeight="1" x14ac:dyDescent="0.15">
      <c r="A276" s="57"/>
      <c r="B276" s="57"/>
      <c r="C276" s="57"/>
      <c r="D276" s="103"/>
      <c r="E276" s="125"/>
      <c r="F276" s="125"/>
      <c r="G276" s="57"/>
      <c r="H276" s="57"/>
      <c r="I276" s="57"/>
      <c r="J276" s="57"/>
      <c r="K276" s="57"/>
      <c r="L276" s="57"/>
      <c r="M276" s="57"/>
      <c r="N276" s="57"/>
      <c r="O276" s="70"/>
      <c r="P276" s="57"/>
      <c r="Q276" s="24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220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149"/>
      <c r="AP276" s="149"/>
      <c r="AQ276" s="57"/>
      <c r="AR276" s="74"/>
      <c r="AS276" s="149"/>
      <c r="AT276" s="235"/>
      <c r="AU276" s="57"/>
      <c r="AV276" s="57"/>
      <c r="AW276" s="57"/>
      <c r="AX276" s="70"/>
      <c r="AY276" s="149"/>
      <c r="AZ276" s="112"/>
      <c r="BA276" s="236"/>
      <c r="BB276" s="236"/>
      <c r="BC276" s="152"/>
      <c r="BD276" s="152"/>
      <c r="BE276" s="236"/>
      <c r="BF276" s="262"/>
      <c r="BG276" s="262"/>
    </row>
    <row r="277" spans="1:59" ht="12.75" customHeight="1" x14ac:dyDescent="0.15">
      <c r="A277" s="57"/>
      <c r="B277" s="57"/>
      <c r="C277" s="57"/>
      <c r="D277" s="103"/>
      <c r="E277" s="125"/>
      <c r="F277" s="125"/>
      <c r="G277" s="57"/>
      <c r="H277" s="57"/>
      <c r="I277" s="57"/>
      <c r="J277" s="57"/>
      <c r="K277" s="57"/>
      <c r="L277" s="57"/>
      <c r="M277" s="57"/>
      <c r="N277" s="57"/>
      <c r="O277" s="70"/>
      <c r="P277" s="57"/>
      <c r="Q277" s="24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220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149"/>
      <c r="AP277" s="149"/>
      <c r="AQ277" s="57"/>
      <c r="AR277" s="74"/>
      <c r="AS277" s="149"/>
      <c r="AT277" s="235"/>
      <c r="AU277" s="57"/>
      <c r="AV277" s="57"/>
      <c r="AW277" s="57"/>
      <c r="AX277" s="70"/>
      <c r="AY277" s="149"/>
      <c r="AZ277" s="112"/>
      <c r="BA277" s="236"/>
      <c r="BB277" s="236"/>
      <c r="BC277" s="152"/>
      <c r="BD277" s="152"/>
      <c r="BE277" s="236"/>
      <c r="BF277" s="262"/>
      <c r="BG277" s="262"/>
    </row>
    <row r="278" spans="1:59" ht="12.75" customHeight="1" x14ac:dyDescent="0.15">
      <c r="A278" s="57"/>
      <c r="B278" s="57"/>
      <c r="C278" s="57"/>
      <c r="D278" s="103"/>
      <c r="E278" s="125"/>
      <c r="F278" s="125"/>
      <c r="G278" s="57"/>
      <c r="H278" s="57"/>
      <c r="I278" s="57"/>
      <c r="J278" s="57"/>
      <c r="K278" s="57"/>
      <c r="L278" s="57"/>
      <c r="M278" s="57"/>
      <c r="N278" s="57"/>
      <c r="O278" s="70"/>
      <c r="P278" s="57"/>
      <c r="Q278" s="24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220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149"/>
      <c r="AP278" s="149"/>
      <c r="AQ278" s="57"/>
      <c r="AR278" s="74"/>
      <c r="AS278" s="149"/>
      <c r="AT278" s="235"/>
      <c r="AU278" s="57"/>
      <c r="AV278" s="57"/>
      <c r="AW278" s="57"/>
      <c r="AX278" s="70"/>
      <c r="AY278" s="149"/>
      <c r="AZ278" s="112"/>
      <c r="BA278" s="236"/>
      <c r="BB278" s="236"/>
      <c r="BC278" s="152"/>
      <c r="BD278" s="152"/>
      <c r="BE278" s="236"/>
      <c r="BF278" s="262"/>
      <c r="BG278" s="262"/>
    </row>
    <row r="279" spans="1:59" ht="12.75" customHeight="1" x14ac:dyDescent="0.15">
      <c r="A279" s="57"/>
      <c r="B279" s="57"/>
      <c r="C279" s="57"/>
      <c r="D279" s="103"/>
      <c r="E279" s="125"/>
      <c r="F279" s="125"/>
      <c r="G279" s="57"/>
      <c r="H279" s="57"/>
      <c r="I279" s="57"/>
      <c r="J279" s="57"/>
      <c r="K279" s="57"/>
      <c r="L279" s="57"/>
      <c r="M279" s="57"/>
      <c r="N279" s="57"/>
      <c r="O279" s="70"/>
      <c r="P279" s="57"/>
      <c r="Q279" s="24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220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149"/>
      <c r="AP279" s="149"/>
      <c r="AQ279" s="57"/>
      <c r="AR279" s="74"/>
      <c r="AS279" s="149"/>
      <c r="AT279" s="235"/>
      <c r="AU279" s="57"/>
      <c r="AV279" s="57"/>
      <c r="AW279" s="57"/>
      <c r="AX279" s="70"/>
      <c r="AY279" s="149"/>
      <c r="AZ279" s="112"/>
      <c r="BA279" s="236"/>
      <c r="BB279" s="236"/>
      <c r="BC279" s="152"/>
      <c r="BD279" s="152"/>
      <c r="BE279" s="236"/>
      <c r="BF279" s="262"/>
      <c r="BG279" s="262"/>
    </row>
    <row r="280" spans="1:59" ht="12.75" customHeight="1" x14ac:dyDescent="0.15">
      <c r="A280" s="57"/>
      <c r="B280" s="57"/>
      <c r="C280" s="57"/>
      <c r="D280" s="103"/>
      <c r="E280" s="125"/>
      <c r="F280" s="125"/>
      <c r="G280" s="57"/>
      <c r="H280" s="57"/>
      <c r="I280" s="57"/>
      <c r="J280" s="57"/>
      <c r="K280" s="57"/>
      <c r="L280" s="57"/>
      <c r="M280" s="57"/>
      <c r="N280" s="57"/>
      <c r="O280" s="70"/>
      <c r="P280" s="57"/>
      <c r="Q280" s="24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220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149"/>
      <c r="AP280" s="149"/>
      <c r="AQ280" s="57"/>
      <c r="AR280" s="74"/>
      <c r="AS280" s="149"/>
      <c r="AT280" s="235"/>
      <c r="AU280" s="57"/>
      <c r="AV280" s="57"/>
      <c r="AW280" s="57"/>
      <c r="AX280" s="70"/>
      <c r="AY280" s="149"/>
      <c r="AZ280" s="112"/>
      <c r="BA280" s="236"/>
      <c r="BB280" s="236"/>
      <c r="BC280" s="152"/>
      <c r="BD280" s="152"/>
      <c r="BE280" s="236"/>
      <c r="BF280" s="262"/>
      <c r="BG280" s="262"/>
    </row>
    <row r="281" spans="1:59" ht="12.75" customHeight="1" x14ac:dyDescent="0.15">
      <c r="A281" s="57"/>
      <c r="B281" s="57"/>
      <c r="C281" s="57"/>
      <c r="D281" s="103"/>
      <c r="E281" s="125"/>
      <c r="F281" s="125"/>
      <c r="G281" s="57"/>
      <c r="H281" s="57"/>
      <c r="I281" s="57"/>
      <c r="J281" s="57"/>
      <c r="K281" s="57"/>
      <c r="L281" s="57"/>
      <c r="M281" s="57"/>
      <c r="N281" s="57"/>
      <c r="O281" s="70"/>
      <c r="P281" s="57"/>
      <c r="Q281" s="24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220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149"/>
      <c r="AP281" s="149"/>
      <c r="AQ281" s="57"/>
      <c r="AR281" s="74"/>
      <c r="AS281" s="149"/>
      <c r="AT281" s="235"/>
      <c r="AU281" s="57"/>
      <c r="AV281" s="57"/>
      <c r="AW281" s="57"/>
      <c r="AX281" s="70"/>
      <c r="AY281" s="149"/>
      <c r="AZ281" s="112"/>
      <c r="BA281" s="236"/>
      <c r="BB281" s="236"/>
      <c r="BC281" s="152"/>
      <c r="BD281" s="152"/>
      <c r="BE281" s="236"/>
      <c r="BF281" s="262"/>
      <c r="BG281" s="262"/>
    </row>
    <row r="282" spans="1:59" ht="12.75" customHeight="1" x14ac:dyDescent="0.15">
      <c r="A282" s="57"/>
      <c r="B282" s="57"/>
      <c r="C282" s="57"/>
      <c r="D282" s="103"/>
      <c r="E282" s="125"/>
      <c r="F282" s="125"/>
      <c r="G282" s="57"/>
      <c r="H282" s="57"/>
      <c r="I282" s="57"/>
      <c r="J282" s="57"/>
      <c r="K282" s="57"/>
      <c r="L282" s="57"/>
      <c r="M282" s="57"/>
      <c r="N282" s="57"/>
      <c r="O282" s="70"/>
      <c r="P282" s="57"/>
      <c r="Q282" s="24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220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149"/>
      <c r="AP282" s="149"/>
      <c r="AQ282" s="57"/>
      <c r="AR282" s="74"/>
      <c r="AS282" s="149"/>
      <c r="AT282" s="235"/>
      <c r="AU282" s="57"/>
      <c r="AV282" s="57"/>
      <c r="AW282" s="57"/>
      <c r="AX282" s="70"/>
      <c r="AY282" s="149"/>
      <c r="AZ282" s="112"/>
      <c r="BA282" s="236"/>
      <c r="BB282" s="236"/>
      <c r="BC282" s="152"/>
      <c r="BD282" s="152"/>
      <c r="BE282" s="236"/>
      <c r="BF282" s="262"/>
      <c r="BG282" s="262"/>
    </row>
    <row r="283" spans="1:59" ht="12.75" customHeight="1" x14ac:dyDescent="0.15">
      <c r="A283" s="57"/>
      <c r="B283" s="57"/>
      <c r="C283" s="57"/>
      <c r="D283" s="103"/>
      <c r="E283" s="125"/>
      <c r="F283" s="125"/>
      <c r="G283" s="57"/>
      <c r="H283" s="57"/>
      <c r="I283" s="57"/>
      <c r="J283" s="57"/>
      <c r="K283" s="57"/>
      <c r="L283" s="57"/>
      <c r="M283" s="57"/>
      <c r="N283" s="57"/>
      <c r="O283" s="70"/>
      <c r="P283" s="57"/>
      <c r="Q283" s="24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220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149"/>
      <c r="AP283" s="149"/>
      <c r="AQ283" s="57"/>
      <c r="AR283" s="74"/>
      <c r="AS283" s="149"/>
      <c r="AT283" s="235"/>
      <c r="AU283" s="57"/>
      <c r="AV283" s="57"/>
      <c r="AW283" s="57"/>
      <c r="AX283" s="70"/>
      <c r="AY283" s="149"/>
      <c r="AZ283" s="112"/>
      <c r="BA283" s="236"/>
      <c r="BB283" s="236"/>
      <c r="BC283" s="152"/>
      <c r="BD283" s="152"/>
      <c r="BE283" s="236"/>
      <c r="BF283" s="262"/>
      <c r="BG283" s="262"/>
    </row>
    <row r="284" spans="1:59" ht="12.75" customHeight="1" x14ac:dyDescent="0.15">
      <c r="A284" s="57"/>
      <c r="B284" s="57"/>
      <c r="C284" s="57"/>
      <c r="D284" s="103"/>
      <c r="E284" s="125"/>
      <c r="F284" s="125"/>
      <c r="G284" s="57"/>
      <c r="H284" s="57"/>
      <c r="I284" s="57"/>
      <c r="J284" s="57"/>
      <c r="K284" s="57"/>
      <c r="L284" s="57"/>
      <c r="M284" s="57"/>
      <c r="N284" s="57"/>
      <c r="O284" s="70"/>
      <c r="P284" s="57"/>
      <c r="Q284" s="24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220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149"/>
      <c r="AP284" s="149"/>
      <c r="AQ284" s="57"/>
      <c r="AR284" s="74"/>
      <c r="AS284" s="149"/>
      <c r="AT284" s="235"/>
      <c r="AU284" s="57"/>
      <c r="AV284" s="57"/>
      <c r="AW284" s="57"/>
      <c r="AX284" s="70"/>
      <c r="AY284" s="149"/>
      <c r="AZ284" s="112"/>
      <c r="BA284" s="236"/>
      <c r="BB284" s="236"/>
      <c r="BC284" s="152"/>
      <c r="BD284" s="152"/>
      <c r="BE284" s="236"/>
      <c r="BF284" s="262"/>
      <c r="BG284" s="262"/>
    </row>
    <row r="285" spans="1:59" ht="12.75" customHeight="1" x14ac:dyDescent="0.15">
      <c r="A285" s="57"/>
      <c r="B285" s="57"/>
      <c r="C285" s="57"/>
      <c r="D285" s="103"/>
      <c r="E285" s="125"/>
      <c r="F285" s="125"/>
      <c r="G285" s="57"/>
      <c r="H285" s="57"/>
      <c r="I285" s="57"/>
      <c r="J285" s="57"/>
      <c r="K285" s="57"/>
      <c r="L285" s="57"/>
      <c r="M285" s="57"/>
      <c r="N285" s="57"/>
      <c r="O285" s="70"/>
      <c r="P285" s="57"/>
      <c r="Q285" s="24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220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149"/>
      <c r="AP285" s="149"/>
      <c r="AQ285" s="57"/>
      <c r="AR285" s="74"/>
      <c r="AS285" s="149"/>
      <c r="AT285" s="235"/>
      <c r="AU285" s="57"/>
      <c r="AV285" s="57"/>
      <c r="AW285" s="57"/>
      <c r="AX285" s="70"/>
      <c r="AY285" s="149"/>
      <c r="AZ285" s="112"/>
      <c r="BA285" s="236"/>
      <c r="BB285" s="236"/>
      <c r="BC285" s="152"/>
      <c r="BD285" s="152"/>
      <c r="BE285" s="236"/>
      <c r="BF285" s="262"/>
      <c r="BG285" s="262"/>
    </row>
    <row r="286" spans="1:59" ht="12.75" customHeight="1" x14ac:dyDescent="0.15">
      <c r="A286" s="57"/>
      <c r="B286" s="57"/>
      <c r="C286" s="57"/>
      <c r="D286" s="103"/>
      <c r="E286" s="125"/>
      <c r="F286" s="125"/>
      <c r="G286" s="57"/>
      <c r="H286" s="57"/>
      <c r="I286" s="57"/>
      <c r="J286" s="57"/>
      <c r="K286" s="57"/>
      <c r="L286" s="57"/>
      <c r="M286" s="57"/>
      <c r="N286" s="57"/>
      <c r="O286" s="70"/>
      <c r="P286" s="57"/>
      <c r="Q286" s="24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220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149"/>
      <c r="AP286" s="149"/>
      <c r="AQ286" s="57"/>
      <c r="AR286" s="74"/>
      <c r="AS286" s="149"/>
      <c r="AT286" s="235"/>
      <c r="AU286" s="57"/>
      <c r="AV286" s="57"/>
      <c r="AW286" s="57"/>
      <c r="AX286" s="70"/>
      <c r="AY286" s="149"/>
      <c r="AZ286" s="112"/>
      <c r="BA286" s="236"/>
      <c r="BB286" s="236"/>
      <c r="BC286" s="152"/>
      <c r="BD286" s="152"/>
      <c r="BE286" s="236"/>
      <c r="BF286" s="262"/>
      <c r="BG286" s="262"/>
    </row>
    <row r="287" spans="1:59" ht="12.75" customHeight="1" x14ac:dyDescent="0.15">
      <c r="A287" s="57"/>
      <c r="B287" s="57"/>
      <c r="C287" s="57"/>
      <c r="D287" s="103"/>
      <c r="E287" s="125"/>
      <c r="F287" s="125"/>
      <c r="G287" s="57"/>
      <c r="H287" s="57"/>
      <c r="I287" s="57"/>
      <c r="J287" s="57"/>
      <c r="K287" s="57"/>
      <c r="L287" s="57"/>
      <c r="M287" s="57"/>
      <c r="N287" s="57"/>
      <c r="O287" s="70"/>
      <c r="P287" s="57"/>
      <c r="Q287" s="24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220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149"/>
      <c r="AP287" s="149"/>
      <c r="AQ287" s="57"/>
      <c r="AR287" s="74"/>
      <c r="AS287" s="149"/>
      <c r="AT287" s="235"/>
      <c r="AU287" s="57"/>
      <c r="AV287" s="57"/>
      <c r="AW287" s="57"/>
      <c r="AX287" s="70"/>
      <c r="AY287" s="149"/>
      <c r="AZ287" s="112"/>
      <c r="BA287" s="236"/>
      <c r="BB287" s="236"/>
      <c r="BC287" s="152"/>
      <c r="BD287" s="152"/>
      <c r="BE287" s="236"/>
      <c r="BF287" s="262"/>
      <c r="BG287" s="262"/>
    </row>
    <row r="288" spans="1:59" ht="12.75" customHeight="1" x14ac:dyDescent="0.15">
      <c r="A288" s="57"/>
      <c r="B288" s="57"/>
      <c r="C288" s="57"/>
      <c r="D288" s="103"/>
      <c r="E288" s="125"/>
      <c r="F288" s="125"/>
      <c r="G288" s="57"/>
      <c r="H288" s="57"/>
      <c r="I288" s="57"/>
      <c r="J288" s="57"/>
      <c r="K288" s="57"/>
      <c r="L288" s="57"/>
      <c r="M288" s="57"/>
      <c r="N288" s="57"/>
      <c r="O288" s="70"/>
      <c r="P288" s="57"/>
      <c r="Q288" s="24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220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149"/>
      <c r="AP288" s="149"/>
      <c r="AQ288" s="57"/>
      <c r="AR288" s="74"/>
      <c r="AS288" s="149"/>
      <c r="AT288" s="235"/>
      <c r="AU288" s="57"/>
      <c r="AV288" s="57"/>
      <c r="AW288" s="57"/>
      <c r="AX288" s="70"/>
      <c r="AY288" s="149"/>
      <c r="AZ288" s="112"/>
      <c r="BA288" s="236"/>
      <c r="BB288" s="236"/>
      <c r="BC288" s="152"/>
      <c r="BD288" s="152"/>
      <c r="BE288" s="236"/>
      <c r="BF288" s="262"/>
      <c r="BG288" s="262"/>
    </row>
    <row r="289" spans="1:59" ht="12.75" customHeight="1" x14ac:dyDescent="0.15">
      <c r="A289" s="57"/>
      <c r="B289" s="57"/>
      <c r="C289" s="57"/>
      <c r="D289" s="103"/>
      <c r="E289" s="125"/>
      <c r="F289" s="125"/>
      <c r="G289" s="57"/>
      <c r="H289" s="57"/>
      <c r="I289" s="57"/>
      <c r="J289" s="57"/>
      <c r="K289" s="57"/>
      <c r="L289" s="57"/>
      <c r="M289" s="57"/>
      <c r="N289" s="57"/>
      <c r="O289" s="70"/>
      <c r="P289" s="57"/>
      <c r="Q289" s="24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220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149"/>
      <c r="AP289" s="149"/>
      <c r="AQ289" s="57"/>
      <c r="AR289" s="74"/>
      <c r="AS289" s="149"/>
      <c r="AT289" s="235"/>
      <c r="AU289" s="57"/>
      <c r="AV289" s="57"/>
      <c r="AW289" s="57"/>
      <c r="AX289" s="70"/>
      <c r="AY289" s="149"/>
      <c r="AZ289" s="112"/>
      <c r="BA289" s="236"/>
      <c r="BB289" s="236"/>
      <c r="BC289" s="152"/>
      <c r="BD289" s="152"/>
      <c r="BE289" s="236"/>
      <c r="BF289" s="262"/>
      <c r="BG289" s="262"/>
    </row>
    <row r="290" spans="1:59" ht="12.75" customHeight="1" x14ac:dyDescent="0.15">
      <c r="A290" s="57"/>
      <c r="B290" s="57"/>
      <c r="C290" s="57"/>
      <c r="D290" s="103"/>
      <c r="E290" s="125"/>
      <c r="F290" s="125"/>
      <c r="G290" s="57"/>
      <c r="H290" s="57"/>
      <c r="I290" s="57"/>
      <c r="J290" s="57"/>
      <c r="K290" s="57"/>
      <c r="L290" s="57"/>
      <c r="M290" s="57"/>
      <c r="N290" s="57"/>
      <c r="O290" s="70"/>
      <c r="P290" s="57"/>
      <c r="Q290" s="24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220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149"/>
      <c r="AP290" s="149"/>
      <c r="AQ290" s="57"/>
      <c r="AR290" s="74"/>
      <c r="AS290" s="149"/>
      <c r="AT290" s="235"/>
      <c r="AU290" s="57"/>
      <c r="AV290" s="57"/>
      <c r="AW290" s="57"/>
      <c r="AX290" s="70"/>
      <c r="AY290" s="149"/>
      <c r="AZ290" s="112"/>
      <c r="BA290" s="236"/>
      <c r="BB290" s="236"/>
      <c r="BC290" s="152"/>
      <c r="BD290" s="152"/>
      <c r="BE290" s="236"/>
      <c r="BF290" s="262"/>
      <c r="BG290" s="262"/>
    </row>
    <row r="291" spans="1:59" ht="12.75" customHeight="1" x14ac:dyDescent="0.15">
      <c r="A291" s="57"/>
      <c r="B291" s="57"/>
      <c r="C291" s="57"/>
      <c r="D291" s="103"/>
      <c r="E291" s="125"/>
      <c r="F291" s="125"/>
      <c r="G291" s="57"/>
      <c r="H291" s="57"/>
      <c r="I291" s="57"/>
      <c r="J291" s="57"/>
      <c r="K291" s="57"/>
      <c r="L291" s="57"/>
      <c r="M291" s="57"/>
      <c r="N291" s="57"/>
      <c r="O291" s="70"/>
      <c r="P291" s="57"/>
      <c r="Q291" s="24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220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149"/>
      <c r="AP291" s="149"/>
      <c r="AQ291" s="57"/>
      <c r="AR291" s="74"/>
      <c r="AS291" s="149"/>
      <c r="AT291" s="235"/>
      <c r="AU291" s="57"/>
      <c r="AV291" s="57"/>
      <c r="AW291" s="57"/>
      <c r="AX291" s="70"/>
      <c r="AY291" s="149"/>
      <c r="AZ291" s="112"/>
      <c r="BA291" s="236"/>
      <c r="BB291" s="236"/>
      <c r="BC291" s="152"/>
      <c r="BD291" s="152"/>
      <c r="BE291" s="236"/>
      <c r="BF291" s="262"/>
      <c r="BG291" s="262"/>
    </row>
    <row r="292" spans="1:59" ht="12.75" customHeight="1" x14ac:dyDescent="0.15">
      <c r="A292" s="57"/>
      <c r="B292" s="57"/>
      <c r="C292" s="57"/>
      <c r="D292" s="103"/>
      <c r="E292" s="125"/>
      <c r="F292" s="125"/>
      <c r="G292" s="57"/>
      <c r="H292" s="57"/>
      <c r="I292" s="57"/>
      <c r="J292" s="57"/>
      <c r="K292" s="57"/>
      <c r="L292" s="57"/>
      <c r="M292" s="57"/>
      <c r="N292" s="57"/>
      <c r="O292" s="70"/>
      <c r="P292" s="57"/>
      <c r="Q292" s="24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220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149"/>
      <c r="AP292" s="149"/>
      <c r="AQ292" s="57"/>
      <c r="AR292" s="74"/>
      <c r="AS292" s="149"/>
      <c r="AT292" s="235"/>
      <c r="AU292" s="57"/>
      <c r="AV292" s="57"/>
      <c r="AW292" s="57"/>
      <c r="AX292" s="70"/>
      <c r="AY292" s="149"/>
      <c r="AZ292" s="112"/>
      <c r="BA292" s="236"/>
      <c r="BB292" s="236"/>
      <c r="BC292" s="152"/>
      <c r="BD292" s="152"/>
      <c r="BE292" s="236"/>
      <c r="BF292" s="262"/>
      <c r="BG292" s="262"/>
    </row>
    <row r="293" spans="1:59" ht="12.75" customHeight="1" x14ac:dyDescent="0.15">
      <c r="A293" s="57"/>
      <c r="B293" s="57"/>
      <c r="C293" s="57"/>
      <c r="D293" s="103"/>
      <c r="E293" s="125"/>
      <c r="F293" s="125"/>
      <c r="G293" s="57"/>
      <c r="H293" s="57"/>
      <c r="I293" s="57"/>
      <c r="J293" s="57"/>
      <c r="K293" s="57"/>
      <c r="L293" s="57"/>
      <c r="M293" s="57"/>
      <c r="N293" s="57"/>
      <c r="O293" s="70"/>
      <c r="P293" s="57"/>
      <c r="Q293" s="24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220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149"/>
      <c r="AP293" s="149"/>
      <c r="AQ293" s="57"/>
      <c r="AR293" s="74"/>
      <c r="AS293" s="149"/>
      <c r="AT293" s="235"/>
      <c r="AU293" s="57"/>
      <c r="AV293" s="57"/>
      <c r="AW293" s="57"/>
      <c r="AX293" s="70"/>
      <c r="AY293" s="149"/>
      <c r="AZ293" s="112"/>
      <c r="BA293" s="236"/>
      <c r="BB293" s="236"/>
      <c r="BC293" s="152"/>
      <c r="BD293" s="152"/>
      <c r="BE293" s="236"/>
      <c r="BF293" s="262"/>
      <c r="BG293" s="262"/>
    </row>
    <row r="294" spans="1:59" ht="12.75" customHeight="1" x14ac:dyDescent="0.15">
      <c r="A294" s="57"/>
      <c r="B294" s="57"/>
      <c r="C294" s="57"/>
      <c r="D294" s="103"/>
      <c r="E294" s="125"/>
      <c r="F294" s="125"/>
      <c r="G294" s="57"/>
      <c r="H294" s="57"/>
      <c r="I294" s="57"/>
      <c r="J294" s="57"/>
      <c r="K294" s="57"/>
      <c r="L294" s="57"/>
      <c r="M294" s="57"/>
      <c r="N294" s="57"/>
      <c r="O294" s="70"/>
      <c r="P294" s="57"/>
      <c r="Q294" s="24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220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149"/>
      <c r="AP294" s="149"/>
      <c r="AQ294" s="57"/>
      <c r="AR294" s="74"/>
      <c r="AS294" s="149"/>
      <c r="AT294" s="235"/>
      <c r="AU294" s="57"/>
      <c r="AV294" s="57"/>
      <c r="AW294" s="57"/>
      <c r="AX294" s="70"/>
      <c r="AY294" s="149"/>
      <c r="AZ294" s="112"/>
      <c r="BA294" s="236"/>
      <c r="BB294" s="236"/>
      <c r="BC294" s="152"/>
      <c r="BD294" s="152"/>
      <c r="BE294" s="236"/>
      <c r="BF294" s="262"/>
      <c r="BG294" s="262"/>
    </row>
    <row r="295" spans="1:59" ht="12.75" customHeight="1" x14ac:dyDescent="0.15">
      <c r="A295" s="57"/>
      <c r="B295" s="57"/>
      <c r="C295" s="57"/>
      <c r="D295" s="103"/>
      <c r="E295" s="125"/>
      <c r="F295" s="125"/>
      <c r="G295" s="57"/>
      <c r="H295" s="57"/>
      <c r="I295" s="57"/>
      <c r="J295" s="57"/>
      <c r="K295" s="57"/>
      <c r="L295" s="57"/>
      <c r="M295" s="57"/>
      <c r="N295" s="57"/>
      <c r="O295" s="70"/>
      <c r="P295" s="57"/>
      <c r="Q295" s="24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220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149"/>
      <c r="AP295" s="149"/>
      <c r="AQ295" s="57"/>
      <c r="AR295" s="74"/>
      <c r="AS295" s="149"/>
      <c r="AT295" s="235"/>
      <c r="AU295" s="57"/>
      <c r="AV295" s="57"/>
      <c r="AW295" s="57"/>
      <c r="AX295" s="70"/>
      <c r="AY295" s="149"/>
      <c r="AZ295" s="112"/>
      <c r="BA295" s="236"/>
      <c r="BB295" s="236"/>
      <c r="BC295" s="152"/>
      <c r="BD295" s="152"/>
      <c r="BE295" s="236"/>
      <c r="BF295" s="262"/>
      <c r="BG295" s="262"/>
    </row>
    <row r="296" spans="1:59" ht="12.75" customHeight="1" x14ac:dyDescent="0.15">
      <c r="A296" s="57"/>
      <c r="B296" s="57"/>
      <c r="C296" s="57"/>
      <c r="D296" s="103"/>
      <c r="E296" s="125"/>
      <c r="F296" s="125"/>
      <c r="G296" s="57"/>
      <c r="H296" s="57"/>
      <c r="I296" s="57"/>
      <c r="J296" s="57"/>
      <c r="K296" s="57"/>
      <c r="L296" s="57"/>
      <c r="M296" s="57"/>
      <c r="N296" s="57"/>
      <c r="O296" s="70"/>
      <c r="P296" s="57"/>
      <c r="Q296" s="24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220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149"/>
      <c r="AP296" s="149"/>
      <c r="AQ296" s="57"/>
      <c r="AR296" s="74"/>
      <c r="AS296" s="149"/>
      <c r="AT296" s="235"/>
      <c r="AU296" s="57"/>
      <c r="AV296" s="57"/>
      <c r="AW296" s="57"/>
      <c r="AX296" s="70"/>
      <c r="AY296" s="149"/>
      <c r="AZ296" s="112"/>
      <c r="BA296" s="236"/>
      <c r="BB296" s="236"/>
      <c r="BC296" s="152"/>
      <c r="BD296" s="152"/>
      <c r="BE296" s="236"/>
      <c r="BF296" s="262"/>
      <c r="BG296" s="262"/>
    </row>
    <row r="297" spans="1:59" ht="12.75" customHeight="1" x14ac:dyDescent="0.15">
      <c r="A297" s="57"/>
      <c r="B297" s="57"/>
      <c r="C297" s="57"/>
      <c r="D297" s="103"/>
      <c r="E297" s="125"/>
      <c r="F297" s="125"/>
      <c r="G297" s="57"/>
      <c r="H297" s="57"/>
      <c r="I297" s="57"/>
      <c r="J297" s="57"/>
      <c r="K297" s="57"/>
      <c r="L297" s="57"/>
      <c r="M297" s="57"/>
      <c r="N297" s="57"/>
      <c r="O297" s="70"/>
      <c r="P297" s="57"/>
      <c r="Q297" s="24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220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149"/>
      <c r="AP297" s="149"/>
      <c r="AQ297" s="57"/>
      <c r="AR297" s="74"/>
      <c r="AS297" s="149"/>
      <c r="AT297" s="235"/>
      <c r="AU297" s="57"/>
      <c r="AV297" s="57"/>
      <c r="AW297" s="57"/>
      <c r="AX297" s="70"/>
      <c r="AY297" s="149"/>
      <c r="AZ297" s="112"/>
      <c r="BA297" s="236"/>
      <c r="BB297" s="236"/>
      <c r="BC297" s="152"/>
      <c r="BD297" s="152"/>
      <c r="BE297" s="236"/>
      <c r="BF297" s="262"/>
      <c r="BG297" s="262"/>
    </row>
    <row r="298" spans="1:59" ht="12.75" customHeight="1" x14ac:dyDescent="0.15">
      <c r="A298" s="57"/>
      <c r="B298" s="57"/>
      <c r="C298" s="57"/>
      <c r="D298" s="103"/>
      <c r="E298" s="125"/>
      <c r="F298" s="125"/>
      <c r="G298" s="57"/>
      <c r="H298" s="57"/>
      <c r="I298" s="57"/>
      <c r="J298" s="57"/>
      <c r="K298" s="57"/>
      <c r="L298" s="57"/>
      <c r="M298" s="57"/>
      <c r="N298" s="57"/>
      <c r="O298" s="70"/>
      <c r="P298" s="57"/>
      <c r="Q298" s="24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220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149"/>
      <c r="AP298" s="149"/>
      <c r="AQ298" s="57"/>
      <c r="AR298" s="74"/>
      <c r="AS298" s="149"/>
      <c r="AT298" s="235"/>
      <c r="AU298" s="57"/>
      <c r="AV298" s="57"/>
      <c r="AW298" s="57"/>
      <c r="AX298" s="70"/>
      <c r="AY298" s="149"/>
      <c r="AZ298" s="112"/>
      <c r="BA298" s="236"/>
      <c r="BB298" s="236"/>
      <c r="BC298" s="152"/>
      <c r="BD298" s="152"/>
      <c r="BE298" s="236"/>
      <c r="BF298" s="262"/>
      <c r="BG298" s="262"/>
    </row>
    <row r="299" spans="1:59" ht="12.75" customHeight="1" x14ac:dyDescent="0.15">
      <c r="A299" s="57"/>
      <c r="B299" s="57"/>
      <c r="C299" s="57"/>
      <c r="D299" s="103"/>
      <c r="E299" s="125"/>
      <c r="F299" s="125"/>
      <c r="G299" s="57"/>
      <c r="H299" s="57"/>
      <c r="I299" s="57"/>
      <c r="J299" s="57"/>
      <c r="K299" s="57"/>
      <c r="L299" s="57"/>
      <c r="M299" s="57"/>
      <c r="N299" s="57"/>
      <c r="O299" s="70"/>
      <c r="P299" s="57"/>
      <c r="Q299" s="24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220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149"/>
      <c r="AP299" s="149"/>
      <c r="AQ299" s="57"/>
      <c r="AR299" s="74"/>
      <c r="AS299" s="149"/>
      <c r="AT299" s="235"/>
      <c r="AU299" s="57"/>
      <c r="AV299" s="57"/>
      <c r="AW299" s="57"/>
      <c r="AX299" s="70"/>
      <c r="AY299" s="149"/>
      <c r="AZ299" s="112"/>
      <c r="BA299" s="236"/>
      <c r="BB299" s="236"/>
      <c r="BC299" s="152"/>
      <c r="BD299" s="152"/>
      <c r="BE299" s="236"/>
      <c r="BF299" s="262"/>
      <c r="BG299" s="262"/>
    </row>
    <row r="300" spans="1:59" ht="12.75" customHeight="1" x14ac:dyDescent="0.15">
      <c r="A300" s="57"/>
      <c r="B300" s="57"/>
      <c r="C300" s="57"/>
      <c r="D300" s="103"/>
      <c r="E300" s="125"/>
      <c r="F300" s="125"/>
      <c r="G300" s="57"/>
      <c r="H300" s="57"/>
      <c r="I300" s="57"/>
      <c r="J300" s="57"/>
      <c r="K300" s="57"/>
      <c r="L300" s="57"/>
      <c r="M300" s="57"/>
      <c r="N300" s="57"/>
      <c r="O300" s="70"/>
      <c r="P300" s="57"/>
      <c r="Q300" s="24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220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149"/>
      <c r="AP300" s="149"/>
      <c r="AQ300" s="57"/>
      <c r="AR300" s="74"/>
      <c r="AS300" s="149"/>
      <c r="AT300" s="235"/>
      <c r="AU300" s="57"/>
      <c r="AV300" s="57"/>
      <c r="AW300" s="57"/>
      <c r="AX300" s="70"/>
      <c r="AY300" s="149"/>
      <c r="AZ300" s="112"/>
      <c r="BA300" s="236"/>
      <c r="BB300" s="236"/>
      <c r="BC300" s="152"/>
      <c r="BD300" s="152"/>
      <c r="BE300" s="236"/>
      <c r="BF300" s="262"/>
      <c r="BG300" s="262"/>
    </row>
    <row r="301" spans="1:59" ht="12.75" customHeight="1" x14ac:dyDescent="0.15">
      <c r="A301" s="57"/>
      <c r="B301" s="57"/>
      <c r="C301" s="57"/>
      <c r="D301" s="103"/>
      <c r="E301" s="125"/>
      <c r="F301" s="125"/>
      <c r="G301" s="57"/>
      <c r="H301" s="57"/>
      <c r="I301" s="57"/>
      <c r="J301" s="57"/>
      <c r="K301" s="57"/>
      <c r="L301" s="57"/>
      <c r="M301" s="57"/>
      <c r="N301" s="57"/>
      <c r="O301" s="70"/>
      <c r="P301" s="57"/>
      <c r="Q301" s="24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220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149"/>
      <c r="AP301" s="149"/>
      <c r="AQ301" s="57"/>
      <c r="AR301" s="74"/>
      <c r="AS301" s="149"/>
      <c r="AT301" s="235"/>
      <c r="AU301" s="57"/>
      <c r="AV301" s="57"/>
      <c r="AW301" s="57"/>
      <c r="AX301" s="70"/>
      <c r="AY301" s="149"/>
      <c r="AZ301" s="112"/>
      <c r="BA301" s="236"/>
      <c r="BB301" s="236"/>
      <c r="BC301" s="152"/>
      <c r="BD301" s="152"/>
      <c r="BE301" s="236"/>
      <c r="BF301" s="262"/>
      <c r="BG301" s="262"/>
    </row>
    <row r="302" spans="1:59" ht="12.75" customHeight="1" x14ac:dyDescent="0.15">
      <c r="A302" s="57"/>
      <c r="B302" s="57"/>
      <c r="C302" s="57"/>
      <c r="D302" s="103"/>
      <c r="E302" s="125"/>
      <c r="F302" s="125"/>
      <c r="G302" s="57"/>
      <c r="H302" s="57"/>
      <c r="I302" s="57"/>
      <c r="J302" s="57"/>
      <c r="K302" s="57"/>
      <c r="L302" s="57"/>
      <c r="M302" s="57"/>
      <c r="N302" s="57"/>
      <c r="O302" s="70"/>
      <c r="P302" s="57"/>
      <c r="Q302" s="24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220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149"/>
      <c r="AP302" s="149"/>
      <c r="AQ302" s="57"/>
      <c r="AR302" s="74"/>
      <c r="AS302" s="149"/>
      <c r="AT302" s="235"/>
      <c r="AU302" s="57"/>
      <c r="AV302" s="57"/>
      <c r="AW302" s="57"/>
      <c r="AX302" s="70"/>
      <c r="AY302" s="149"/>
      <c r="AZ302" s="112"/>
      <c r="BA302" s="236"/>
      <c r="BB302" s="236"/>
      <c r="BC302" s="152"/>
      <c r="BD302" s="152"/>
      <c r="BE302" s="236"/>
      <c r="BF302" s="262"/>
      <c r="BG302" s="262"/>
    </row>
    <row r="303" spans="1:59" ht="12.75" customHeight="1" x14ac:dyDescent="0.15">
      <c r="A303" s="57"/>
      <c r="B303" s="57"/>
      <c r="C303" s="57"/>
      <c r="D303" s="103"/>
      <c r="E303" s="125"/>
      <c r="F303" s="125"/>
      <c r="G303" s="57"/>
      <c r="H303" s="57"/>
      <c r="I303" s="57"/>
      <c r="J303" s="57"/>
      <c r="K303" s="57"/>
      <c r="L303" s="57"/>
      <c r="M303" s="57"/>
      <c r="N303" s="57"/>
      <c r="O303" s="70"/>
      <c r="P303" s="57"/>
      <c r="Q303" s="24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220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149"/>
      <c r="AP303" s="149"/>
      <c r="AQ303" s="57"/>
      <c r="AR303" s="74"/>
      <c r="AS303" s="149"/>
      <c r="AT303" s="235"/>
      <c r="AU303" s="57"/>
      <c r="AV303" s="57"/>
      <c r="AW303" s="57"/>
      <c r="AX303" s="70"/>
      <c r="AY303" s="149"/>
      <c r="AZ303" s="112"/>
      <c r="BA303" s="236"/>
      <c r="BB303" s="236"/>
      <c r="BC303" s="152"/>
      <c r="BD303" s="152"/>
      <c r="BE303" s="236"/>
      <c r="BF303" s="262"/>
      <c r="BG303" s="262"/>
    </row>
    <row r="304" spans="1:59" ht="12.75" customHeight="1" x14ac:dyDescent="0.15">
      <c r="A304" s="57"/>
      <c r="B304" s="57"/>
      <c r="C304" s="57"/>
      <c r="D304" s="103"/>
      <c r="E304" s="125"/>
      <c r="F304" s="125"/>
      <c r="G304" s="57"/>
      <c r="H304" s="57"/>
      <c r="I304" s="57"/>
      <c r="J304" s="57"/>
      <c r="K304" s="57"/>
      <c r="L304" s="57"/>
      <c r="M304" s="57"/>
      <c r="N304" s="57"/>
      <c r="O304" s="70"/>
      <c r="P304" s="57"/>
      <c r="Q304" s="24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220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149"/>
      <c r="AP304" s="149"/>
      <c r="AQ304" s="57"/>
      <c r="AR304" s="74"/>
      <c r="AS304" s="149"/>
      <c r="AT304" s="235"/>
      <c r="AU304" s="57"/>
      <c r="AV304" s="57"/>
      <c r="AW304" s="57"/>
      <c r="AX304" s="70"/>
      <c r="AY304" s="149"/>
      <c r="AZ304" s="112"/>
      <c r="BA304" s="236"/>
      <c r="BB304" s="236"/>
      <c r="BC304" s="152"/>
      <c r="BD304" s="152"/>
      <c r="BE304" s="236"/>
      <c r="BF304" s="262"/>
      <c r="BG304" s="262"/>
    </row>
    <row r="305" spans="1:59" ht="12.75" customHeight="1" x14ac:dyDescent="0.15">
      <c r="A305" s="57"/>
      <c r="B305" s="57"/>
      <c r="C305" s="57"/>
      <c r="D305" s="103"/>
      <c r="E305" s="125"/>
      <c r="F305" s="125"/>
      <c r="G305" s="57"/>
      <c r="H305" s="57"/>
      <c r="I305" s="57"/>
      <c r="J305" s="57"/>
      <c r="K305" s="57"/>
      <c r="L305" s="57"/>
      <c r="M305" s="57"/>
      <c r="N305" s="57"/>
      <c r="O305" s="70"/>
      <c r="P305" s="57"/>
      <c r="Q305" s="24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220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149"/>
      <c r="AP305" s="149"/>
      <c r="AQ305" s="57"/>
      <c r="AR305" s="74"/>
      <c r="AS305" s="149"/>
      <c r="AT305" s="235"/>
      <c r="AU305" s="57"/>
      <c r="AV305" s="57"/>
      <c r="AW305" s="57"/>
      <c r="AX305" s="70"/>
      <c r="AY305" s="149"/>
      <c r="AZ305" s="112"/>
      <c r="BA305" s="236"/>
      <c r="BB305" s="236"/>
      <c r="BC305" s="152"/>
      <c r="BD305" s="152"/>
      <c r="BE305" s="236"/>
      <c r="BF305" s="262"/>
      <c r="BG305" s="262"/>
    </row>
    <row r="306" spans="1:59" ht="12.75" customHeight="1" x14ac:dyDescent="0.15">
      <c r="A306" s="57"/>
      <c r="B306" s="57"/>
      <c r="C306" s="57"/>
      <c r="D306" s="103"/>
      <c r="E306" s="125"/>
      <c r="F306" s="125"/>
      <c r="G306" s="57"/>
      <c r="H306" s="57"/>
      <c r="I306" s="57"/>
      <c r="J306" s="57"/>
      <c r="K306" s="57"/>
      <c r="L306" s="57"/>
      <c r="M306" s="57"/>
      <c r="N306" s="57"/>
      <c r="O306" s="70"/>
      <c r="P306" s="57"/>
      <c r="Q306" s="24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220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149"/>
      <c r="AP306" s="149"/>
      <c r="AQ306" s="57"/>
      <c r="AR306" s="74"/>
      <c r="AS306" s="149"/>
      <c r="AT306" s="235"/>
      <c r="AU306" s="57"/>
      <c r="AV306" s="57"/>
      <c r="AW306" s="57"/>
      <c r="AX306" s="70"/>
      <c r="AY306" s="149"/>
      <c r="AZ306" s="112"/>
      <c r="BA306" s="236"/>
      <c r="BB306" s="236"/>
      <c r="BC306" s="152"/>
      <c r="BD306" s="152"/>
      <c r="BE306" s="236"/>
      <c r="BF306" s="262"/>
      <c r="BG306" s="262"/>
    </row>
    <row r="307" spans="1:59" ht="12.75" customHeight="1" x14ac:dyDescent="0.15">
      <c r="A307" s="57"/>
      <c r="B307" s="57"/>
      <c r="C307" s="57"/>
      <c r="D307" s="103"/>
      <c r="E307" s="125"/>
      <c r="F307" s="125"/>
      <c r="G307" s="57"/>
      <c r="H307" s="57"/>
      <c r="I307" s="57"/>
      <c r="J307" s="57"/>
      <c r="K307" s="57"/>
      <c r="L307" s="57"/>
      <c r="M307" s="57"/>
      <c r="N307" s="57"/>
      <c r="O307" s="70"/>
      <c r="P307" s="57"/>
      <c r="Q307" s="24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220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149"/>
      <c r="AP307" s="149"/>
      <c r="AQ307" s="57"/>
      <c r="AR307" s="74"/>
      <c r="AS307" s="149"/>
      <c r="AT307" s="235"/>
      <c r="AU307" s="57"/>
      <c r="AV307" s="57"/>
      <c r="AW307" s="57"/>
      <c r="AX307" s="70"/>
      <c r="AY307" s="149"/>
      <c r="AZ307" s="112"/>
      <c r="BA307" s="236"/>
      <c r="BB307" s="236"/>
      <c r="BC307" s="152"/>
      <c r="BD307" s="152"/>
      <c r="BE307" s="236"/>
      <c r="BF307" s="262"/>
      <c r="BG307" s="262"/>
    </row>
    <row r="308" spans="1:59" ht="12.75" customHeight="1" x14ac:dyDescent="0.15">
      <c r="A308" s="57"/>
      <c r="B308" s="57"/>
      <c r="C308" s="57"/>
      <c r="D308" s="103"/>
      <c r="E308" s="125"/>
      <c r="F308" s="125"/>
      <c r="G308" s="57"/>
      <c r="H308" s="57"/>
      <c r="I308" s="57"/>
      <c r="J308" s="57"/>
      <c r="K308" s="57"/>
      <c r="L308" s="57"/>
      <c r="M308" s="57"/>
      <c r="N308" s="57"/>
      <c r="O308" s="70"/>
      <c r="P308" s="57"/>
      <c r="Q308" s="24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220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149"/>
      <c r="AP308" s="149"/>
      <c r="AQ308" s="57"/>
      <c r="AR308" s="74"/>
      <c r="AS308" s="149"/>
      <c r="AT308" s="235"/>
      <c r="AU308" s="57"/>
      <c r="AV308" s="57"/>
      <c r="AW308" s="57"/>
      <c r="AX308" s="70"/>
      <c r="AY308" s="149"/>
      <c r="AZ308" s="112"/>
      <c r="BA308" s="236"/>
      <c r="BB308" s="236"/>
      <c r="BC308" s="152"/>
      <c r="BD308" s="152"/>
      <c r="BE308" s="236"/>
      <c r="BF308" s="262"/>
      <c r="BG308" s="262"/>
    </row>
    <row r="309" spans="1:59" ht="12.75" customHeight="1" x14ac:dyDescent="0.15">
      <c r="A309" s="57"/>
      <c r="B309" s="57"/>
      <c r="C309" s="57"/>
      <c r="D309" s="103"/>
      <c r="E309" s="125"/>
      <c r="F309" s="125"/>
      <c r="G309" s="57"/>
      <c r="H309" s="57"/>
      <c r="I309" s="57"/>
      <c r="J309" s="57"/>
      <c r="K309" s="57"/>
      <c r="L309" s="57"/>
      <c r="M309" s="57"/>
      <c r="N309" s="57"/>
      <c r="O309" s="70"/>
      <c r="P309" s="57"/>
      <c r="Q309" s="24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220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149"/>
      <c r="AP309" s="149"/>
      <c r="AQ309" s="57"/>
      <c r="AR309" s="74"/>
      <c r="AS309" s="149"/>
      <c r="AT309" s="235"/>
      <c r="AU309" s="57"/>
      <c r="AV309" s="57"/>
      <c r="AW309" s="57"/>
      <c r="AX309" s="70"/>
      <c r="AY309" s="149"/>
      <c r="AZ309" s="112"/>
      <c r="BA309" s="236"/>
      <c r="BB309" s="236"/>
      <c r="BC309" s="152"/>
      <c r="BD309" s="152"/>
      <c r="BE309" s="236"/>
      <c r="BF309" s="262"/>
      <c r="BG309" s="262"/>
    </row>
    <row r="310" spans="1:59" ht="12.75" customHeight="1" x14ac:dyDescent="0.15">
      <c r="A310" s="57"/>
      <c r="B310" s="57"/>
      <c r="C310" s="57"/>
      <c r="D310" s="103"/>
      <c r="E310" s="125"/>
      <c r="F310" s="125"/>
      <c r="G310" s="57"/>
      <c r="H310" s="57"/>
      <c r="I310" s="57"/>
      <c r="J310" s="57"/>
      <c r="K310" s="57"/>
      <c r="L310" s="57"/>
      <c r="M310" s="57"/>
      <c r="N310" s="57"/>
      <c r="O310" s="70"/>
      <c r="P310" s="57"/>
      <c r="Q310" s="24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220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149"/>
      <c r="AP310" s="149"/>
      <c r="AQ310" s="57"/>
      <c r="AR310" s="74"/>
      <c r="AS310" s="149"/>
      <c r="AT310" s="235"/>
      <c r="AU310" s="57"/>
      <c r="AV310" s="57"/>
      <c r="AW310" s="57"/>
      <c r="AX310" s="70"/>
      <c r="AY310" s="149"/>
      <c r="AZ310" s="112"/>
      <c r="BA310" s="236"/>
      <c r="BB310" s="236"/>
      <c r="BC310" s="152"/>
      <c r="BD310" s="152"/>
      <c r="BE310" s="236"/>
      <c r="BF310" s="262"/>
      <c r="BG310" s="262"/>
    </row>
    <row r="311" spans="1:59" ht="12.75" customHeight="1" x14ac:dyDescent="0.15">
      <c r="A311" s="57"/>
      <c r="B311" s="57"/>
      <c r="C311" s="57"/>
      <c r="D311" s="103"/>
      <c r="E311" s="125"/>
      <c r="F311" s="125"/>
      <c r="G311" s="57"/>
      <c r="H311" s="57"/>
      <c r="I311" s="57"/>
      <c r="J311" s="57"/>
      <c r="K311" s="57"/>
      <c r="L311" s="57"/>
      <c r="M311" s="57"/>
      <c r="N311" s="57"/>
      <c r="O311" s="70"/>
      <c r="P311" s="57"/>
      <c r="Q311" s="24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220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149"/>
      <c r="AP311" s="149"/>
      <c r="AQ311" s="57"/>
      <c r="AR311" s="74"/>
      <c r="AS311" s="149"/>
      <c r="AT311" s="235"/>
      <c r="AU311" s="57"/>
      <c r="AV311" s="57"/>
      <c r="AW311" s="57"/>
      <c r="AX311" s="70"/>
      <c r="AY311" s="149"/>
      <c r="AZ311" s="112"/>
      <c r="BA311" s="236"/>
      <c r="BB311" s="236"/>
      <c r="BC311" s="152"/>
      <c r="BD311" s="152"/>
      <c r="BE311" s="236"/>
      <c r="BF311" s="262"/>
      <c r="BG311" s="262"/>
    </row>
    <row r="312" spans="1:59" ht="12.75" customHeight="1" x14ac:dyDescent="0.15">
      <c r="A312" s="57"/>
      <c r="B312" s="57"/>
      <c r="C312" s="57"/>
      <c r="D312" s="103"/>
      <c r="E312" s="125"/>
      <c r="F312" s="125"/>
      <c r="G312" s="57"/>
      <c r="H312" s="57"/>
      <c r="I312" s="57"/>
      <c r="J312" s="57"/>
      <c r="K312" s="57"/>
      <c r="L312" s="57"/>
      <c r="M312" s="57"/>
      <c r="N312" s="57"/>
      <c r="O312" s="70"/>
      <c r="P312" s="57"/>
      <c r="Q312" s="24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220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149"/>
      <c r="AP312" s="149"/>
      <c r="AQ312" s="57"/>
      <c r="AR312" s="74"/>
      <c r="AS312" s="149"/>
      <c r="AT312" s="235"/>
      <c r="AU312" s="57"/>
      <c r="AV312" s="57"/>
      <c r="AW312" s="57"/>
      <c r="AX312" s="70"/>
      <c r="AY312" s="149"/>
      <c r="AZ312" s="112"/>
      <c r="BA312" s="236"/>
      <c r="BB312" s="236"/>
      <c r="BC312" s="152"/>
      <c r="BD312" s="152"/>
      <c r="BE312" s="236"/>
      <c r="BF312" s="262"/>
      <c r="BG312" s="262"/>
    </row>
    <row r="313" spans="1:59" ht="12.75" customHeight="1" x14ac:dyDescent="0.15">
      <c r="A313" s="57"/>
      <c r="B313" s="57"/>
      <c r="C313" s="57"/>
      <c r="D313" s="103"/>
      <c r="E313" s="125"/>
      <c r="F313" s="125"/>
      <c r="G313" s="57"/>
      <c r="H313" s="57"/>
      <c r="I313" s="57"/>
      <c r="J313" s="57"/>
      <c r="K313" s="57"/>
      <c r="L313" s="57"/>
      <c r="M313" s="57"/>
      <c r="N313" s="57"/>
      <c r="O313" s="70"/>
      <c r="P313" s="57"/>
      <c r="Q313" s="24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220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149"/>
      <c r="AP313" s="149"/>
      <c r="AQ313" s="57"/>
      <c r="AR313" s="74"/>
      <c r="AS313" s="149"/>
      <c r="AT313" s="235"/>
      <c r="AU313" s="57"/>
      <c r="AV313" s="57"/>
      <c r="AW313" s="57"/>
      <c r="AX313" s="70"/>
      <c r="AY313" s="149"/>
      <c r="AZ313" s="112"/>
      <c r="BA313" s="236"/>
      <c r="BB313" s="236"/>
      <c r="BC313" s="152"/>
      <c r="BD313" s="152"/>
      <c r="BE313" s="236"/>
      <c r="BF313" s="262"/>
      <c r="BG313" s="262"/>
    </row>
    <row r="314" spans="1:59" ht="12.75" customHeight="1" x14ac:dyDescent="0.15">
      <c r="A314" s="57"/>
      <c r="B314" s="57"/>
      <c r="C314" s="57"/>
      <c r="D314" s="103"/>
      <c r="E314" s="125"/>
      <c r="F314" s="125"/>
      <c r="G314" s="57"/>
      <c r="H314" s="57"/>
      <c r="I314" s="57"/>
      <c r="J314" s="57"/>
      <c r="K314" s="57"/>
      <c r="L314" s="57"/>
      <c r="M314" s="57"/>
      <c r="N314" s="57"/>
      <c r="O314" s="70"/>
      <c r="P314" s="57"/>
      <c r="Q314" s="24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220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149"/>
      <c r="AP314" s="149"/>
      <c r="AQ314" s="57"/>
      <c r="AR314" s="74"/>
      <c r="AS314" s="149"/>
      <c r="AT314" s="235"/>
      <c r="AU314" s="57"/>
      <c r="AV314" s="57"/>
      <c r="AW314" s="57"/>
      <c r="AX314" s="70"/>
      <c r="AY314" s="149"/>
      <c r="AZ314" s="112"/>
      <c r="BA314" s="236"/>
      <c r="BB314" s="236"/>
      <c r="BC314" s="152"/>
      <c r="BD314" s="152"/>
      <c r="BE314" s="236"/>
      <c r="BF314" s="262"/>
      <c r="BG314" s="262"/>
    </row>
    <row r="315" spans="1:59" ht="12.75" customHeight="1" x14ac:dyDescent="0.15">
      <c r="A315" s="57"/>
      <c r="B315" s="57"/>
      <c r="C315" s="57"/>
      <c r="D315" s="103"/>
      <c r="E315" s="125"/>
      <c r="F315" s="125"/>
      <c r="G315" s="57"/>
      <c r="H315" s="57"/>
      <c r="I315" s="57"/>
      <c r="J315" s="57"/>
      <c r="K315" s="57"/>
      <c r="L315" s="57"/>
      <c r="M315" s="57"/>
      <c r="N315" s="57"/>
      <c r="O315" s="70"/>
      <c r="P315" s="57"/>
      <c r="Q315" s="24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220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149"/>
      <c r="AP315" s="149"/>
      <c r="AQ315" s="57"/>
      <c r="AR315" s="74"/>
      <c r="AS315" s="149"/>
      <c r="AT315" s="235"/>
      <c r="AU315" s="57"/>
      <c r="AV315" s="57"/>
      <c r="AW315" s="57"/>
      <c r="AX315" s="70"/>
      <c r="AY315" s="149"/>
      <c r="AZ315" s="112"/>
      <c r="BA315" s="236"/>
      <c r="BB315" s="236"/>
      <c r="BC315" s="152"/>
      <c r="BD315" s="152"/>
      <c r="BE315" s="236"/>
      <c r="BF315" s="262"/>
      <c r="BG315" s="262"/>
    </row>
    <row r="316" spans="1:59" ht="12.75" customHeight="1" x14ac:dyDescent="0.15">
      <c r="A316" s="57"/>
      <c r="B316" s="57"/>
      <c r="C316" s="57"/>
      <c r="D316" s="103"/>
      <c r="E316" s="125"/>
      <c r="F316" s="125"/>
      <c r="G316" s="57"/>
      <c r="H316" s="57"/>
      <c r="I316" s="57"/>
      <c r="J316" s="57"/>
      <c r="K316" s="57"/>
      <c r="L316" s="57"/>
      <c r="M316" s="57"/>
      <c r="N316" s="57"/>
      <c r="O316" s="70"/>
      <c r="P316" s="57"/>
      <c r="Q316" s="24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220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149"/>
      <c r="AP316" s="149"/>
      <c r="AQ316" s="57"/>
      <c r="AR316" s="74"/>
      <c r="AS316" s="149"/>
      <c r="AT316" s="235"/>
      <c r="AU316" s="57"/>
      <c r="AV316" s="57"/>
      <c r="AW316" s="57"/>
      <c r="AX316" s="70"/>
      <c r="AY316" s="149"/>
      <c r="AZ316" s="112"/>
      <c r="BA316" s="236"/>
      <c r="BB316" s="236"/>
      <c r="BC316" s="152"/>
      <c r="BD316" s="152"/>
      <c r="BE316" s="236"/>
      <c r="BF316" s="262"/>
      <c r="BG316" s="262"/>
    </row>
    <row r="317" spans="1:59" ht="12.75" customHeight="1" x14ac:dyDescent="0.15">
      <c r="A317" s="57"/>
      <c r="B317" s="57"/>
      <c r="C317" s="57"/>
      <c r="D317" s="103"/>
      <c r="E317" s="125"/>
      <c r="F317" s="125"/>
      <c r="G317" s="57"/>
      <c r="H317" s="57"/>
      <c r="I317" s="57"/>
      <c r="J317" s="57"/>
      <c r="K317" s="57"/>
      <c r="L317" s="57"/>
      <c r="M317" s="57"/>
      <c r="N317" s="57"/>
      <c r="O317" s="70"/>
      <c r="P317" s="57"/>
      <c r="Q317" s="24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220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149"/>
      <c r="AP317" s="149"/>
      <c r="AQ317" s="57"/>
      <c r="AR317" s="74"/>
      <c r="AS317" s="149"/>
      <c r="AT317" s="235"/>
      <c r="AU317" s="57"/>
      <c r="AV317" s="57"/>
      <c r="AW317" s="57"/>
      <c r="AX317" s="70"/>
      <c r="AY317" s="149"/>
      <c r="AZ317" s="112"/>
      <c r="BA317" s="236"/>
      <c r="BB317" s="236"/>
      <c r="BC317" s="152"/>
      <c r="BD317" s="152"/>
      <c r="BE317" s="236"/>
      <c r="BF317" s="262"/>
      <c r="BG317" s="262"/>
    </row>
    <row r="318" spans="1:59" ht="12.75" customHeight="1" x14ac:dyDescent="0.15">
      <c r="A318" s="57"/>
      <c r="B318" s="57"/>
      <c r="C318" s="57"/>
      <c r="D318" s="103"/>
      <c r="E318" s="125"/>
      <c r="F318" s="125"/>
      <c r="G318" s="57"/>
      <c r="H318" s="57"/>
      <c r="I318" s="57"/>
      <c r="J318" s="57"/>
      <c r="K318" s="57"/>
      <c r="L318" s="57"/>
      <c r="M318" s="57"/>
      <c r="N318" s="57"/>
      <c r="O318" s="70"/>
      <c r="P318" s="57"/>
      <c r="Q318" s="24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220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149"/>
      <c r="AP318" s="149"/>
      <c r="AQ318" s="57"/>
      <c r="AR318" s="74"/>
      <c r="AS318" s="149"/>
      <c r="AT318" s="235"/>
      <c r="AU318" s="57"/>
      <c r="AV318" s="57"/>
      <c r="AW318" s="57"/>
      <c r="AX318" s="70"/>
      <c r="AY318" s="149"/>
      <c r="AZ318" s="112"/>
      <c r="BA318" s="236"/>
      <c r="BB318" s="236"/>
      <c r="BC318" s="152"/>
      <c r="BD318" s="152"/>
      <c r="BE318" s="236"/>
      <c r="BF318" s="262"/>
      <c r="BG318" s="262"/>
    </row>
    <row r="319" spans="1:59" ht="12.75" customHeight="1" x14ac:dyDescent="0.15">
      <c r="A319" s="57"/>
      <c r="B319" s="57"/>
      <c r="C319" s="57"/>
      <c r="D319" s="103"/>
      <c r="E319" s="125"/>
      <c r="F319" s="125"/>
      <c r="G319" s="57"/>
      <c r="H319" s="57"/>
      <c r="I319" s="57"/>
      <c r="J319" s="57"/>
      <c r="K319" s="57"/>
      <c r="L319" s="57"/>
      <c r="M319" s="57"/>
      <c r="N319" s="57"/>
      <c r="O319" s="70"/>
      <c r="P319" s="57"/>
      <c r="Q319" s="24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220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149"/>
      <c r="AP319" s="149"/>
      <c r="AQ319" s="57"/>
      <c r="AR319" s="74"/>
      <c r="AS319" s="149"/>
      <c r="AT319" s="235"/>
      <c r="AU319" s="57"/>
      <c r="AV319" s="57"/>
      <c r="AW319" s="57"/>
      <c r="AX319" s="70"/>
      <c r="AY319" s="149"/>
      <c r="AZ319" s="112"/>
      <c r="BA319" s="236"/>
      <c r="BB319" s="236"/>
      <c r="BC319" s="152"/>
      <c r="BD319" s="152"/>
      <c r="BE319" s="236"/>
      <c r="BF319" s="262"/>
      <c r="BG319" s="262"/>
    </row>
    <row r="320" spans="1:59" ht="12.75" customHeight="1" x14ac:dyDescent="0.15">
      <c r="A320" s="57"/>
      <c r="B320" s="57"/>
      <c r="C320" s="57"/>
      <c r="D320" s="103"/>
      <c r="E320" s="125"/>
      <c r="F320" s="125"/>
      <c r="G320" s="57"/>
      <c r="H320" s="57"/>
      <c r="I320" s="57"/>
      <c r="J320" s="57"/>
      <c r="K320" s="57"/>
      <c r="L320" s="57"/>
      <c r="M320" s="57"/>
      <c r="N320" s="57"/>
      <c r="O320" s="70"/>
      <c r="P320" s="57"/>
      <c r="Q320" s="24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220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149"/>
      <c r="AP320" s="149"/>
      <c r="AQ320" s="57"/>
      <c r="AR320" s="74"/>
      <c r="AS320" s="149"/>
      <c r="AT320" s="235"/>
      <c r="AU320" s="57"/>
      <c r="AV320" s="57"/>
      <c r="AW320" s="57"/>
      <c r="AX320" s="70"/>
      <c r="AY320" s="149"/>
      <c r="AZ320" s="112"/>
      <c r="BA320" s="236"/>
      <c r="BB320" s="236"/>
      <c r="BC320" s="152"/>
      <c r="BD320" s="152"/>
      <c r="BE320" s="236"/>
      <c r="BF320" s="262"/>
      <c r="BG320" s="262"/>
    </row>
    <row r="321" spans="1:59" ht="12.75" customHeight="1" x14ac:dyDescent="0.15">
      <c r="A321" s="57"/>
      <c r="B321" s="57"/>
      <c r="C321" s="57"/>
      <c r="D321" s="103"/>
      <c r="E321" s="125"/>
      <c r="F321" s="125"/>
      <c r="G321" s="57"/>
      <c r="H321" s="57"/>
      <c r="I321" s="57"/>
      <c r="J321" s="57"/>
      <c r="K321" s="57"/>
      <c r="L321" s="57"/>
      <c r="M321" s="57"/>
      <c r="N321" s="57"/>
      <c r="O321" s="70"/>
      <c r="P321" s="57"/>
      <c r="Q321" s="24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220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149"/>
      <c r="AP321" s="149"/>
      <c r="AQ321" s="57"/>
      <c r="AR321" s="74"/>
      <c r="AS321" s="149"/>
      <c r="AT321" s="235"/>
      <c r="AU321" s="57"/>
      <c r="AV321" s="57"/>
      <c r="AW321" s="57"/>
      <c r="AX321" s="70"/>
      <c r="AY321" s="149"/>
      <c r="AZ321" s="112"/>
      <c r="BA321" s="236"/>
      <c r="BB321" s="236"/>
      <c r="BC321" s="152"/>
      <c r="BD321" s="152"/>
      <c r="BE321" s="236"/>
      <c r="BF321" s="262"/>
      <c r="BG321" s="262"/>
    </row>
    <row r="322" spans="1:59" ht="12.75" customHeight="1" x14ac:dyDescent="0.15">
      <c r="A322" s="57"/>
      <c r="B322" s="57"/>
      <c r="C322" s="57"/>
      <c r="D322" s="103"/>
      <c r="E322" s="125"/>
      <c r="F322" s="125"/>
      <c r="G322" s="57"/>
      <c r="H322" s="57"/>
      <c r="I322" s="57"/>
      <c r="J322" s="57"/>
      <c r="K322" s="57"/>
      <c r="L322" s="57"/>
      <c r="M322" s="57"/>
      <c r="N322" s="57"/>
      <c r="O322" s="70"/>
      <c r="P322" s="57"/>
      <c r="Q322" s="24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220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149"/>
      <c r="AP322" s="149"/>
      <c r="AQ322" s="57"/>
      <c r="AR322" s="74"/>
      <c r="AS322" s="149"/>
      <c r="AT322" s="235"/>
      <c r="AU322" s="57"/>
      <c r="AV322" s="57"/>
      <c r="AW322" s="57"/>
      <c r="AX322" s="70"/>
      <c r="AY322" s="149"/>
      <c r="AZ322" s="112"/>
      <c r="BA322" s="236"/>
      <c r="BB322" s="236"/>
      <c r="BC322" s="152"/>
      <c r="BD322" s="152"/>
      <c r="BE322" s="236"/>
      <c r="BF322" s="262"/>
      <c r="BG322" s="262"/>
    </row>
    <row r="323" spans="1:59" ht="12.75" customHeight="1" x14ac:dyDescent="0.15">
      <c r="A323" s="57"/>
      <c r="B323" s="57"/>
      <c r="C323" s="57"/>
      <c r="D323" s="103"/>
      <c r="E323" s="125"/>
      <c r="F323" s="125"/>
      <c r="G323" s="57"/>
      <c r="H323" s="57"/>
      <c r="I323" s="57"/>
      <c r="J323" s="57"/>
      <c r="K323" s="57"/>
      <c r="L323" s="57"/>
      <c r="M323" s="57"/>
      <c r="N323" s="57"/>
      <c r="O323" s="70"/>
      <c r="P323" s="57"/>
      <c r="Q323" s="24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220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149"/>
      <c r="AP323" s="149"/>
      <c r="AQ323" s="57"/>
      <c r="AR323" s="74"/>
      <c r="AS323" s="149"/>
      <c r="AT323" s="235"/>
      <c r="AU323" s="57"/>
      <c r="AV323" s="57"/>
      <c r="AW323" s="57"/>
      <c r="AX323" s="70"/>
      <c r="AY323" s="149"/>
      <c r="AZ323" s="112"/>
      <c r="BA323" s="236"/>
      <c r="BB323" s="236"/>
      <c r="BC323" s="152"/>
      <c r="BD323" s="152"/>
      <c r="BE323" s="236"/>
      <c r="BF323" s="262"/>
      <c r="BG323" s="262"/>
    </row>
    <row r="324" spans="1:59" ht="12.75" customHeight="1" x14ac:dyDescent="0.15">
      <c r="A324" s="57"/>
      <c r="B324" s="57"/>
      <c r="C324" s="57"/>
      <c r="D324" s="103"/>
      <c r="E324" s="125"/>
      <c r="F324" s="125"/>
      <c r="G324" s="57"/>
      <c r="H324" s="57"/>
      <c r="I324" s="57"/>
      <c r="J324" s="57"/>
      <c r="K324" s="57"/>
      <c r="L324" s="57"/>
      <c r="M324" s="57"/>
      <c r="N324" s="57"/>
      <c r="O324" s="70"/>
      <c r="P324" s="57"/>
      <c r="Q324" s="24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220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149"/>
      <c r="AP324" s="149"/>
      <c r="AQ324" s="57"/>
      <c r="AR324" s="74"/>
      <c r="AS324" s="149"/>
      <c r="AT324" s="235"/>
      <c r="AU324" s="57"/>
      <c r="AV324" s="57"/>
      <c r="AW324" s="57"/>
      <c r="AX324" s="70"/>
      <c r="AY324" s="149"/>
      <c r="AZ324" s="112"/>
      <c r="BA324" s="236"/>
      <c r="BB324" s="236"/>
      <c r="BC324" s="152"/>
      <c r="BD324" s="152"/>
      <c r="BE324" s="236"/>
      <c r="BF324" s="262"/>
      <c r="BG324" s="262"/>
    </row>
    <row r="325" spans="1:59" ht="12.75" customHeight="1" x14ac:dyDescent="0.15">
      <c r="A325" s="57"/>
      <c r="B325" s="57"/>
      <c r="C325" s="57"/>
      <c r="D325" s="103"/>
      <c r="E325" s="125"/>
      <c r="F325" s="125"/>
      <c r="G325" s="57"/>
      <c r="H325" s="57"/>
      <c r="I325" s="57"/>
      <c r="J325" s="57"/>
      <c r="K325" s="57"/>
      <c r="L325" s="57"/>
      <c r="M325" s="57"/>
      <c r="N325" s="57"/>
      <c r="O325" s="70"/>
      <c r="P325" s="57"/>
      <c r="Q325" s="24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220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149"/>
      <c r="AP325" s="149"/>
      <c r="AQ325" s="57"/>
      <c r="AR325" s="74"/>
      <c r="AS325" s="149"/>
      <c r="AT325" s="235"/>
      <c r="AU325" s="57"/>
      <c r="AV325" s="57"/>
      <c r="AW325" s="57"/>
      <c r="AX325" s="70"/>
      <c r="AY325" s="149"/>
      <c r="AZ325" s="112"/>
      <c r="BA325" s="236"/>
      <c r="BB325" s="236"/>
      <c r="BC325" s="152"/>
      <c r="BD325" s="152"/>
      <c r="BE325" s="236"/>
      <c r="BF325" s="262"/>
      <c r="BG325" s="262"/>
    </row>
    <row r="326" spans="1:59" ht="12.75" customHeight="1" x14ac:dyDescent="0.15">
      <c r="A326" s="57"/>
      <c r="B326" s="57"/>
      <c r="C326" s="57"/>
      <c r="D326" s="103"/>
      <c r="E326" s="125"/>
      <c r="F326" s="125"/>
      <c r="G326" s="57"/>
      <c r="H326" s="57"/>
      <c r="I326" s="57"/>
      <c r="J326" s="57"/>
      <c r="K326" s="57"/>
      <c r="L326" s="57"/>
      <c r="M326" s="57"/>
      <c r="N326" s="57"/>
      <c r="O326" s="70"/>
      <c r="P326" s="57"/>
      <c r="Q326" s="24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220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149"/>
      <c r="AP326" s="149"/>
      <c r="AQ326" s="57"/>
      <c r="AR326" s="74"/>
      <c r="AS326" s="149"/>
      <c r="AT326" s="235"/>
      <c r="AU326" s="57"/>
      <c r="AV326" s="57"/>
      <c r="AW326" s="57"/>
      <c r="AX326" s="70"/>
      <c r="AY326" s="149"/>
      <c r="AZ326" s="112"/>
      <c r="BA326" s="236"/>
      <c r="BB326" s="236"/>
      <c r="BC326" s="152"/>
      <c r="BD326" s="152"/>
      <c r="BE326" s="236"/>
      <c r="BF326" s="262"/>
      <c r="BG326" s="262"/>
    </row>
    <row r="327" spans="1:59" ht="12.75" customHeight="1" x14ac:dyDescent="0.15">
      <c r="A327" s="57"/>
      <c r="B327" s="57"/>
      <c r="C327" s="57"/>
      <c r="D327" s="103"/>
      <c r="E327" s="125"/>
      <c r="F327" s="125"/>
      <c r="G327" s="57"/>
      <c r="H327" s="57"/>
      <c r="I327" s="57"/>
      <c r="J327" s="57"/>
      <c r="K327" s="57"/>
      <c r="L327" s="57"/>
      <c r="M327" s="57"/>
      <c r="N327" s="57"/>
      <c r="O327" s="70"/>
      <c r="P327" s="57"/>
      <c r="Q327" s="24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220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149"/>
      <c r="AP327" s="149"/>
      <c r="AQ327" s="57"/>
      <c r="AR327" s="74"/>
      <c r="AS327" s="149"/>
      <c r="AT327" s="235"/>
      <c r="AU327" s="57"/>
      <c r="AV327" s="57"/>
      <c r="AW327" s="57"/>
      <c r="AX327" s="70"/>
      <c r="AY327" s="149"/>
      <c r="AZ327" s="112"/>
      <c r="BA327" s="236"/>
      <c r="BB327" s="236"/>
      <c r="BC327" s="152"/>
      <c r="BD327" s="152"/>
      <c r="BE327" s="236"/>
      <c r="BF327" s="262"/>
      <c r="BG327" s="262"/>
    </row>
    <row r="328" spans="1:59" ht="12.75" customHeight="1" x14ac:dyDescent="0.15">
      <c r="A328" s="57"/>
      <c r="B328" s="57"/>
      <c r="C328" s="57"/>
      <c r="D328" s="103"/>
      <c r="E328" s="125"/>
      <c r="F328" s="125"/>
      <c r="G328" s="57"/>
      <c r="H328" s="57"/>
      <c r="I328" s="57"/>
      <c r="J328" s="57"/>
      <c r="K328" s="57"/>
      <c r="L328" s="57"/>
      <c r="M328" s="57"/>
      <c r="N328" s="57"/>
      <c r="O328" s="70"/>
      <c r="P328" s="57"/>
      <c r="Q328" s="24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220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149"/>
      <c r="AP328" s="149"/>
      <c r="AQ328" s="57"/>
      <c r="AR328" s="74"/>
      <c r="AS328" s="149"/>
      <c r="AT328" s="235"/>
      <c r="AU328" s="57"/>
      <c r="AV328" s="57"/>
      <c r="AW328" s="57"/>
      <c r="AX328" s="70"/>
      <c r="AY328" s="149"/>
      <c r="AZ328" s="112"/>
      <c r="BA328" s="236"/>
      <c r="BB328" s="236"/>
      <c r="BC328" s="152"/>
      <c r="BD328" s="152"/>
      <c r="BE328" s="236"/>
      <c r="BF328" s="262"/>
      <c r="BG328" s="262"/>
    </row>
    <row r="329" spans="1:59" ht="12.75" customHeight="1" x14ac:dyDescent="0.15">
      <c r="A329" s="57"/>
      <c r="B329" s="57"/>
      <c r="C329" s="57"/>
      <c r="D329" s="103"/>
      <c r="E329" s="125"/>
      <c r="F329" s="125"/>
      <c r="G329" s="57"/>
      <c r="H329" s="57"/>
      <c r="I329" s="57"/>
      <c r="J329" s="57"/>
      <c r="K329" s="57"/>
      <c r="L329" s="57"/>
      <c r="M329" s="57"/>
      <c r="N329" s="57"/>
      <c r="O329" s="70"/>
      <c r="P329" s="57"/>
      <c r="Q329" s="24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220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149"/>
      <c r="AP329" s="149"/>
      <c r="AQ329" s="57"/>
      <c r="AR329" s="74"/>
      <c r="AS329" s="149"/>
      <c r="AT329" s="235"/>
      <c r="AU329" s="57"/>
      <c r="AV329" s="57"/>
      <c r="AW329" s="57"/>
      <c r="AX329" s="70"/>
      <c r="AY329" s="149"/>
      <c r="AZ329" s="112"/>
      <c r="BA329" s="236"/>
      <c r="BB329" s="236"/>
      <c r="BC329" s="152"/>
      <c r="BD329" s="152"/>
      <c r="BE329" s="236"/>
      <c r="BF329" s="262"/>
      <c r="BG329" s="262"/>
    </row>
    <row r="330" spans="1:59" ht="12.75" customHeight="1" x14ac:dyDescent="0.15">
      <c r="A330" s="57"/>
      <c r="B330" s="57"/>
      <c r="C330" s="57"/>
      <c r="D330" s="103"/>
      <c r="E330" s="125"/>
      <c r="F330" s="125"/>
      <c r="G330" s="57"/>
      <c r="H330" s="57"/>
      <c r="I330" s="57"/>
      <c r="J330" s="57"/>
      <c r="K330" s="57"/>
      <c r="L330" s="57"/>
      <c r="M330" s="57"/>
      <c r="N330" s="57"/>
      <c r="O330" s="70"/>
      <c r="P330" s="57"/>
      <c r="Q330" s="24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220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149"/>
      <c r="AP330" s="149"/>
      <c r="AQ330" s="57"/>
      <c r="AR330" s="74"/>
      <c r="AS330" s="149"/>
      <c r="AT330" s="235"/>
      <c r="AU330" s="57"/>
      <c r="AV330" s="57"/>
      <c r="AW330" s="57"/>
      <c r="AX330" s="70"/>
      <c r="AY330" s="149"/>
      <c r="AZ330" s="112"/>
      <c r="BA330" s="236"/>
      <c r="BB330" s="236"/>
      <c r="BC330" s="152"/>
      <c r="BD330" s="152"/>
      <c r="BE330" s="236"/>
      <c r="BF330" s="262"/>
      <c r="BG330" s="262"/>
    </row>
    <row r="331" spans="1:59" ht="12.75" customHeight="1" x14ac:dyDescent="0.15">
      <c r="A331" s="57"/>
      <c r="B331" s="57"/>
      <c r="C331" s="57"/>
      <c r="D331" s="103"/>
      <c r="E331" s="125"/>
      <c r="F331" s="125"/>
      <c r="G331" s="57"/>
      <c r="H331" s="57"/>
      <c r="I331" s="57"/>
      <c r="J331" s="57"/>
      <c r="K331" s="57"/>
      <c r="L331" s="57"/>
      <c r="M331" s="57"/>
      <c r="N331" s="57"/>
      <c r="O331" s="70"/>
      <c r="P331" s="57"/>
      <c r="Q331" s="24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220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149"/>
      <c r="AP331" s="149"/>
      <c r="AQ331" s="57"/>
      <c r="AR331" s="74"/>
      <c r="AS331" s="149"/>
      <c r="AT331" s="235"/>
      <c r="AU331" s="57"/>
      <c r="AV331" s="57"/>
      <c r="AW331" s="57"/>
      <c r="AX331" s="70"/>
      <c r="AY331" s="149"/>
      <c r="AZ331" s="112"/>
      <c r="BA331" s="236"/>
      <c r="BB331" s="236"/>
      <c r="BC331" s="152"/>
      <c r="BD331" s="152"/>
      <c r="BE331" s="236"/>
      <c r="BF331" s="262"/>
      <c r="BG331" s="262"/>
    </row>
    <row r="332" spans="1:59" ht="12.75" customHeight="1" x14ac:dyDescent="0.15">
      <c r="A332" s="57"/>
      <c r="B332" s="57"/>
      <c r="C332" s="57"/>
      <c r="D332" s="103"/>
      <c r="E332" s="125"/>
      <c r="F332" s="125"/>
      <c r="G332" s="57"/>
      <c r="H332" s="57"/>
      <c r="I332" s="57"/>
      <c r="J332" s="57"/>
      <c r="K332" s="57"/>
      <c r="L332" s="57"/>
      <c r="M332" s="57"/>
      <c r="N332" s="57"/>
      <c r="O332" s="70"/>
      <c r="P332" s="57"/>
      <c r="Q332" s="24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220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149"/>
      <c r="AP332" s="149"/>
      <c r="AQ332" s="57"/>
      <c r="AR332" s="74"/>
      <c r="AS332" s="149"/>
      <c r="AT332" s="235"/>
      <c r="AU332" s="57"/>
      <c r="AV332" s="57"/>
      <c r="AW332" s="57"/>
      <c r="AX332" s="70"/>
      <c r="AY332" s="149"/>
      <c r="AZ332" s="112"/>
      <c r="BA332" s="236"/>
      <c r="BB332" s="236"/>
      <c r="BC332" s="152"/>
      <c r="BD332" s="152"/>
      <c r="BE332" s="236"/>
      <c r="BF332" s="262"/>
      <c r="BG332" s="262"/>
    </row>
    <row r="333" spans="1:59" ht="12.75" customHeight="1" x14ac:dyDescent="0.15">
      <c r="A333" s="57"/>
      <c r="B333" s="57"/>
      <c r="C333" s="57"/>
      <c r="D333" s="103"/>
      <c r="E333" s="125"/>
      <c r="F333" s="125"/>
      <c r="G333" s="57"/>
      <c r="H333" s="57"/>
      <c r="I333" s="57"/>
      <c r="J333" s="57"/>
      <c r="K333" s="57"/>
      <c r="L333" s="57"/>
      <c r="M333" s="57"/>
      <c r="N333" s="57"/>
      <c r="O333" s="70"/>
      <c r="P333" s="57"/>
      <c r="Q333" s="24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220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149"/>
      <c r="AP333" s="149"/>
      <c r="AQ333" s="57"/>
      <c r="AR333" s="74"/>
      <c r="AS333" s="149"/>
      <c r="AT333" s="235"/>
      <c r="AU333" s="57"/>
      <c r="AV333" s="57"/>
      <c r="AW333" s="57"/>
      <c r="AX333" s="70"/>
      <c r="AY333" s="149"/>
      <c r="AZ333" s="112"/>
      <c r="BA333" s="236"/>
      <c r="BB333" s="236"/>
      <c r="BC333" s="152"/>
      <c r="BD333" s="152"/>
      <c r="BE333" s="236"/>
      <c r="BF333" s="262"/>
      <c r="BG333" s="262"/>
    </row>
    <row r="334" spans="1:59" ht="12.75" customHeight="1" x14ac:dyDescent="0.15">
      <c r="A334" s="57"/>
      <c r="B334" s="57"/>
      <c r="C334" s="57"/>
      <c r="D334" s="103"/>
      <c r="E334" s="125"/>
      <c r="F334" s="125"/>
      <c r="G334" s="57"/>
      <c r="H334" s="57"/>
      <c r="I334" s="57"/>
      <c r="J334" s="57"/>
      <c r="K334" s="57"/>
      <c r="L334" s="57"/>
      <c r="M334" s="57"/>
      <c r="N334" s="57"/>
      <c r="O334" s="70"/>
      <c r="P334" s="57"/>
      <c r="Q334" s="24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220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149"/>
      <c r="AP334" s="149"/>
      <c r="AQ334" s="57"/>
      <c r="AR334" s="74"/>
      <c r="AS334" s="149"/>
      <c r="AT334" s="235"/>
      <c r="AU334" s="57"/>
      <c r="AV334" s="57"/>
      <c r="AW334" s="57"/>
      <c r="AX334" s="70"/>
      <c r="AY334" s="149"/>
      <c r="AZ334" s="112"/>
      <c r="BA334" s="236"/>
      <c r="BB334" s="236"/>
      <c r="BC334" s="152"/>
      <c r="BD334" s="152"/>
      <c r="BE334" s="236"/>
      <c r="BF334" s="262"/>
      <c r="BG334" s="262"/>
    </row>
    <row r="335" spans="1:59" ht="12.75" customHeight="1" x14ac:dyDescent="0.15">
      <c r="A335" s="57"/>
      <c r="B335" s="57"/>
      <c r="C335" s="57"/>
      <c r="D335" s="103"/>
      <c r="E335" s="125"/>
      <c r="F335" s="125"/>
      <c r="G335" s="57"/>
      <c r="H335" s="57"/>
      <c r="I335" s="57"/>
      <c r="J335" s="57"/>
      <c r="K335" s="57"/>
      <c r="L335" s="57"/>
      <c r="M335" s="57"/>
      <c r="N335" s="57"/>
      <c r="O335" s="70"/>
      <c r="P335" s="57"/>
      <c r="Q335" s="24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220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149"/>
      <c r="AP335" s="149"/>
      <c r="AQ335" s="57"/>
      <c r="AR335" s="74"/>
      <c r="AS335" s="149"/>
      <c r="AT335" s="235"/>
      <c r="AU335" s="57"/>
      <c r="AV335" s="57"/>
      <c r="AW335" s="57"/>
      <c r="AX335" s="70"/>
      <c r="AY335" s="149"/>
      <c r="AZ335" s="112"/>
      <c r="BA335" s="236"/>
      <c r="BB335" s="236"/>
      <c r="BC335" s="152"/>
      <c r="BD335" s="152"/>
      <c r="BE335" s="236"/>
      <c r="BF335" s="262"/>
      <c r="BG335" s="262"/>
    </row>
    <row r="336" spans="1:59" ht="12.75" customHeight="1" x14ac:dyDescent="0.15">
      <c r="A336" s="57"/>
      <c r="B336" s="57"/>
      <c r="C336" s="57"/>
      <c r="D336" s="103"/>
      <c r="E336" s="125"/>
      <c r="F336" s="125"/>
      <c r="G336" s="57"/>
      <c r="H336" s="57"/>
      <c r="I336" s="57"/>
      <c r="J336" s="57"/>
      <c r="K336" s="57"/>
      <c r="L336" s="57"/>
      <c r="M336" s="57"/>
      <c r="N336" s="57"/>
      <c r="O336" s="70"/>
      <c r="P336" s="57"/>
      <c r="Q336" s="24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220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149"/>
      <c r="AP336" s="149"/>
      <c r="AQ336" s="57"/>
      <c r="AR336" s="74"/>
      <c r="AS336" s="149"/>
      <c r="AT336" s="235"/>
      <c r="AU336" s="57"/>
      <c r="AV336" s="57"/>
      <c r="AW336" s="57"/>
      <c r="AX336" s="70"/>
      <c r="AY336" s="149"/>
      <c r="AZ336" s="112"/>
      <c r="BA336" s="236"/>
      <c r="BB336" s="236"/>
      <c r="BC336" s="152"/>
      <c r="BD336" s="152"/>
      <c r="BE336" s="236"/>
      <c r="BF336" s="262"/>
      <c r="BG336" s="262"/>
    </row>
    <row r="337" spans="1:59" ht="12.75" customHeight="1" x14ac:dyDescent="0.15">
      <c r="A337" s="57"/>
      <c r="B337" s="57"/>
      <c r="C337" s="57"/>
      <c r="D337" s="103"/>
      <c r="E337" s="125"/>
      <c r="F337" s="125"/>
      <c r="G337" s="57"/>
      <c r="H337" s="57"/>
      <c r="I337" s="57"/>
      <c r="J337" s="57"/>
      <c r="K337" s="57"/>
      <c r="L337" s="57"/>
      <c r="M337" s="57"/>
      <c r="N337" s="57"/>
      <c r="O337" s="70"/>
      <c r="P337" s="57"/>
      <c r="Q337" s="24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220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149"/>
      <c r="AP337" s="149"/>
      <c r="AQ337" s="57"/>
      <c r="AR337" s="74"/>
      <c r="AS337" s="149"/>
      <c r="AT337" s="235"/>
      <c r="AU337" s="57"/>
      <c r="AV337" s="57"/>
      <c r="AW337" s="57"/>
      <c r="AX337" s="70"/>
      <c r="AY337" s="149"/>
      <c r="AZ337" s="112"/>
      <c r="BA337" s="236"/>
      <c r="BB337" s="236"/>
      <c r="BC337" s="152"/>
      <c r="BD337" s="152"/>
      <c r="BE337" s="236"/>
      <c r="BF337" s="262"/>
      <c r="BG337" s="262"/>
    </row>
    <row r="338" spans="1:59" ht="12.75" customHeight="1" x14ac:dyDescent="0.15">
      <c r="A338" s="57"/>
      <c r="B338" s="57"/>
      <c r="C338" s="57"/>
      <c r="D338" s="103"/>
      <c r="E338" s="125"/>
      <c r="F338" s="125"/>
      <c r="G338" s="57"/>
      <c r="H338" s="57"/>
      <c r="I338" s="57"/>
      <c r="J338" s="57"/>
      <c r="K338" s="57"/>
      <c r="L338" s="57"/>
      <c r="M338" s="57"/>
      <c r="N338" s="57"/>
      <c r="O338" s="70"/>
      <c r="P338" s="57"/>
      <c r="Q338" s="24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220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149"/>
      <c r="AP338" s="149"/>
      <c r="AQ338" s="57"/>
      <c r="AR338" s="74"/>
      <c r="AS338" s="149"/>
      <c r="AT338" s="235"/>
      <c r="AU338" s="57"/>
      <c r="AV338" s="57"/>
      <c r="AW338" s="57"/>
      <c r="AX338" s="70"/>
      <c r="AY338" s="149"/>
      <c r="AZ338" s="112"/>
      <c r="BA338" s="236"/>
      <c r="BB338" s="236"/>
      <c r="BC338" s="152"/>
      <c r="BD338" s="152"/>
      <c r="BE338" s="236"/>
      <c r="BF338" s="262"/>
      <c r="BG338" s="262"/>
    </row>
    <row r="339" spans="1:59" ht="12.75" customHeight="1" x14ac:dyDescent="0.15">
      <c r="A339" s="57"/>
      <c r="B339" s="57"/>
      <c r="C339" s="57"/>
      <c r="D339" s="103"/>
      <c r="E339" s="125"/>
      <c r="F339" s="125"/>
      <c r="G339" s="57"/>
      <c r="H339" s="57"/>
      <c r="I339" s="57"/>
      <c r="J339" s="57"/>
      <c r="K339" s="57"/>
      <c r="L339" s="57"/>
      <c r="M339" s="57"/>
      <c r="N339" s="57"/>
      <c r="O339" s="70"/>
      <c r="P339" s="57"/>
      <c r="Q339" s="24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220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149"/>
      <c r="AP339" s="149"/>
      <c r="AQ339" s="57"/>
      <c r="AR339" s="74"/>
      <c r="AS339" s="149"/>
      <c r="AT339" s="235"/>
      <c r="AU339" s="57"/>
      <c r="AV339" s="57"/>
      <c r="AW339" s="57"/>
      <c r="AX339" s="70"/>
      <c r="AY339" s="149"/>
      <c r="AZ339" s="112"/>
      <c r="BA339" s="236"/>
      <c r="BB339" s="236"/>
      <c r="BC339" s="152"/>
      <c r="BD339" s="152"/>
      <c r="BE339" s="236"/>
      <c r="BF339" s="262"/>
      <c r="BG339" s="262"/>
    </row>
    <row r="340" spans="1:59" ht="12.75" customHeight="1" x14ac:dyDescent="0.15">
      <c r="A340" s="57"/>
      <c r="B340" s="57"/>
      <c r="C340" s="57"/>
      <c r="D340" s="103"/>
      <c r="E340" s="125"/>
      <c r="F340" s="125"/>
      <c r="G340" s="57"/>
      <c r="H340" s="57"/>
      <c r="I340" s="57"/>
      <c r="J340" s="57"/>
      <c r="K340" s="57"/>
      <c r="L340" s="57"/>
      <c r="M340" s="57"/>
      <c r="N340" s="57"/>
      <c r="O340" s="70"/>
      <c r="P340" s="57"/>
      <c r="Q340" s="24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220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149"/>
      <c r="AP340" s="149"/>
      <c r="AQ340" s="57"/>
      <c r="AR340" s="74"/>
      <c r="AS340" s="149"/>
      <c r="AT340" s="235"/>
      <c r="AU340" s="57"/>
      <c r="AV340" s="57"/>
      <c r="AW340" s="57"/>
      <c r="AX340" s="70"/>
      <c r="AY340" s="149"/>
      <c r="AZ340" s="112"/>
      <c r="BA340" s="236"/>
      <c r="BB340" s="236"/>
      <c r="BC340" s="152"/>
      <c r="BD340" s="152"/>
      <c r="BE340" s="236"/>
      <c r="BF340" s="262"/>
      <c r="BG340" s="262"/>
    </row>
    <row r="341" spans="1:59" ht="12.75" customHeight="1" x14ac:dyDescent="0.15">
      <c r="A341" s="57"/>
      <c r="B341" s="57"/>
      <c r="C341" s="57"/>
      <c r="D341" s="103"/>
      <c r="E341" s="125"/>
      <c r="F341" s="125"/>
      <c r="G341" s="57"/>
      <c r="H341" s="57"/>
      <c r="I341" s="57"/>
      <c r="J341" s="57"/>
      <c r="K341" s="57"/>
      <c r="L341" s="57"/>
      <c r="M341" s="57"/>
      <c r="N341" s="57"/>
      <c r="O341" s="70"/>
      <c r="P341" s="57"/>
      <c r="Q341" s="24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220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149"/>
      <c r="AP341" s="149"/>
      <c r="AQ341" s="57"/>
      <c r="AR341" s="74"/>
      <c r="AS341" s="149"/>
      <c r="AT341" s="235"/>
      <c r="AU341" s="57"/>
      <c r="AV341" s="57"/>
      <c r="AW341" s="57"/>
      <c r="AX341" s="70"/>
      <c r="AY341" s="149"/>
      <c r="AZ341" s="112"/>
      <c r="BA341" s="236"/>
      <c r="BB341" s="236"/>
      <c r="BC341" s="152"/>
      <c r="BD341" s="152"/>
      <c r="BE341" s="236"/>
      <c r="BF341" s="262"/>
      <c r="BG341" s="262"/>
    </row>
    <row r="342" spans="1:59" ht="12.75" customHeight="1" x14ac:dyDescent="0.15">
      <c r="A342" s="57"/>
      <c r="B342" s="57"/>
      <c r="C342" s="57"/>
      <c r="D342" s="103"/>
      <c r="E342" s="125"/>
      <c r="F342" s="125"/>
      <c r="G342" s="57"/>
      <c r="H342" s="57"/>
      <c r="I342" s="57"/>
      <c r="J342" s="57"/>
      <c r="K342" s="57"/>
      <c r="L342" s="57"/>
      <c r="M342" s="57"/>
      <c r="N342" s="57"/>
      <c r="O342" s="70"/>
      <c r="P342" s="57"/>
      <c r="Q342" s="24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220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149"/>
      <c r="AP342" s="149"/>
      <c r="AQ342" s="57"/>
      <c r="AR342" s="74"/>
      <c r="AS342" s="149"/>
      <c r="AT342" s="235"/>
      <c r="AU342" s="57"/>
      <c r="AV342" s="57"/>
      <c r="AW342" s="57"/>
      <c r="AX342" s="70"/>
      <c r="AY342" s="149"/>
      <c r="AZ342" s="112"/>
      <c r="BA342" s="236"/>
      <c r="BB342" s="236"/>
      <c r="BC342" s="152"/>
      <c r="BD342" s="152"/>
      <c r="BE342" s="236"/>
      <c r="BF342" s="262"/>
      <c r="BG342" s="262"/>
    </row>
    <row r="343" spans="1:59" ht="12.75" customHeight="1" x14ac:dyDescent="0.15">
      <c r="A343" s="57"/>
      <c r="B343" s="57"/>
      <c r="C343" s="57"/>
      <c r="D343" s="103"/>
      <c r="E343" s="125"/>
      <c r="F343" s="125"/>
      <c r="G343" s="57"/>
      <c r="H343" s="57"/>
      <c r="I343" s="57"/>
      <c r="J343" s="57"/>
      <c r="K343" s="57"/>
      <c r="L343" s="57"/>
      <c r="M343" s="57"/>
      <c r="N343" s="57"/>
      <c r="O343" s="70"/>
      <c r="P343" s="57"/>
      <c r="Q343" s="24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220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149"/>
      <c r="AP343" s="149"/>
      <c r="AQ343" s="57"/>
      <c r="AR343" s="74"/>
      <c r="AS343" s="149"/>
      <c r="AT343" s="235"/>
      <c r="AU343" s="57"/>
      <c r="AV343" s="57"/>
      <c r="AW343" s="57"/>
      <c r="AX343" s="70"/>
      <c r="AY343" s="149"/>
      <c r="AZ343" s="112"/>
      <c r="BA343" s="236"/>
      <c r="BB343" s="236"/>
      <c r="BC343" s="152"/>
      <c r="BD343" s="152"/>
      <c r="BE343" s="236"/>
      <c r="BF343" s="262"/>
      <c r="BG343" s="262"/>
    </row>
    <row r="344" spans="1:59" ht="12.75" customHeight="1" x14ac:dyDescent="0.15">
      <c r="A344" s="57"/>
      <c r="B344" s="57"/>
      <c r="C344" s="57"/>
      <c r="D344" s="103"/>
      <c r="E344" s="125"/>
      <c r="F344" s="125"/>
      <c r="G344" s="57"/>
      <c r="H344" s="57"/>
      <c r="I344" s="57"/>
      <c r="J344" s="57"/>
      <c r="K344" s="57"/>
      <c r="L344" s="57"/>
      <c r="M344" s="57"/>
      <c r="N344" s="57"/>
      <c r="O344" s="70"/>
      <c r="P344" s="57"/>
      <c r="Q344" s="24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220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149"/>
      <c r="AP344" s="149"/>
      <c r="AQ344" s="57"/>
      <c r="AR344" s="74"/>
      <c r="AS344" s="149"/>
      <c r="AT344" s="235"/>
      <c r="AU344" s="57"/>
      <c r="AV344" s="57"/>
      <c r="AW344" s="57"/>
      <c r="AX344" s="70"/>
      <c r="AY344" s="149"/>
      <c r="AZ344" s="112"/>
      <c r="BA344" s="236"/>
      <c r="BB344" s="236"/>
      <c r="BC344" s="152"/>
      <c r="BD344" s="152"/>
      <c r="BE344" s="236"/>
      <c r="BF344" s="262"/>
      <c r="BG344" s="262"/>
    </row>
    <row r="345" spans="1:59" ht="12.75" customHeight="1" x14ac:dyDescent="0.15">
      <c r="A345" s="57"/>
      <c r="B345" s="57"/>
      <c r="C345" s="57"/>
      <c r="D345" s="103"/>
      <c r="E345" s="125"/>
      <c r="F345" s="125"/>
      <c r="G345" s="57"/>
      <c r="H345" s="57"/>
      <c r="I345" s="57"/>
      <c r="J345" s="57"/>
      <c r="K345" s="57"/>
      <c r="L345" s="57"/>
      <c r="M345" s="57"/>
      <c r="N345" s="57"/>
      <c r="O345" s="70"/>
      <c r="P345" s="57"/>
      <c r="Q345" s="24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220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149"/>
      <c r="AP345" s="149"/>
      <c r="AQ345" s="57"/>
      <c r="AR345" s="74"/>
      <c r="AS345" s="149"/>
      <c r="AT345" s="235"/>
      <c r="AU345" s="57"/>
      <c r="AV345" s="57"/>
      <c r="AW345" s="57"/>
      <c r="AX345" s="70"/>
      <c r="AY345" s="149"/>
      <c r="AZ345" s="112"/>
      <c r="BA345" s="236"/>
      <c r="BB345" s="236"/>
      <c r="BC345" s="152"/>
      <c r="BD345" s="152"/>
      <c r="BE345" s="236"/>
      <c r="BF345" s="262"/>
      <c r="BG345" s="262"/>
    </row>
    <row r="346" spans="1:59" ht="12.75" customHeight="1" x14ac:dyDescent="0.15">
      <c r="A346" s="57"/>
      <c r="B346" s="57"/>
      <c r="C346" s="57"/>
      <c r="D346" s="103"/>
      <c r="E346" s="125"/>
      <c r="F346" s="125"/>
      <c r="G346" s="57"/>
      <c r="H346" s="57"/>
      <c r="I346" s="57"/>
      <c r="J346" s="57"/>
      <c r="K346" s="57"/>
      <c r="L346" s="57"/>
      <c r="M346" s="57"/>
      <c r="N346" s="57"/>
      <c r="O346" s="70"/>
      <c r="P346" s="57"/>
      <c r="Q346" s="24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220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149"/>
      <c r="AP346" s="149"/>
      <c r="AQ346" s="57"/>
      <c r="AR346" s="74"/>
      <c r="AS346" s="149"/>
      <c r="AT346" s="235"/>
      <c r="AU346" s="57"/>
      <c r="AV346" s="57"/>
      <c r="AW346" s="57"/>
      <c r="AX346" s="70"/>
      <c r="AY346" s="149"/>
      <c r="AZ346" s="112"/>
      <c r="BA346" s="236"/>
      <c r="BB346" s="236"/>
      <c r="BC346" s="152"/>
      <c r="BD346" s="152"/>
      <c r="BE346" s="236"/>
      <c r="BF346" s="262"/>
      <c r="BG346" s="262"/>
    </row>
    <row r="347" spans="1:59" ht="12.75" customHeight="1" x14ac:dyDescent="0.15">
      <c r="A347" s="57"/>
      <c r="B347" s="57"/>
      <c r="C347" s="57"/>
      <c r="D347" s="103"/>
      <c r="E347" s="125"/>
      <c r="F347" s="125"/>
      <c r="G347" s="57"/>
      <c r="H347" s="57"/>
      <c r="I347" s="57"/>
      <c r="J347" s="57"/>
      <c r="K347" s="57"/>
      <c r="L347" s="57"/>
      <c r="M347" s="57"/>
      <c r="N347" s="57"/>
      <c r="O347" s="70"/>
      <c r="P347" s="57"/>
      <c r="Q347" s="24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220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149"/>
      <c r="AP347" s="149"/>
      <c r="AQ347" s="57"/>
      <c r="AR347" s="74"/>
      <c r="AS347" s="149"/>
      <c r="AT347" s="235"/>
      <c r="AU347" s="57"/>
      <c r="AV347" s="57"/>
      <c r="AW347" s="57"/>
      <c r="AX347" s="70"/>
      <c r="AY347" s="149"/>
      <c r="AZ347" s="112"/>
      <c r="BA347" s="236"/>
      <c r="BB347" s="236"/>
      <c r="BC347" s="152"/>
      <c r="BD347" s="152"/>
      <c r="BE347" s="236"/>
      <c r="BF347" s="262"/>
      <c r="BG347" s="262"/>
    </row>
    <row r="348" spans="1:59" ht="12.75" customHeight="1" x14ac:dyDescent="0.15">
      <c r="A348" s="57"/>
      <c r="B348" s="57"/>
      <c r="C348" s="57"/>
      <c r="D348" s="103"/>
      <c r="E348" s="125"/>
      <c r="F348" s="125"/>
      <c r="G348" s="57"/>
      <c r="H348" s="57"/>
      <c r="I348" s="57"/>
      <c r="J348" s="57"/>
      <c r="K348" s="57"/>
      <c r="L348" s="57"/>
      <c r="M348" s="57"/>
      <c r="N348" s="57"/>
      <c r="O348" s="70"/>
      <c r="P348" s="57"/>
      <c r="Q348" s="24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220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149"/>
      <c r="AP348" s="149"/>
      <c r="AQ348" s="57"/>
      <c r="AR348" s="74"/>
      <c r="AS348" s="149"/>
      <c r="AT348" s="235"/>
      <c r="AU348" s="57"/>
      <c r="AV348" s="57"/>
      <c r="AW348" s="57"/>
      <c r="AX348" s="70"/>
      <c r="AY348" s="149"/>
      <c r="AZ348" s="112"/>
      <c r="BA348" s="236"/>
      <c r="BB348" s="236"/>
      <c r="BC348" s="152"/>
      <c r="BD348" s="152"/>
      <c r="BE348" s="236"/>
      <c r="BF348" s="262"/>
      <c r="BG348" s="262"/>
    </row>
    <row r="349" spans="1:59" ht="12.75" customHeight="1" x14ac:dyDescent="0.15">
      <c r="A349" s="57"/>
      <c r="B349" s="57"/>
      <c r="C349" s="57"/>
      <c r="D349" s="103"/>
      <c r="E349" s="125"/>
      <c r="F349" s="125"/>
      <c r="G349" s="57"/>
      <c r="H349" s="57"/>
      <c r="I349" s="57"/>
      <c r="J349" s="57"/>
      <c r="K349" s="57"/>
      <c r="L349" s="57"/>
      <c r="M349" s="57"/>
      <c r="N349" s="57"/>
      <c r="O349" s="70"/>
      <c r="P349" s="57"/>
      <c r="Q349" s="24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220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149"/>
      <c r="AP349" s="149"/>
      <c r="AQ349" s="57"/>
      <c r="AR349" s="74"/>
      <c r="AS349" s="149"/>
      <c r="AT349" s="235"/>
      <c r="AU349" s="57"/>
      <c r="AV349" s="57"/>
      <c r="AW349" s="57"/>
      <c r="AX349" s="70"/>
      <c r="AY349" s="149"/>
      <c r="AZ349" s="112"/>
      <c r="BA349" s="236"/>
      <c r="BB349" s="236"/>
      <c r="BC349" s="152"/>
      <c r="BD349" s="152"/>
      <c r="BE349" s="236"/>
      <c r="BF349" s="262"/>
      <c r="BG349" s="262"/>
    </row>
    <row r="350" spans="1:59" ht="12.75" customHeight="1" x14ac:dyDescent="0.15">
      <c r="A350" s="57"/>
      <c r="B350" s="57"/>
      <c r="C350" s="57"/>
      <c r="D350" s="103"/>
      <c r="E350" s="125"/>
      <c r="F350" s="125"/>
      <c r="G350" s="57"/>
      <c r="H350" s="57"/>
      <c r="I350" s="57"/>
      <c r="J350" s="57"/>
      <c r="K350" s="57"/>
      <c r="L350" s="57"/>
      <c r="M350" s="57"/>
      <c r="N350" s="57"/>
      <c r="O350" s="70"/>
      <c r="P350" s="57"/>
      <c r="Q350" s="24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220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149"/>
      <c r="AP350" s="149"/>
      <c r="AQ350" s="57"/>
      <c r="AR350" s="74"/>
      <c r="AS350" s="149"/>
      <c r="AT350" s="235"/>
      <c r="AU350" s="57"/>
      <c r="AV350" s="57"/>
      <c r="AW350" s="57"/>
      <c r="AX350" s="70"/>
      <c r="AY350" s="149"/>
      <c r="AZ350" s="112"/>
      <c r="BA350" s="236"/>
      <c r="BB350" s="236"/>
      <c r="BC350" s="152"/>
      <c r="BD350" s="152"/>
      <c r="BE350" s="236"/>
      <c r="BF350" s="262"/>
      <c r="BG350" s="262"/>
    </row>
    <row r="351" spans="1:59" ht="12.75" customHeight="1" x14ac:dyDescent="0.15">
      <c r="A351" s="57"/>
      <c r="B351" s="57"/>
      <c r="C351" s="57"/>
      <c r="D351" s="103"/>
      <c r="E351" s="125"/>
      <c r="F351" s="125"/>
      <c r="G351" s="57"/>
      <c r="H351" s="57"/>
      <c r="I351" s="57"/>
      <c r="J351" s="57"/>
      <c r="K351" s="57"/>
      <c r="L351" s="57"/>
      <c r="M351" s="57"/>
      <c r="N351" s="57"/>
      <c r="O351" s="70"/>
      <c r="P351" s="57"/>
      <c r="Q351" s="24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220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149"/>
      <c r="AP351" s="149"/>
      <c r="AQ351" s="57"/>
      <c r="AR351" s="74"/>
      <c r="AS351" s="149"/>
      <c r="AT351" s="235"/>
      <c r="AU351" s="57"/>
      <c r="AV351" s="57"/>
      <c r="AW351" s="57"/>
      <c r="AX351" s="70"/>
      <c r="AY351" s="149"/>
      <c r="AZ351" s="112"/>
      <c r="BA351" s="236"/>
      <c r="BB351" s="236"/>
      <c r="BC351" s="152"/>
      <c r="BD351" s="152"/>
      <c r="BE351" s="236"/>
      <c r="BF351" s="262"/>
      <c r="BG351" s="262"/>
    </row>
    <row r="352" spans="1:59" ht="12.75" customHeight="1" x14ac:dyDescent="0.15">
      <c r="A352" s="57"/>
      <c r="B352" s="57"/>
      <c r="C352" s="57"/>
      <c r="D352" s="103"/>
      <c r="E352" s="125"/>
      <c r="F352" s="125"/>
      <c r="G352" s="57"/>
      <c r="H352" s="57"/>
      <c r="I352" s="57"/>
      <c r="J352" s="57"/>
      <c r="K352" s="57"/>
      <c r="L352" s="57"/>
      <c r="M352" s="57"/>
      <c r="N352" s="57"/>
      <c r="O352" s="70"/>
      <c r="P352" s="57"/>
      <c r="Q352" s="24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220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149"/>
      <c r="AP352" s="149"/>
      <c r="AQ352" s="57"/>
      <c r="AR352" s="74"/>
      <c r="AS352" s="149"/>
      <c r="AT352" s="235"/>
      <c r="AU352" s="57"/>
      <c r="AV352" s="57"/>
      <c r="AW352" s="57"/>
      <c r="AX352" s="70"/>
      <c r="AY352" s="149"/>
      <c r="AZ352" s="112"/>
      <c r="BA352" s="236"/>
      <c r="BB352" s="236"/>
      <c r="BC352" s="152"/>
      <c r="BD352" s="152"/>
      <c r="BE352" s="236"/>
      <c r="BF352" s="262"/>
      <c r="BG352" s="262"/>
    </row>
    <row r="353" spans="1:59" ht="12.75" customHeight="1" x14ac:dyDescent="0.15">
      <c r="A353" s="57"/>
      <c r="B353" s="57"/>
      <c r="C353" s="57"/>
      <c r="D353" s="103"/>
      <c r="E353" s="125"/>
      <c r="F353" s="125"/>
      <c r="G353" s="57"/>
      <c r="H353" s="57"/>
      <c r="I353" s="57"/>
      <c r="J353" s="57"/>
      <c r="K353" s="57"/>
      <c r="L353" s="57"/>
      <c r="M353" s="57"/>
      <c r="N353" s="57"/>
      <c r="O353" s="70"/>
      <c r="P353" s="57"/>
      <c r="Q353" s="24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220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149"/>
      <c r="AP353" s="149"/>
      <c r="AQ353" s="57"/>
      <c r="AR353" s="74"/>
      <c r="AS353" s="149"/>
      <c r="AT353" s="235"/>
      <c r="AU353" s="57"/>
      <c r="AV353" s="57"/>
      <c r="AW353" s="57"/>
      <c r="AX353" s="70"/>
      <c r="AY353" s="149"/>
      <c r="AZ353" s="112"/>
      <c r="BA353" s="236"/>
      <c r="BB353" s="236"/>
      <c r="BC353" s="152"/>
      <c r="BD353" s="152"/>
      <c r="BE353" s="236"/>
      <c r="BF353" s="262"/>
      <c r="BG353" s="262"/>
    </row>
    <row r="354" spans="1:59" ht="12.75" customHeight="1" x14ac:dyDescent="0.15">
      <c r="A354" s="57"/>
      <c r="B354" s="57"/>
      <c r="C354" s="57"/>
      <c r="D354" s="103"/>
      <c r="E354" s="125"/>
      <c r="F354" s="125"/>
      <c r="G354" s="57"/>
      <c r="H354" s="57"/>
      <c r="I354" s="57"/>
      <c r="J354" s="57"/>
      <c r="K354" s="57"/>
      <c r="L354" s="57"/>
      <c r="M354" s="57"/>
      <c r="N354" s="57"/>
      <c r="O354" s="70"/>
      <c r="P354" s="57"/>
      <c r="Q354" s="24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220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149"/>
      <c r="AP354" s="149"/>
      <c r="AQ354" s="57"/>
      <c r="AR354" s="74"/>
      <c r="AS354" s="149"/>
      <c r="AT354" s="235"/>
      <c r="AU354" s="57"/>
      <c r="AV354" s="57"/>
      <c r="AW354" s="57"/>
      <c r="AX354" s="70"/>
      <c r="AY354" s="149"/>
      <c r="AZ354" s="112"/>
      <c r="BA354" s="236"/>
      <c r="BB354" s="236"/>
      <c r="BC354" s="152"/>
      <c r="BD354" s="152"/>
      <c r="BE354" s="236"/>
      <c r="BF354" s="262"/>
      <c r="BG354" s="262"/>
    </row>
    <row r="355" spans="1:59" ht="12.75" customHeight="1" x14ac:dyDescent="0.15">
      <c r="A355" s="57"/>
      <c r="B355" s="57"/>
      <c r="C355" s="57"/>
      <c r="D355" s="103"/>
      <c r="E355" s="125"/>
      <c r="F355" s="125"/>
      <c r="G355" s="57"/>
      <c r="H355" s="57"/>
      <c r="I355" s="57"/>
      <c r="J355" s="57"/>
      <c r="K355" s="57"/>
      <c r="L355" s="57"/>
      <c r="M355" s="57"/>
      <c r="N355" s="57"/>
      <c r="O355" s="70"/>
      <c r="P355" s="57"/>
      <c r="Q355" s="24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220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149"/>
      <c r="AP355" s="149"/>
      <c r="AQ355" s="57"/>
      <c r="AR355" s="74"/>
      <c r="AS355" s="149"/>
      <c r="AT355" s="235"/>
      <c r="AU355" s="57"/>
      <c r="AV355" s="57"/>
      <c r="AW355" s="57"/>
      <c r="AX355" s="70"/>
      <c r="AY355" s="149"/>
      <c r="AZ355" s="112"/>
      <c r="BA355" s="236"/>
      <c r="BB355" s="236"/>
      <c r="BC355" s="152"/>
      <c r="BD355" s="152"/>
      <c r="BE355" s="236"/>
      <c r="BF355" s="262"/>
      <c r="BG355" s="262"/>
    </row>
    <row r="356" spans="1:59" ht="12.75" customHeight="1" x14ac:dyDescent="0.15">
      <c r="A356" s="57"/>
      <c r="B356" s="57"/>
      <c r="C356" s="57"/>
      <c r="D356" s="103"/>
      <c r="E356" s="125"/>
      <c r="F356" s="125"/>
      <c r="G356" s="57"/>
      <c r="H356" s="57"/>
      <c r="I356" s="57"/>
      <c r="J356" s="57"/>
      <c r="K356" s="57"/>
      <c r="L356" s="57"/>
      <c r="M356" s="57"/>
      <c r="N356" s="57"/>
      <c r="O356" s="70"/>
      <c r="P356" s="57"/>
      <c r="Q356" s="24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220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149"/>
      <c r="AP356" s="149"/>
      <c r="AQ356" s="57"/>
      <c r="AR356" s="74"/>
      <c r="AS356" s="149"/>
      <c r="AT356" s="235"/>
      <c r="AU356" s="57"/>
      <c r="AV356" s="57"/>
      <c r="AW356" s="57"/>
      <c r="AX356" s="70"/>
      <c r="AY356" s="149"/>
      <c r="AZ356" s="112"/>
      <c r="BA356" s="236"/>
      <c r="BB356" s="236"/>
      <c r="BC356" s="152"/>
      <c r="BD356" s="152"/>
      <c r="BE356" s="236"/>
      <c r="BF356" s="262"/>
      <c r="BG356" s="262"/>
    </row>
    <row r="357" spans="1:59" ht="12.75" customHeight="1" x14ac:dyDescent="0.15">
      <c r="A357" s="57"/>
      <c r="B357" s="57"/>
      <c r="C357" s="57"/>
      <c r="D357" s="103"/>
      <c r="E357" s="125"/>
      <c r="F357" s="125"/>
      <c r="G357" s="57"/>
      <c r="H357" s="57"/>
      <c r="I357" s="57"/>
      <c r="J357" s="57"/>
      <c r="K357" s="57"/>
      <c r="L357" s="57"/>
      <c r="M357" s="57"/>
      <c r="N357" s="57"/>
      <c r="O357" s="70"/>
      <c r="P357" s="57"/>
      <c r="Q357" s="24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220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149"/>
      <c r="AP357" s="149"/>
      <c r="AQ357" s="57"/>
      <c r="AR357" s="74"/>
      <c r="AS357" s="149"/>
      <c r="AT357" s="235"/>
      <c r="AU357" s="57"/>
      <c r="AV357" s="57"/>
      <c r="AW357" s="57"/>
      <c r="AX357" s="70"/>
      <c r="AY357" s="149"/>
      <c r="AZ357" s="112"/>
      <c r="BA357" s="236"/>
      <c r="BB357" s="236"/>
      <c r="BC357" s="152"/>
      <c r="BD357" s="152"/>
      <c r="BE357" s="236"/>
      <c r="BF357" s="262"/>
      <c r="BG357" s="262"/>
    </row>
    <row r="358" spans="1:59" ht="12.75" customHeight="1" x14ac:dyDescent="0.15">
      <c r="A358" s="57"/>
      <c r="B358" s="57"/>
      <c r="C358" s="57"/>
      <c r="D358" s="103"/>
      <c r="E358" s="125"/>
      <c r="F358" s="125"/>
      <c r="G358" s="57"/>
      <c r="H358" s="57"/>
      <c r="I358" s="57"/>
      <c r="J358" s="57"/>
      <c r="K358" s="57"/>
      <c r="L358" s="57"/>
      <c r="M358" s="57"/>
      <c r="N358" s="57"/>
      <c r="O358" s="70"/>
      <c r="P358" s="57"/>
      <c r="Q358" s="24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220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149"/>
      <c r="AP358" s="149"/>
      <c r="AQ358" s="57"/>
      <c r="AR358" s="74"/>
      <c r="AS358" s="149"/>
      <c r="AT358" s="235"/>
      <c r="AU358" s="57"/>
      <c r="AV358" s="57"/>
      <c r="AW358" s="57"/>
      <c r="AX358" s="70"/>
      <c r="AY358" s="149"/>
      <c r="AZ358" s="112"/>
      <c r="BA358" s="236"/>
      <c r="BB358" s="236"/>
      <c r="BC358" s="152"/>
      <c r="BD358" s="152"/>
      <c r="BE358" s="236"/>
      <c r="BF358" s="262"/>
      <c r="BG358" s="262"/>
    </row>
    <row r="359" spans="1:59" ht="12.75" customHeight="1" x14ac:dyDescent="0.15">
      <c r="A359" s="57"/>
      <c r="B359" s="57"/>
      <c r="C359" s="57"/>
      <c r="D359" s="103"/>
      <c r="E359" s="125"/>
      <c r="F359" s="125"/>
      <c r="G359" s="57"/>
      <c r="H359" s="57"/>
      <c r="I359" s="57"/>
      <c r="J359" s="57"/>
      <c r="K359" s="57"/>
      <c r="L359" s="57"/>
      <c r="M359" s="57"/>
      <c r="N359" s="57"/>
      <c r="O359" s="70"/>
      <c r="P359" s="57"/>
      <c r="Q359" s="24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220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149"/>
      <c r="AP359" s="149"/>
      <c r="AQ359" s="57"/>
      <c r="AR359" s="74"/>
      <c r="AS359" s="149"/>
      <c r="AT359" s="235"/>
      <c r="AU359" s="57"/>
      <c r="AV359" s="57"/>
      <c r="AW359" s="57"/>
      <c r="AX359" s="70"/>
      <c r="AY359" s="149"/>
      <c r="AZ359" s="112"/>
      <c r="BA359" s="236"/>
      <c r="BB359" s="236"/>
      <c r="BC359" s="152"/>
      <c r="BD359" s="152"/>
      <c r="BE359" s="236"/>
      <c r="BF359" s="262"/>
      <c r="BG359" s="262"/>
    </row>
    <row r="360" spans="1:59" ht="12.75" customHeight="1" x14ac:dyDescent="0.15">
      <c r="A360" s="57"/>
      <c r="B360" s="57"/>
      <c r="C360" s="57"/>
      <c r="D360" s="103"/>
      <c r="E360" s="125"/>
      <c r="F360" s="125"/>
      <c r="G360" s="57"/>
      <c r="H360" s="57"/>
      <c r="I360" s="57"/>
      <c r="J360" s="57"/>
      <c r="K360" s="57"/>
      <c r="L360" s="57"/>
      <c r="M360" s="57"/>
      <c r="N360" s="57"/>
      <c r="O360" s="70"/>
      <c r="P360" s="57"/>
      <c r="Q360" s="24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220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149"/>
      <c r="AP360" s="149"/>
      <c r="AQ360" s="57"/>
      <c r="AR360" s="74"/>
      <c r="AS360" s="149"/>
      <c r="AT360" s="235"/>
      <c r="AU360" s="57"/>
      <c r="AV360" s="57"/>
      <c r="AW360" s="57"/>
      <c r="AX360" s="70"/>
      <c r="AY360" s="149"/>
      <c r="AZ360" s="112"/>
      <c r="BA360" s="236"/>
      <c r="BB360" s="236"/>
      <c r="BC360" s="152"/>
      <c r="BD360" s="152"/>
      <c r="BE360" s="236"/>
      <c r="BF360" s="262"/>
      <c r="BG360" s="262"/>
    </row>
    <row r="361" spans="1:59" ht="12.75" customHeight="1" x14ac:dyDescent="0.15">
      <c r="A361" s="57"/>
      <c r="B361" s="57"/>
      <c r="C361" s="57"/>
      <c r="D361" s="103"/>
      <c r="E361" s="125"/>
      <c r="F361" s="125"/>
      <c r="G361" s="57"/>
      <c r="H361" s="57"/>
      <c r="I361" s="57"/>
      <c r="J361" s="57"/>
      <c r="K361" s="57"/>
      <c r="L361" s="57"/>
      <c r="M361" s="57"/>
      <c r="N361" s="57"/>
      <c r="O361" s="70"/>
      <c r="P361" s="57"/>
      <c r="Q361" s="24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220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149"/>
      <c r="AP361" s="149"/>
      <c r="AQ361" s="57"/>
      <c r="AR361" s="74"/>
      <c r="AS361" s="149"/>
      <c r="AT361" s="235"/>
      <c r="AU361" s="57"/>
      <c r="AV361" s="57"/>
      <c r="AW361" s="57"/>
      <c r="AX361" s="70"/>
      <c r="AY361" s="149"/>
      <c r="AZ361" s="112"/>
      <c r="BA361" s="236"/>
      <c r="BB361" s="236"/>
      <c r="BC361" s="152"/>
      <c r="BD361" s="152"/>
      <c r="BE361" s="236"/>
      <c r="BF361" s="262"/>
      <c r="BG361" s="262"/>
    </row>
    <row r="362" spans="1:59" ht="12.75" customHeight="1" x14ac:dyDescent="0.15">
      <c r="A362" s="57"/>
      <c r="B362" s="57"/>
      <c r="C362" s="57"/>
      <c r="D362" s="103"/>
      <c r="E362" s="125"/>
      <c r="F362" s="125"/>
      <c r="G362" s="57"/>
      <c r="H362" s="57"/>
      <c r="I362" s="57"/>
      <c r="J362" s="57"/>
      <c r="K362" s="57"/>
      <c r="L362" s="57"/>
      <c r="M362" s="57"/>
      <c r="N362" s="57"/>
      <c r="O362" s="70"/>
      <c r="P362" s="57"/>
      <c r="Q362" s="24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220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149"/>
      <c r="AP362" s="149"/>
      <c r="AQ362" s="57"/>
      <c r="AR362" s="74"/>
      <c r="AS362" s="149"/>
      <c r="AT362" s="235"/>
      <c r="AU362" s="57"/>
      <c r="AV362" s="57"/>
      <c r="AW362" s="57"/>
      <c r="AX362" s="70"/>
      <c r="AY362" s="149"/>
      <c r="AZ362" s="112"/>
      <c r="BA362" s="236"/>
      <c r="BB362" s="236"/>
      <c r="BC362" s="152"/>
      <c r="BD362" s="152"/>
      <c r="BE362" s="236"/>
      <c r="BF362" s="262"/>
      <c r="BG362" s="262"/>
    </row>
    <row r="363" spans="1:59" ht="12.75" customHeight="1" x14ac:dyDescent="0.15">
      <c r="A363" s="57"/>
      <c r="B363" s="57"/>
      <c r="C363" s="57"/>
      <c r="D363" s="103"/>
      <c r="E363" s="125"/>
      <c r="F363" s="125"/>
      <c r="G363" s="57"/>
      <c r="H363" s="57"/>
      <c r="I363" s="57"/>
      <c r="J363" s="57"/>
      <c r="K363" s="57"/>
      <c r="L363" s="57"/>
      <c r="M363" s="57"/>
      <c r="N363" s="57"/>
      <c r="O363" s="70"/>
      <c r="P363" s="57"/>
      <c r="Q363" s="24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220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149"/>
      <c r="AP363" s="149"/>
      <c r="AQ363" s="57"/>
      <c r="AR363" s="74"/>
      <c r="AS363" s="149"/>
      <c r="AT363" s="235"/>
      <c r="AU363" s="57"/>
      <c r="AV363" s="57"/>
      <c r="AW363" s="57"/>
      <c r="AX363" s="70"/>
      <c r="AY363" s="149"/>
      <c r="AZ363" s="112"/>
      <c r="BA363" s="236"/>
      <c r="BB363" s="236"/>
      <c r="BC363" s="152"/>
      <c r="BD363" s="152"/>
      <c r="BE363" s="236"/>
      <c r="BF363" s="262"/>
      <c r="BG363" s="262"/>
    </row>
    <row r="364" spans="1:59" ht="12.75" customHeight="1" x14ac:dyDescent="0.15">
      <c r="A364" s="57"/>
      <c r="B364" s="57"/>
      <c r="C364" s="57"/>
      <c r="D364" s="103"/>
      <c r="E364" s="125"/>
      <c r="F364" s="125"/>
      <c r="G364" s="57"/>
      <c r="H364" s="57"/>
      <c r="I364" s="57"/>
      <c r="J364" s="57"/>
      <c r="K364" s="57"/>
      <c r="L364" s="57"/>
      <c r="M364" s="57"/>
      <c r="N364" s="57"/>
      <c r="O364" s="70"/>
      <c r="P364" s="57"/>
      <c r="Q364" s="24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220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149"/>
      <c r="AP364" s="149"/>
      <c r="AQ364" s="57"/>
      <c r="AR364" s="74"/>
      <c r="AS364" s="149"/>
      <c r="AT364" s="235"/>
      <c r="AU364" s="57"/>
      <c r="AV364" s="57"/>
      <c r="AW364" s="57"/>
      <c r="AX364" s="70"/>
      <c r="AY364" s="149"/>
      <c r="AZ364" s="112"/>
      <c r="BA364" s="236"/>
      <c r="BB364" s="236"/>
      <c r="BC364" s="152"/>
      <c r="BD364" s="152"/>
      <c r="BE364" s="236"/>
      <c r="BF364" s="262"/>
      <c r="BG364" s="262"/>
    </row>
    <row r="365" spans="1:59" ht="12.75" customHeight="1" x14ac:dyDescent="0.15">
      <c r="A365" s="57"/>
      <c r="B365" s="57"/>
      <c r="C365" s="57"/>
      <c r="D365" s="103"/>
      <c r="E365" s="125"/>
      <c r="F365" s="125"/>
      <c r="G365" s="57"/>
      <c r="H365" s="57"/>
      <c r="I365" s="57"/>
      <c r="J365" s="57"/>
      <c r="K365" s="57"/>
      <c r="L365" s="57"/>
      <c r="M365" s="57"/>
      <c r="N365" s="57"/>
      <c r="O365" s="70"/>
      <c r="P365" s="57"/>
      <c r="Q365" s="24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220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149"/>
      <c r="AP365" s="149"/>
      <c r="AQ365" s="57"/>
      <c r="AR365" s="74"/>
      <c r="AS365" s="149"/>
      <c r="AT365" s="235"/>
      <c r="AU365" s="57"/>
      <c r="AV365" s="57"/>
      <c r="AW365" s="57"/>
      <c r="AX365" s="70"/>
      <c r="AY365" s="149"/>
      <c r="AZ365" s="112"/>
      <c r="BA365" s="236"/>
      <c r="BB365" s="236"/>
      <c r="BC365" s="152"/>
      <c r="BD365" s="152"/>
      <c r="BE365" s="236"/>
      <c r="BF365" s="262"/>
      <c r="BG365" s="262"/>
    </row>
    <row r="366" spans="1:59" ht="12.75" customHeight="1" x14ac:dyDescent="0.15">
      <c r="A366" s="57"/>
      <c r="B366" s="57"/>
      <c r="C366" s="57"/>
      <c r="D366" s="103"/>
      <c r="E366" s="125"/>
      <c r="F366" s="125"/>
      <c r="G366" s="57"/>
      <c r="H366" s="57"/>
      <c r="I366" s="57"/>
      <c r="J366" s="57"/>
      <c r="K366" s="57"/>
      <c r="L366" s="57"/>
      <c r="M366" s="57"/>
      <c r="N366" s="57"/>
      <c r="O366" s="70"/>
      <c r="P366" s="57"/>
      <c r="Q366" s="24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220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149"/>
      <c r="AP366" s="149"/>
      <c r="AQ366" s="57"/>
      <c r="AR366" s="74"/>
      <c r="AS366" s="149"/>
      <c r="AT366" s="235"/>
      <c r="AU366" s="57"/>
      <c r="AV366" s="57"/>
      <c r="AW366" s="57"/>
      <c r="AX366" s="70"/>
      <c r="AY366" s="149"/>
      <c r="AZ366" s="112"/>
      <c r="BA366" s="236"/>
      <c r="BB366" s="236"/>
      <c r="BC366" s="152"/>
      <c r="BD366" s="152"/>
      <c r="BE366" s="236"/>
      <c r="BF366" s="262"/>
      <c r="BG366" s="262"/>
    </row>
    <row r="367" spans="1:59" ht="12.75" customHeight="1" x14ac:dyDescent="0.15">
      <c r="A367" s="57"/>
      <c r="B367" s="57"/>
      <c r="C367" s="57"/>
      <c r="D367" s="103"/>
      <c r="E367" s="125"/>
      <c r="F367" s="125"/>
      <c r="G367" s="57"/>
      <c r="H367" s="57"/>
      <c r="I367" s="57"/>
      <c r="J367" s="57"/>
      <c r="K367" s="57"/>
      <c r="L367" s="57"/>
      <c r="M367" s="57"/>
      <c r="N367" s="57"/>
      <c r="O367" s="70"/>
      <c r="P367" s="57"/>
      <c r="Q367" s="24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220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149"/>
      <c r="AP367" s="149"/>
      <c r="AQ367" s="57"/>
      <c r="AR367" s="74"/>
      <c r="AS367" s="149"/>
      <c r="AT367" s="235"/>
      <c r="AU367" s="57"/>
      <c r="AV367" s="57"/>
      <c r="AW367" s="57"/>
      <c r="AX367" s="70"/>
      <c r="AY367" s="149"/>
      <c r="AZ367" s="112"/>
      <c r="BA367" s="236"/>
      <c r="BB367" s="236"/>
      <c r="BC367" s="152"/>
      <c r="BD367" s="152"/>
      <c r="BE367" s="236"/>
      <c r="BF367" s="262"/>
      <c r="BG367" s="262"/>
    </row>
    <row r="368" spans="1:59" ht="12.75" customHeight="1" x14ac:dyDescent="0.15">
      <c r="A368" s="57"/>
      <c r="B368" s="57"/>
      <c r="C368" s="57"/>
      <c r="D368" s="103"/>
      <c r="E368" s="125"/>
      <c r="F368" s="125"/>
      <c r="G368" s="57"/>
      <c r="H368" s="57"/>
      <c r="I368" s="57"/>
      <c r="J368" s="57"/>
      <c r="K368" s="57"/>
      <c r="L368" s="57"/>
      <c r="M368" s="57"/>
      <c r="N368" s="57"/>
      <c r="O368" s="70"/>
      <c r="P368" s="57"/>
      <c r="Q368" s="24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220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149"/>
      <c r="AP368" s="149"/>
      <c r="AQ368" s="57"/>
      <c r="AR368" s="74"/>
      <c r="AS368" s="149"/>
      <c r="AT368" s="235"/>
      <c r="AU368" s="57"/>
      <c r="AV368" s="57"/>
      <c r="AW368" s="57"/>
      <c r="AX368" s="70"/>
      <c r="AY368" s="149"/>
      <c r="AZ368" s="112"/>
      <c r="BA368" s="236"/>
      <c r="BB368" s="236"/>
      <c r="BC368" s="152"/>
      <c r="BD368" s="152"/>
      <c r="BE368" s="236"/>
      <c r="BF368" s="262"/>
      <c r="BG368" s="262"/>
    </row>
    <row r="369" spans="1:59" ht="12.75" customHeight="1" x14ac:dyDescent="0.15">
      <c r="A369" s="57"/>
      <c r="B369" s="57"/>
      <c r="C369" s="57"/>
      <c r="D369" s="103"/>
      <c r="E369" s="125"/>
      <c r="F369" s="125"/>
      <c r="G369" s="57"/>
      <c r="H369" s="57"/>
      <c r="I369" s="57"/>
      <c r="J369" s="57"/>
      <c r="K369" s="57"/>
      <c r="L369" s="57"/>
      <c r="M369" s="57"/>
      <c r="N369" s="57"/>
      <c r="O369" s="70"/>
      <c r="P369" s="57"/>
      <c r="Q369" s="24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220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149"/>
      <c r="AP369" s="149"/>
      <c r="AQ369" s="57"/>
      <c r="AR369" s="74"/>
      <c r="AS369" s="149"/>
      <c r="AT369" s="235"/>
      <c r="AU369" s="57"/>
      <c r="AV369" s="57"/>
      <c r="AW369" s="57"/>
      <c r="AX369" s="70"/>
      <c r="AY369" s="149"/>
      <c r="AZ369" s="112"/>
      <c r="BA369" s="236"/>
      <c r="BB369" s="236"/>
      <c r="BC369" s="152"/>
      <c r="BD369" s="152"/>
      <c r="BE369" s="236"/>
      <c r="BF369" s="262"/>
      <c r="BG369" s="262"/>
    </row>
    <row r="370" spans="1:59" ht="12.75" customHeight="1" x14ac:dyDescent="0.15">
      <c r="A370" s="57"/>
      <c r="B370" s="57"/>
      <c r="C370" s="57"/>
      <c r="D370" s="103"/>
      <c r="E370" s="125"/>
      <c r="F370" s="125"/>
      <c r="G370" s="57"/>
      <c r="H370" s="57"/>
      <c r="I370" s="57"/>
      <c r="J370" s="57"/>
      <c r="K370" s="57"/>
      <c r="L370" s="57"/>
      <c r="M370" s="57"/>
      <c r="N370" s="57"/>
      <c r="O370" s="70"/>
      <c r="P370" s="57"/>
      <c r="Q370" s="24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220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149"/>
      <c r="AP370" s="149"/>
      <c r="AQ370" s="57"/>
      <c r="AR370" s="74"/>
      <c r="AS370" s="149"/>
      <c r="AT370" s="235"/>
      <c r="AU370" s="57"/>
      <c r="AV370" s="57"/>
      <c r="AW370" s="57"/>
      <c r="AX370" s="70"/>
      <c r="AY370" s="149"/>
      <c r="AZ370" s="112"/>
      <c r="BA370" s="236"/>
      <c r="BB370" s="236"/>
      <c r="BC370" s="152"/>
      <c r="BD370" s="152"/>
      <c r="BE370" s="236"/>
      <c r="BF370" s="262"/>
      <c r="BG370" s="262"/>
    </row>
    <row r="371" spans="1:59" ht="12.75" customHeight="1" x14ac:dyDescent="0.15">
      <c r="A371" s="57"/>
      <c r="B371" s="57"/>
      <c r="C371" s="57"/>
      <c r="D371" s="103"/>
      <c r="E371" s="125"/>
      <c r="F371" s="125"/>
      <c r="G371" s="57"/>
      <c r="H371" s="57"/>
      <c r="I371" s="57"/>
      <c r="J371" s="57"/>
      <c r="K371" s="57"/>
      <c r="L371" s="57"/>
      <c r="M371" s="57"/>
      <c r="N371" s="57"/>
      <c r="O371" s="70"/>
      <c r="P371" s="57"/>
      <c r="Q371" s="24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220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149"/>
      <c r="AP371" s="149"/>
      <c r="AQ371" s="57"/>
      <c r="AR371" s="74"/>
      <c r="AS371" s="149"/>
      <c r="AT371" s="235"/>
      <c r="AU371" s="57"/>
      <c r="AV371" s="57"/>
      <c r="AW371" s="57"/>
      <c r="AX371" s="70"/>
      <c r="AY371" s="149"/>
      <c r="AZ371" s="112"/>
      <c r="BA371" s="236"/>
      <c r="BB371" s="236"/>
      <c r="BC371" s="152"/>
      <c r="BD371" s="152"/>
      <c r="BE371" s="236"/>
      <c r="BF371" s="262"/>
      <c r="BG371" s="262"/>
    </row>
    <row r="372" spans="1:59" ht="12.75" customHeight="1" x14ac:dyDescent="0.15">
      <c r="A372" s="57"/>
      <c r="B372" s="57"/>
      <c r="C372" s="57"/>
      <c r="D372" s="103"/>
      <c r="E372" s="125"/>
      <c r="F372" s="125"/>
      <c r="G372" s="57"/>
      <c r="H372" s="57"/>
      <c r="I372" s="57"/>
      <c r="J372" s="57"/>
      <c r="K372" s="57"/>
      <c r="L372" s="57"/>
      <c r="M372" s="57"/>
      <c r="N372" s="57"/>
      <c r="O372" s="70"/>
      <c r="P372" s="57"/>
      <c r="Q372" s="24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220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149"/>
      <c r="AP372" s="149"/>
      <c r="AQ372" s="57"/>
      <c r="AR372" s="74"/>
      <c r="AS372" s="149"/>
      <c r="AT372" s="235"/>
      <c r="AU372" s="57"/>
      <c r="AV372" s="57"/>
      <c r="AW372" s="57"/>
      <c r="AX372" s="70"/>
      <c r="AY372" s="149"/>
      <c r="AZ372" s="112"/>
      <c r="BA372" s="236"/>
      <c r="BB372" s="236"/>
      <c r="BC372" s="152"/>
      <c r="BD372" s="152"/>
      <c r="BE372" s="236"/>
      <c r="BF372" s="262"/>
      <c r="BG372" s="262"/>
    </row>
    <row r="373" spans="1:59" ht="12.75" customHeight="1" x14ac:dyDescent="0.15">
      <c r="A373" s="57"/>
      <c r="B373" s="57"/>
      <c r="C373" s="57"/>
      <c r="D373" s="103"/>
      <c r="E373" s="125"/>
      <c r="F373" s="125"/>
      <c r="G373" s="57"/>
      <c r="H373" s="57"/>
      <c r="I373" s="57"/>
      <c r="J373" s="57"/>
      <c r="K373" s="57"/>
      <c r="L373" s="57"/>
      <c r="M373" s="57"/>
      <c r="N373" s="57"/>
      <c r="O373" s="70"/>
      <c r="P373" s="57"/>
      <c r="Q373" s="24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220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149"/>
      <c r="AP373" s="149"/>
      <c r="AQ373" s="57"/>
      <c r="AR373" s="74"/>
      <c r="AS373" s="149"/>
      <c r="AT373" s="235"/>
      <c r="AU373" s="57"/>
      <c r="AV373" s="57"/>
      <c r="AW373" s="57"/>
      <c r="AX373" s="70"/>
      <c r="AY373" s="149"/>
      <c r="AZ373" s="112"/>
      <c r="BA373" s="236"/>
      <c r="BB373" s="236"/>
      <c r="BC373" s="152"/>
      <c r="BD373" s="152"/>
      <c r="BE373" s="236"/>
      <c r="BF373" s="262"/>
      <c r="BG373" s="262"/>
    </row>
    <row r="374" spans="1:59" ht="12.75" customHeight="1" x14ac:dyDescent="0.15">
      <c r="A374" s="57"/>
      <c r="B374" s="57"/>
      <c r="C374" s="57"/>
      <c r="D374" s="103"/>
      <c r="E374" s="125"/>
      <c r="F374" s="125"/>
      <c r="G374" s="57"/>
      <c r="H374" s="57"/>
      <c r="I374" s="57"/>
      <c r="J374" s="57"/>
      <c r="K374" s="57"/>
      <c r="L374" s="57"/>
      <c r="M374" s="57"/>
      <c r="N374" s="57"/>
      <c r="O374" s="70"/>
      <c r="P374" s="57"/>
      <c r="Q374" s="24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220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149"/>
      <c r="AP374" s="149"/>
      <c r="AQ374" s="57"/>
      <c r="AR374" s="74"/>
      <c r="AS374" s="149"/>
      <c r="AT374" s="235"/>
      <c r="AU374" s="57"/>
      <c r="AV374" s="57"/>
      <c r="AW374" s="57"/>
      <c r="AX374" s="70"/>
      <c r="AY374" s="149"/>
      <c r="AZ374" s="112"/>
      <c r="BA374" s="236"/>
      <c r="BB374" s="236"/>
      <c r="BC374" s="152"/>
      <c r="BD374" s="152"/>
      <c r="BE374" s="236"/>
      <c r="BF374" s="262"/>
      <c r="BG374" s="262"/>
    </row>
    <row r="375" spans="1:59" ht="12.75" customHeight="1" x14ac:dyDescent="0.15">
      <c r="A375" s="57"/>
      <c r="B375" s="57"/>
      <c r="C375" s="57"/>
      <c r="D375" s="103"/>
      <c r="E375" s="125"/>
      <c r="F375" s="125"/>
      <c r="G375" s="57"/>
      <c r="H375" s="57"/>
      <c r="I375" s="57"/>
      <c r="J375" s="57"/>
      <c r="K375" s="57"/>
      <c r="L375" s="57"/>
      <c r="M375" s="57"/>
      <c r="N375" s="57"/>
      <c r="O375" s="70"/>
      <c r="P375" s="57"/>
      <c r="Q375" s="24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220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149"/>
      <c r="AP375" s="149"/>
      <c r="AQ375" s="57"/>
      <c r="AR375" s="74"/>
      <c r="AS375" s="149"/>
      <c r="AT375" s="235"/>
      <c r="AU375" s="57"/>
      <c r="AV375" s="57"/>
      <c r="AW375" s="57"/>
      <c r="AX375" s="70"/>
      <c r="AY375" s="149"/>
      <c r="AZ375" s="112"/>
      <c r="BA375" s="236"/>
      <c r="BB375" s="236"/>
      <c r="BC375" s="152"/>
      <c r="BD375" s="152"/>
      <c r="BE375" s="236"/>
      <c r="BF375" s="262"/>
      <c r="BG375" s="262"/>
    </row>
    <row r="376" spans="1:59" ht="12.75" customHeight="1" x14ac:dyDescent="0.15">
      <c r="A376" s="57"/>
      <c r="B376" s="57"/>
      <c r="C376" s="57"/>
      <c r="D376" s="103"/>
      <c r="E376" s="125"/>
      <c r="F376" s="125"/>
      <c r="G376" s="57"/>
      <c r="H376" s="57"/>
      <c r="I376" s="57"/>
      <c r="J376" s="57"/>
      <c r="K376" s="57"/>
      <c r="L376" s="57"/>
      <c r="M376" s="57"/>
      <c r="N376" s="57"/>
      <c r="O376" s="70"/>
      <c r="P376" s="57"/>
      <c r="Q376" s="24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220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149"/>
      <c r="AP376" s="149"/>
      <c r="AQ376" s="57"/>
      <c r="AR376" s="74"/>
      <c r="AS376" s="149"/>
      <c r="AT376" s="235"/>
      <c r="AU376" s="57"/>
      <c r="AV376" s="57"/>
      <c r="AW376" s="57"/>
      <c r="AX376" s="70"/>
      <c r="AY376" s="149"/>
      <c r="AZ376" s="112"/>
      <c r="BA376" s="236"/>
      <c r="BB376" s="236"/>
      <c r="BC376" s="152"/>
      <c r="BD376" s="152"/>
      <c r="BE376" s="236"/>
      <c r="BF376" s="262"/>
      <c r="BG376" s="262"/>
    </row>
    <row r="377" spans="1:59" ht="12.75" customHeight="1" x14ac:dyDescent="0.15">
      <c r="A377" s="57"/>
      <c r="B377" s="57"/>
      <c r="C377" s="57"/>
      <c r="D377" s="103"/>
      <c r="E377" s="125"/>
      <c r="F377" s="125"/>
      <c r="G377" s="57"/>
      <c r="H377" s="57"/>
      <c r="I377" s="57"/>
      <c r="J377" s="57"/>
      <c r="K377" s="57"/>
      <c r="L377" s="57"/>
      <c r="M377" s="57"/>
      <c r="N377" s="57"/>
      <c r="O377" s="70"/>
      <c r="P377" s="57"/>
      <c r="Q377" s="24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220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149"/>
      <c r="AP377" s="149"/>
      <c r="AQ377" s="57"/>
      <c r="AR377" s="74"/>
      <c r="AS377" s="149"/>
      <c r="AT377" s="235"/>
      <c r="AU377" s="57"/>
      <c r="AV377" s="57"/>
      <c r="AW377" s="57"/>
      <c r="AX377" s="70"/>
      <c r="AY377" s="149"/>
      <c r="AZ377" s="112"/>
      <c r="BA377" s="236"/>
      <c r="BB377" s="236"/>
      <c r="BC377" s="152"/>
      <c r="BD377" s="152"/>
      <c r="BE377" s="236"/>
      <c r="BF377" s="262"/>
      <c r="BG377" s="262"/>
    </row>
    <row r="378" spans="1:59" ht="12.75" customHeight="1" x14ac:dyDescent="0.15">
      <c r="A378" s="57"/>
      <c r="B378" s="57"/>
      <c r="C378" s="57"/>
      <c r="D378" s="103"/>
      <c r="E378" s="125"/>
      <c r="F378" s="125"/>
      <c r="G378" s="57"/>
      <c r="H378" s="57"/>
      <c r="I378" s="57"/>
      <c r="J378" s="57"/>
      <c r="K378" s="57"/>
      <c r="L378" s="57"/>
      <c r="M378" s="57"/>
      <c r="N378" s="57"/>
      <c r="O378" s="70"/>
      <c r="P378" s="57"/>
      <c r="Q378" s="24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220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149"/>
      <c r="AP378" s="149"/>
      <c r="AQ378" s="57"/>
      <c r="AR378" s="74"/>
      <c r="AS378" s="149"/>
      <c r="AT378" s="235"/>
      <c r="AU378" s="57"/>
      <c r="AV378" s="57"/>
      <c r="AW378" s="57"/>
      <c r="AX378" s="70"/>
      <c r="AY378" s="149"/>
      <c r="AZ378" s="112"/>
      <c r="BA378" s="236"/>
      <c r="BB378" s="236"/>
      <c r="BC378" s="152"/>
      <c r="BD378" s="152"/>
      <c r="BE378" s="236"/>
      <c r="BF378" s="262"/>
      <c r="BG378" s="262"/>
    </row>
    <row r="379" spans="1:59" ht="12.75" customHeight="1" x14ac:dyDescent="0.15">
      <c r="A379" s="57"/>
      <c r="B379" s="57"/>
      <c r="C379" s="57"/>
      <c r="D379" s="103"/>
      <c r="E379" s="125"/>
      <c r="F379" s="125"/>
      <c r="G379" s="57"/>
      <c r="H379" s="57"/>
      <c r="I379" s="57"/>
      <c r="J379" s="57"/>
      <c r="K379" s="57"/>
      <c r="L379" s="57"/>
      <c r="M379" s="57"/>
      <c r="N379" s="57"/>
      <c r="O379" s="70"/>
      <c r="P379" s="57"/>
      <c r="Q379" s="24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220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149"/>
      <c r="AP379" s="149"/>
      <c r="AQ379" s="57"/>
      <c r="AR379" s="74"/>
      <c r="AS379" s="149"/>
      <c r="AT379" s="235"/>
      <c r="AU379" s="57"/>
      <c r="AV379" s="57"/>
      <c r="AW379" s="57"/>
      <c r="AX379" s="70"/>
      <c r="AY379" s="149"/>
      <c r="AZ379" s="112"/>
      <c r="BA379" s="236"/>
      <c r="BB379" s="236"/>
      <c r="BC379" s="152"/>
      <c r="BD379" s="152"/>
      <c r="BE379" s="236"/>
      <c r="BF379" s="262"/>
      <c r="BG379" s="262"/>
    </row>
    <row r="380" spans="1:59" ht="12.75" customHeight="1" x14ac:dyDescent="0.15">
      <c r="A380" s="57"/>
      <c r="B380" s="57"/>
      <c r="C380" s="57"/>
      <c r="D380" s="103"/>
      <c r="E380" s="125"/>
      <c r="F380" s="125"/>
      <c r="G380" s="57"/>
      <c r="H380" s="57"/>
      <c r="I380" s="57"/>
      <c r="J380" s="57"/>
      <c r="K380" s="57"/>
      <c r="L380" s="57"/>
      <c r="M380" s="57"/>
      <c r="N380" s="57"/>
      <c r="O380" s="70"/>
      <c r="P380" s="57"/>
      <c r="Q380" s="24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220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149"/>
      <c r="AP380" s="149"/>
      <c r="AQ380" s="57"/>
      <c r="AR380" s="74"/>
      <c r="AS380" s="149"/>
      <c r="AT380" s="235"/>
      <c r="AU380" s="57"/>
      <c r="AV380" s="57"/>
      <c r="AW380" s="57"/>
      <c r="AX380" s="70"/>
      <c r="AY380" s="149"/>
      <c r="AZ380" s="112"/>
      <c r="BA380" s="236"/>
      <c r="BB380" s="236"/>
      <c r="BC380" s="152"/>
      <c r="BD380" s="152"/>
      <c r="BE380" s="236"/>
      <c r="BF380" s="262"/>
      <c r="BG380" s="262"/>
    </row>
    <row r="381" spans="1:59" ht="12.75" customHeight="1" x14ac:dyDescent="0.15">
      <c r="A381" s="57"/>
      <c r="B381" s="57"/>
      <c r="C381" s="57"/>
      <c r="D381" s="103"/>
      <c r="E381" s="125"/>
      <c r="F381" s="125"/>
      <c r="G381" s="57"/>
      <c r="H381" s="57"/>
      <c r="I381" s="57"/>
      <c r="J381" s="57"/>
      <c r="K381" s="57"/>
      <c r="L381" s="57"/>
      <c r="M381" s="57"/>
      <c r="N381" s="57"/>
      <c r="O381" s="70"/>
      <c r="P381" s="57"/>
      <c r="Q381" s="24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220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149"/>
      <c r="AP381" s="149"/>
      <c r="AQ381" s="57"/>
      <c r="AR381" s="74"/>
      <c r="AS381" s="149"/>
      <c r="AT381" s="235"/>
      <c r="AU381" s="57"/>
      <c r="AV381" s="57"/>
      <c r="AW381" s="57"/>
      <c r="AX381" s="70"/>
      <c r="AY381" s="149"/>
      <c r="AZ381" s="112"/>
      <c r="BA381" s="236"/>
      <c r="BB381" s="236"/>
      <c r="BC381" s="152"/>
      <c r="BD381" s="152"/>
      <c r="BE381" s="236"/>
      <c r="BF381" s="262"/>
      <c r="BG381" s="262"/>
    </row>
    <row r="382" spans="1:59" ht="12.75" customHeight="1" x14ac:dyDescent="0.15">
      <c r="A382" s="57"/>
      <c r="B382" s="57"/>
      <c r="C382" s="57"/>
      <c r="D382" s="103"/>
      <c r="E382" s="125"/>
      <c r="F382" s="125"/>
      <c r="G382" s="57"/>
      <c r="H382" s="57"/>
      <c r="I382" s="57"/>
      <c r="J382" s="57"/>
      <c r="K382" s="57"/>
      <c r="L382" s="57"/>
      <c r="M382" s="57"/>
      <c r="N382" s="57"/>
      <c r="O382" s="70"/>
      <c r="P382" s="57"/>
      <c r="Q382" s="24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220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149"/>
      <c r="AP382" s="149"/>
      <c r="AQ382" s="57"/>
      <c r="AR382" s="74"/>
      <c r="AS382" s="149"/>
      <c r="AT382" s="235"/>
      <c r="AU382" s="57"/>
      <c r="AV382" s="57"/>
      <c r="AW382" s="57"/>
      <c r="AX382" s="70"/>
      <c r="AY382" s="149"/>
      <c r="AZ382" s="112"/>
      <c r="BA382" s="236"/>
      <c r="BB382" s="236"/>
      <c r="BC382" s="152"/>
      <c r="BD382" s="152"/>
      <c r="BE382" s="236"/>
      <c r="BF382" s="262"/>
      <c r="BG382" s="262"/>
    </row>
    <row r="383" spans="1:59" ht="12.75" customHeight="1" x14ac:dyDescent="0.15">
      <c r="A383" s="57"/>
      <c r="B383" s="57"/>
      <c r="C383" s="57"/>
      <c r="D383" s="103"/>
      <c r="E383" s="125"/>
      <c r="F383" s="125"/>
      <c r="G383" s="57"/>
      <c r="H383" s="57"/>
      <c r="I383" s="57"/>
      <c r="J383" s="57"/>
      <c r="K383" s="57"/>
      <c r="L383" s="57"/>
      <c r="M383" s="57"/>
      <c r="N383" s="57"/>
      <c r="O383" s="70"/>
      <c r="P383" s="57"/>
      <c r="Q383" s="24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220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149"/>
      <c r="AP383" s="149"/>
      <c r="AQ383" s="57"/>
      <c r="AR383" s="74"/>
      <c r="AS383" s="149"/>
      <c r="AT383" s="235"/>
      <c r="AU383" s="57"/>
      <c r="AV383" s="57"/>
      <c r="AW383" s="57"/>
      <c r="AX383" s="70"/>
      <c r="AY383" s="149"/>
      <c r="AZ383" s="112"/>
      <c r="BA383" s="236"/>
      <c r="BB383" s="236"/>
      <c r="BC383" s="152"/>
      <c r="BD383" s="152"/>
      <c r="BE383" s="236"/>
      <c r="BF383" s="262"/>
      <c r="BG383" s="262"/>
    </row>
    <row r="384" spans="1:59" ht="12.75" customHeight="1" x14ac:dyDescent="0.15">
      <c r="A384" s="57"/>
      <c r="B384" s="57"/>
      <c r="C384" s="57"/>
      <c r="D384" s="103"/>
      <c r="E384" s="125"/>
      <c r="F384" s="125"/>
      <c r="G384" s="57"/>
      <c r="H384" s="57"/>
      <c r="I384" s="57"/>
      <c r="J384" s="57"/>
      <c r="K384" s="57"/>
      <c r="L384" s="57"/>
      <c r="M384" s="57"/>
      <c r="N384" s="57"/>
      <c r="O384" s="70"/>
      <c r="P384" s="57"/>
      <c r="Q384" s="24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220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149"/>
      <c r="AP384" s="149"/>
      <c r="AQ384" s="57"/>
      <c r="AR384" s="74"/>
      <c r="AS384" s="149"/>
      <c r="AT384" s="235"/>
      <c r="AU384" s="57"/>
      <c r="AV384" s="57"/>
      <c r="AW384" s="57"/>
      <c r="AX384" s="70"/>
      <c r="AY384" s="149"/>
      <c r="AZ384" s="112"/>
      <c r="BA384" s="236"/>
      <c r="BB384" s="236"/>
      <c r="BC384" s="152"/>
      <c r="BD384" s="152"/>
      <c r="BE384" s="236"/>
      <c r="BF384" s="262"/>
      <c r="BG384" s="262"/>
    </row>
    <row r="385" spans="1:59" ht="12.75" customHeight="1" x14ac:dyDescent="0.15">
      <c r="A385" s="57"/>
      <c r="B385" s="57"/>
      <c r="C385" s="57"/>
      <c r="D385" s="103"/>
      <c r="E385" s="125"/>
      <c r="F385" s="125"/>
      <c r="G385" s="57"/>
      <c r="H385" s="57"/>
      <c r="I385" s="57"/>
      <c r="J385" s="57"/>
      <c r="K385" s="57"/>
      <c r="L385" s="57"/>
      <c r="M385" s="57"/>
      <c r="N385" s="57"/>
      <c r="O385" s="70"/>
      <c r="P385" s="57"/>
      <c r="Q385" s="24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220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149"/>
      <c r="AP385" s="149"/>
      <c r="AQ385" s="57"/>
      <c r="AR385" s="74"/>
      <c r="AS385" s="149"/>
      <c r="AT385" s="235"/>
      <c r="AU385" s="57"/>
      <c r="AV385" s="57"/>
      <c r="AW385" s="57"/>
      <c r="AX385" s="70"/>
      <c r="AY385" s="149"/>
      <c r="AZ385" s="112"/>
      <c r="BA385" s="236"/>
      <c r="BB385" s="236"/>
      <c r="BC385" s="152"/>
      <c r="BD385" s="152"/>
      <c r="BE385" s="236"/>
      <c r="BF385" s="262"/>
      <c r="BG385" s="262"/>
    </row>
    <row r="386" spans="1:59" ht="12.75" customHeight="1" x14ac:dyDescent="0.15">
      <c r="A386" s="57"/>
      <c r="B386" s="57"/>
      <c r="C386" s="57"/>
      <c r="D386" s="103"/>
      <c r="E386" s="125"/>
      <c r="F386" s="125"/>
      <c r="G386" s="57"/>
      <c r="H386" s="57"/>
      <c r="I386" s="57"/>
      <c r="J386" s="57"/>
      <c r="K386" s="57"/>
      <c r="L386" s="57"/>
      <c r="M386" s="57"/>
      <c r="N386" s="57"/>
      <c r="O386" s="70"/>
      <c r="P386" s="57"/>
      <c r="Q386" s="24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220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149"/>
      <c r="AP386" s="149"/>
      <c r="AQ386" s="57"/>
      <c r="AR386" s="74"/>
      <c r="AS386" s="149"/>
      <c r="AT386" s="235"/>
      <c r="AU386" s="57"/>
      <c r="AV386" s="57"/>
      <c r="AW386" s="57"/>
      <c r="AX386" s="70"/>
      <c r="AY386" s="149"/>
      <c r="AZ386" s="112"/>
      <c r="BA386" s="236"/>
      <c r="BB386" s="236"/>
      <c r="BC386" s="152"/>
      <c r="BD386" s="152"/>
      <c r="BE386" s="236"/>
      <c r="BF386" s="262"/>
      <c r="BG386" s="262"/>
    </row>
    <row r="387" spans="1:59" ht="12.75" customHeight="1" x14ac:dyDescent="0.15">
      <c r="A387" s="57"/>
      <c r="B387" s="57"/>
      <c r="C387" s="57"/>
      <c r="D387" s="103"/>
      <c r="E387" s="125"/>
      <c r="F387" s="125"/>
      <c r="G387" s="57"/>
      <c r="H387" s="57"/>
      <c r="I387" s="57"/>
      <c r="J387" s="57"/>
      <c r="K387" s="57"/>
      <c r="L387" s="57"/>
      <c r="M387" s="57"/>
      <c r="N387" s="57"/>
      <c r="O387" s="70"/>
      <c r="P387" s="57"/>
      <c r="Q387" s="24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220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149"/>
      <c r="AP387" s="149"/>
      <c r="AQ387" s="57"/>
      <c r="AR387" s="74"/>
      <c r="AS387" s="149"/>
      <c r="AT387" s="235"/>
      <c r="AU387" s="57"/>
      <c r="AV387" s="57"/>
      <c r="AW387" s="57"/>
      <c r="AX387" s="70"/>
      <c r="AY387" s="149"/>
      <c r="AZ387" s="112"/>
      <c r="BA387" s="236"/>
      <c r="BB387" s="236"/>
      <c r="BC387" s="152"/>
      <c r="BD387" s="152"/>
      <c r="BE387" s="236"/>
      <c r="BF387" s="262"/>
      <c r="BG387" s="262"/>
    </row>
    <row r="388" spans="1:59" ht="12.75" customHeight="1" x14ac:dyDescent="0.15">
      <c r="A388" s="57"/>
      <c r="B388" s="57"/>
      <c r="C388" s="57"/>
      <c r="D388" s="103"/>
      <c r="E388" s="125"/>
      <c r="F388" s="125"/>
      <c r="G388" s="57"/>
      <c r="H388" s="57"/>
      <c r="I388" s="57"/>
      <c r="J388" s="57"/>
      <c r="K388" s="57"/>
      <c r="L388" s="57"/>
      <c r="M388" s="57"/>
      <c r="N388" s="57"/>
      <c r="O388" s="70"/>
      <c r="P388" s="57"/>
      <c r="Q388" s="24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220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149"/>
      <c r="AP388" s="149"/>
      <c r="AQ388" s="57"/>
      <c r="AR388" s="74"/>
      <c r="AS388" s="149"/>
      <c r="AT388" s="235"/>
      <c r="AU388" s="57"/>
      <c r="AV388" s="57"/>
      <c r="AW388" s="57"/>
      <c r="AX388" s="70"/>
      <c r="AY388" s="149"/>
      <c r="AZ388" s="112"/>
      <c r="BA388" s="236"/>
      <c r="BB388" s="236"/>
      <c r="BC388" s="152"/>
      <c r="BD388" s="152"/>
      <c r="BE388" s="236"/>
      <c r="BF388" s="262"/>
      <c r="BG388" s="262"/>
    </row>
    <row r="389" spans="1:59" ht="12.75" customHeight="1" x14ac:dyDescent="0.15">
      <c r="A389" s="57"/>
      <c r="B389" s="57"/>
      <c r="C389" s="57"/>
      <c r="D389" s="103"/>
      <c r="E389" s="125"/>
      <c r="F389" s="125"/>
      <c r="G389" s="57"/>
      <c r="H389" s="57"/>
      <c r="I389" s="57"/>
      <c r="J389" s="57"/>
      <c r="K389" s="57"/>
      <c r="L389" s="57"/>
      <c r="M389" s="57"/>
      <c r="N389" s="57"/>
      <c r="O389" s="70"/>
      <c r="P389" s="57"/>
      <c r="Q389" s="24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220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149"/>
      <c r="AP389" s="149"/>
      <c r="AQ389" s="57"/>
      <c r="AR389" s="74"/>
      <c r="AS389" s="149"/>
      <c r="AT389" s="235"/>
      <c r="AU389" s="57"/>
      <c r="AV389" s="57"/>
      <c r="AW389" s="57"/>
      <c r="AX389" s="70"/>
      <c r="AY389" s="149"/>
      <c r="AZ389" s="112"/>
      <c r="BA389" s="236"/>
      <c r="BB389" s="236"/>
      <c r="BC389" s="152"/>
      <c r="BD389" s="152"/>
      <c r="BE389" s="236"/>
      <c r="BF389" s="262"/>
      <c r="BG389" s="262"/>
    </row>
    <row r="390" spans="1:59" ht="12.75" customHeight="1" x14ac:dyDescent="0.15">
      <c r="A390" s="57"/>
      <c r="B390" s="57"/>
      <c r="C390" s="57"/>
      <c r="D390" s="103"/>
      <c r="E390" s="125"/>
      <c r="F390" s="125"/>
      <c r="G390" s="57"/>
      <c r="H390" s="57"/>
      <c r="I390" s="57"/>
      <c r="J390" s="57"/>
      <c r="K390" s="57"/>
      <c r="L390" s="57"/>
      <c r="M390" s="57"/>
      <c r="N390" s="57"/>
      <c r="O390" s="70"/>
      <c r="P390" s="57"/>
      <c r="Q390" s="24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220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149"/>
      <c r="AP390" s="149"/>
      <c r="AQ390" s="57"/>
      <c r="AR390" s="74"/>
      <c r="AS390" s="149"/>
      <c r="AT390" s="235"/>
      <c r="AU390" s="57"/>
      <c r="AV390" s="57"/>
      <c r="AW390" s="57"/>
      <c r="AX390" s="70"/>
      <c r="AY390" s="149"/>
      <c r="AZ390" s="112"/>
      <c r="BA390" s="236"/>
      <c r="BB390" s="236"/>
      <c r="BC390" s="152"/>
      <c r="BD390" s="152"/>
      <c r="BE390" s="236"/>
      <c r="BF390" s="262"/>
      <c r="BG390" s="262"/>
    </row>
    <row r="391" spans="1:59" ht="12.75" customHeight="1" x14ac:dyDescent="0.15">
      <c r="A391" s="57"/>
      <c r="B391" s="57"/>
      <c r="C391" s="57"/>
      <c r="D391" s="103"/>
      <c r="E391" s="125"/>
      <c r="F391" s="125"/>
      <c r="G391" s="57"/>
      <c r="H391" s="57"/>
      <c r="I391" s="57"/>
      <c r="J391" s="57"/>
      <c r="K391" s="57"/>
      <c r="L391" s="57"/>
      <c r="M391" s="57"/>
      <c r="N391" s="57"/>
      <c r="O391" s="70"/>
      <c r="P391" s="57"/>
      <c r="Q391" s="24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220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149"/>
      <c r="AP391" s="149"/>
      <c r="AQ391" s="57"/>
      <c r="AR391" s="74"/>
      <c r="AS391" s="149"/>
      <c r="AT391" s="235"/>
      <c r="AU391" s="57"/>
      <c r="AV391" s="57"/>
      <c r="AW391" s="57"/>
      <c r="AX391" s="70"/>
      <c r="AY391" s="149"/>
      <c r="AZ391" s="112"/>
      <c r="BA391" s="236"/>
      <c r="BB391" s="236"/>
      <c r="BC391" s="152"/>
      <c r="BD391" s="152"/>
      <c r="BE391" s="236"/>
      <c r="BF391" s="262"/>
      <c r="BG391" s="262"/>
    </row>
    <row r="392" spans="1:59" ht="12.75" customHeight="1" x14ac:dyDescent="0.15">
      <c r="A392" s="57"/>
      <c r="B392" s="57"/>
      <c r="C392" s="57"/>
      <c r="D392" s="103"/>
      <c r="E392" s="125"/>
      <c r="F392" s="125"/>
      <c r="G392" s="57"/>
      <c r="H392" s="57"/>
      <c r="I392" s="57"/>
      <c r="J392" s="57"/>
      <c r="K392" s="57"/>
      <c r="L392" s="57"/>
      <c r="M392" s="57"/>
      <c r="N392" s="57"/>
      <c r="O392" s="70"/>
      <c r="P392" s="57"/>
      <c r="Q392" s="24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220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149"/>
      <c r="AP392" s="149"/>
      <c r="AQ392" s="57"/>
      <c r="AR392" s="74"/>
      <c r="AS392" s="149"/>
      <c r="AT392" s="235"/>
      <c r="AU392" s="57"/>
      <c r="AV392" s="57"/>
      <c r="AW392" s="57"/>
      <c r="AX392" s="70"/>
      <c r="AY392" s="149"/>
      <c r="AZ392" s="112"/>
      <c r="BA392" s="236"/>
      <c r="BB392" s="236"/>
      <c r="BC392" s="152"/>
      <c r="BD392" s="152"/>
      <c r="BE392" s="236"/>
      <c r="BF392" s="262"/>
      <c r="BG392" s="262"/>
    </row>
    <row r="393" spans="1:59" ht="12.75" customHeight="1" x14ac:dyDescent="0.15">
      <c r="A393" s="57"/>
      <c r="B393" s="57"/>
      <c r="C393" s="57"/>
      <c r="D393" s="103"/>
      <c r="E393" s="125"/>
      <c r="F393" s="125"/>
      <c r="G393" s="57"/>
      <c r="H393" s="57"/>
      <c r="I393" s="57"/>
      <c r="J393" s="57"/>
      <c r="K393" s="57"/>
      <c r="L393" s="57"/>
      <c r="M393" s="57"/>
      <c r="N393" s="57"/>
      <c r="O393" s="70"/>
      <c r="P393" s="57"/>
      <c r="Q393" s="24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220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149"/>
      <c r="AP393" s="149"/>
      <c r="AQ393" s="57"/>
      <c r="AR393" s="74"/>
      <c r="AS393" s="149"/>
      <c r="AT393" s="235"/>
      <c r="AU393" s="57"/>
      <c r="AV393" s="57"/>
      <c r="AW393" s="57"/>
      <c r="AX393" s="70"/>
      <c r="AY393" s="149"/>
      <c r="AZ393" s="112"/>
      <c r="BA393" s="236"/>
      <c r="BB393" s="236"/>
      <c r="BC393" s="152"/>
      <c r="BD393" s="152"/>
      <c r="BE393" s="236"/>
      <c r="BF393" s="262"/>
      <c r="BG393" s="262"/>
    </row>
    <row r="394" spans="1:59" ht="12.75" customHeight="1" x14ac:dyDescent="0.15">
      <c r="A394" s="57"/>
      <c r="B394" s="57"/>
      <c r="C394" s="57"/>
      <c r="D394" s="103"/>
      <c r="E394" s="125"/>
      <c r="F394" s="125"/>
      <c r="G394" s="57"/>
      <c r="H394" s="57"/>
      <c r="I394" s="57"/>
      <c r="J394" s="57"/>
      <c r="K394" s="57"/>
      <c r="L394" s="57"/>
      <c r="M394" s="57"/>
      <c r="N394" s="57"/>
      <c r="O394" s="70"/>
      <c r="P394" s="57"/>
      <c r="Q394" s="24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220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149"/>
      <c r="AP394" s="149"/>
      <c r="AQ394" s="57"/>
      <c r="AR394" s="74"/>
      <c r="AS394" s="149"/>
      <c r="AT394" s="235"/>
      <c r="AU394" s="57"/>
      <c r="AV394" s="57"/>
      <c r="AW394" s="57"/>
      <c r="AX394" s="70"/>
      <c r="AY394" s="149"/>
      <c r="AZ394" s="112"/>
      <c r="BA394" s="236"/>
      <c r="BB394" s="236"/>
      <c r="BC394" s="152"/>
      <c r="BD394" s="152"/>
      <c r="BE394" s="236"/>
      <c r="BF394" s="262"/>
      <c r="BG394" s="262"/>
    </row>
    <row r="395" spans="1:59" ht="12.75" customHeight="1" x14ac:dyDescent="0.15">
      <c r="A395" s="57"/>
      <c r="B395" s="57"/>
      <c r="C395" s="57"/>
      <c r="D395" s="103"/>
      <c r="E395" s="125"/>
      <c r="F395" s="125"/>
      <c r="G395" s="57"/>
      <c r="H395" s="57"/>
      <c r="I395" s="57"/>
      <c r="J395" s="57"/>
      <c r="K395" s="57"/>
      <c r="L395" s="57"/>
      <c r="M395" s="57"/>
      <c r="N395" s="57"/>
      <c r="O395" s="70"/>
      <c r="P395" s="57"/>
      <c r="Q395" s="24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220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149"/>
      <c r="AP395" s="149"/>
      <c r="AQ395" s="57"/>
      <c r="AR395" s="74"/>
      <c r="AS395" s="149"/>
      <c r="AT395" s="235"/>
      <c r="AU395" s="57"/>
      <c r="AV395" s="57"/>
      <c r="AW395" s="57"/>
      <c r="AX395" s="70"/>
      <c r="AY395" s="149"/>
      <c r="AZ395" s="112"/>
      <c r="BA395" s="236"/>
      <c r="BB395" s="236"/>
      <c r="BC395" s="152"/>
      <c r="BD395" s="152"/>
      <c r="BE395" s="236"/>
      <c r="BF395" s="262"/>
      <c r="BG395" s="262"/>
    </row>
    <row r="396" spans="1:59" ht="12.75" customHeight="1" x14ac:dyDescent="0.15">
      <c r="A396" s="57"/>
      <c r="B396" s="57"/>
      <c r="C396" s="57"/>
      <c r="D396" s="103"/>
      <c r="E396" s="125"/>
      <c r="F396" s="125"/>
      <c r="G396" s="57"/>
      <c r="H396" s="57"/>
      <c r="I396" s="57"/>
      <c r="J396" s="57"/>
      <c r="K396" s="57"/>
      <c r="L396" s="57"/>
      <c r="M396" s="57"/>
      <c r="N396" s="57"/>
      <c r="O396" s="70"/>
      <c r="P396" s="57"/>
      <c r="Q396" s="24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220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149"/>
      <c r="AP396" s="149"/>
      <c r="AQ396" s="57"/>
      <c r="AR396" s="74"/>
      <c r="AS396" s="149"/>
      <c r="AT396" s="235"/>
      <c r="AU396" s="57"/>
      <c r="AV396" s="57"/>
      <c r="AW396" s="57"/>
      <c r="AX396" s="70"/>
      <c r="AY396" s="149"/>
      <c r="AZ396" s="112"/>
      <c r="BA396" s="236"/>
      <c r="BB396" s="236"/>
      <c r="BC396" s="152"/>
      <c r="BD396" s="152"/>
      <c r="BE396" s="236"/>
      <c r="BF396" s="262"/>
      <c r="BG396" s="262"/>
    </row>
    <row r="397" spans="1:59" ht="12.75" customHeight="1" x14ac:dyDescent="0.15">
      <c r="A397" s="57"/>
      <c r="B397" s="57"/>
      <c r="C397" s="57"/>
      <c r="D397" s="103"/>
      <c r="E397" s="125"/>
      <c r="F397" s="125"/>
      <c r="G397" s="57"/>
      <c r="H397" s="57"/>
      <c r="I397" s="57"/>
      <c r="J397" s="57"/>
      <c r="K397" s="57"/>
      <c r="L397" s="57"/>
      <c r="M397" s="57"/>
      <c r="N397" s="57"/>
      <c r="O397" s="70"/>
      <c r="P397" s="57"/>
      <c r="Q397" s="24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220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149"/>
      <c r="AP397" s="149"/>
      <c r="AQ397" s="57"/>
      <c r="AR397" s="74"/>
      <c r="AS397" s="149"/>
      <c r="AT397" s="235"/>
      <c r="AU397" s="57"/>
      <c r="AV397" s="57"/>
      <c r="AW397" s="57"/>
      <c r="AX397" s="70"/>
      <c r="AY397" s="149"/>
      <c r="AZ397" s="112"/>
      <c r="BA397" s="236"/>
      <c r="BB397" s="236"/>
      <c r="BC397" s="152"/>
      <c r="BD397" s="152"/>
      <c r="BE397" s="236"/>
      <c r="BF397" s="262"/>
      <c r="BG397" s="262"/>
    </row>
    <row r="398" spans="1:59" ht="12.75" customHeight="1" x14ac:dyDescent="0.15">
      <c r="A398" s="57"/>
      <c r="B398" s="57"/>
      <c r="C398" s="57"/>
      <c r="D398" s="103"/>
      <c r="E398" s="125"/>
      <c r="F398" s="125"/>
      <c r="G398" s="57"/>
      <c r="H398" s="57"/>
      <c r="I398" s="57"/>
      <c r="J398" s="57"/>
      <c r="K398" s="57"/>
      <c r="L398" s="57"/>
      <c r="M398" s="57"/>
      <c r="N398" s="57"/>
      <c r="O398" s="70"/>
      <c r="P398" s="57"/>
      <c r="Q398" s="24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220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149"/>
      <c r="AP398" s="149"/>
      <c r="AQ398" s="57"/>
      <c r="AR398" s="74"/>
      <c r="AS398" s="149"/>
      <c r="AT398" s="235"/>
      <c r="AU398" s="57"/>
      <c r="AV398" s="57"/>
      <c r="AW398" s="57"/>
      <c r="AX398" s="70"/>
      <c r="AY398" s="149"/>
      <c r="AZ398" s="112"/>
      <c r="BA398" s="236"/>
      <c r="BB398" s="236"/>
      <c r="BC398" s="152"/>
      <c r="BD398" s="152"/>
      <c r="BE398" s="236"/>
      <c r="BF398" s="262"/>
      <c r="BG398" s="262"/>
    </row>
    <row r="399" spans="1:59" ht="12.75" customHeight="1" x14ac:dyDescent="0.15">
      <c r="A399" s="57"/>
      <c r="B399" s="57"/>
      <c r="C399" s="57"/>
      <c r="D399" s="103"/>
      <c r="E399" s="125"/>
      <c r="F399" s="125"/>
      <c r="G399" s="57"/>
      <c r="H399" s="57"/>
      <c r="I399" s="57"/>
      <c r="J399" s="57"/>
      <c r="K399" s="57"/>
      <c r="L399" s="57"/>
      <c r="M399" s="57"/>
      <c r="N399" s="57"/>
      <c r="O399" s="70"/>
      <c r="P399" s="57"/>
      <c r="Q399" s="24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220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149"/>
      <c r="AP399" s="149"/>
      <c r="AQ399" s="57"/>
      <c r="AR399" s="74"/>
      <c r="AS399" s="149"/>
      <c r="AT399" s="235"/>
      <c r="AU399" s="57"/>
      <c r="AV399" s="57"/>
      <c r="AW399" s="57"/>
      <c r="AX399" s="70"/>
      <c r="AY399" s="149"/>
      <c r="AZ399" s="112"/>
      <c r="BA399" s="236"/>
      <c r="BB399" s="236"/>
      <c r="BC399" s="152"/>
      <c r="BD399" s="152"/>
      <c r="BE399" s="236"/>
      <c r="BF399" s="262"/>
      <c r="BG399" s="262"/>
    </row>
    <row r="400" spans="1:59" ht="12.75" customHeight="1" x14ac:dyDescent="0.15">
      <c r="A400" s="57"/>
      <c r="B400" s="57"/>
      <c r="C400" s="57"/>
      <c r="D400" s="103"/>
      <c r="E400" s="125"/>
      <c r="F400" s="125"/>
      <c r="G400" s="57"/>
      <c r="H400" s="57"/>
      <c r="I400" s="57"/>
      <c r="J400" s="57"/>
      <c r="K400" s="57"/>
      <c r="L400" s="57"/>
      <c r="M400" s="57"/>
      <c r="N400" s="57"/>
      <c r="O400" s="70"/>
      <c r="P400" s="57"/>
      <c r="Q400" s="24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220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149"/>
      <c r="AP400" s="149"/>
      <c r="AQ400" s="57"/>
      <c r="AR400" s="74"/>
      <c r="AS400" s="149"/>
      <c r="AT400" s="235"/>
      <c r="AU400" s="57"/>
      <c r="AV400" s="57"/>
      <c r="AW400" s="57"/>
      <c r="AX400" s="70"/>
      <c r="AY400" s="149"/>
      <c r="AZ400" s="112"/>
      <c r="BA400" s="236"/>
      <c r="BB400" s="236"/>
      <c r="BC400" s="152"/>
      <c r="BD400" s="152"/>
      <c r="BE400" s="236"/>
      <c r="BF400" s="262"/>
      <c r="BG400" s="262"/>
    </row>
    <row r="401" spans="1:59" ht="12.75" customHeight="1" x14ac:dyDescent="0.15">
      <c r="A401" s="57"/>
      <c r="B401" s="57"/>
      <c r="C401" s="57"/>
      <c r="D401" s="103"/>
      <c r="E401" s="125"/>
      <c r="F401" s="125"/>
      <c r="G401" s="57"/>
      <c r="H401" s="57"/>
      <c r="I401" s="57"/>
      <c r="J401" s="57"/>
      <c r="K401" s="57"/>
      <c r="L401" s="57"/>
      <c r="M401" s="57"/>
      <c r="N401" s="57"/>
      <c r="O401" s="70"/>
      <c r="P401" s="57"/>
      <c r="Q401" s="24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220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149"/>
      <c r="AP401" s="149"/>
      <c r="AQ401" s="57"/>
      <c r="AR401" s="74"/>
      <c r="AS401" s="149"/>
      <c r="AT401" s="235"/>
      <c r="AU401" s="57"/>
      <c r="AV401" s="57"/>
      <c r="AW401" s="57"/>
      <c r="AX401" s="70"/>
      <c r="AY401" s="149"/>
      <c r="AZ401" s="112"/>
      <c r="BA401" s="236"/>
      <c r="BB401" s="236"/>
      <c r="BC401" s="152"/>
      <c r="BD401" s="152"/>
      <c r="BE401" s="236"/>
      <c r="BF401" s="262"/>
      <c r="BG401" s="262"/>
    </row>
    <row r="402" spans="1:59" ht="12.75" customHeight="1" x14ac:dyDescent="0.15">
      <c r="A402" s="57"/>
      <c r="B402" s="57"/>
      <c r="C402" s="57"/>
      <c r="D402" s="103"/>
      <c r="E402" s="125"/>
      <c r="F402" s="125"/>
      <c r="G402" s="57"/>
      <c r="H402" s="57"/>
      <c r="I402" s="57"/>
      <c r="J402" s="57"/>
      <c r="K402" s="57"/>
      <c r="L402" s="57"/>
      <c r="M402" s="57"/>
      <c r="N402" s="57"/>
      <c r="O402" s="70"/>
      <c r="P402" s="57"/>
      <c r="Q402" s="24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220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149"/>
      <c r="AP402" s="149"/>
      <c r="AQ402" s="57"/>
      <c r="AR402" s="74"/>
      <c r="AS402" s="149"/>
      <c r="AT402" s="235"/>
      <c r="AU402" s="57"/>
      <c r="AV402" s="57"/>
      <c r="AW402" s="57"/>
      <c r="AX402" s="70"/>
      <c r="AY402" s="149"/>
      <c r="AZ402" s="112"/>
      <c r="BA402" s="236"/>
      <c r="BB402" s="236"/>
      <c r="BC402" s="152"/>
      <c r="BD402" s="152"/>
      <c r="BE402" s="236"/>
      <c r="BF402" s="262"/>
      <c r="BG402" s="262"/>
    </row>
    <row r="403" spans="1:59" ht="12.75" customHeight="1" x14ac:dyDescent="0.15">
      <c r="A403" s="57"/>
      <c r="B403" s="57"/>
      <c r="C403" s="57"/>
      <c r="D403" s="103"/>
      <c r="E403" s="125"/>
      <c r="F403" s="125"/>
      <c r="G403" s="57"/>
      <c r="H403" s="57"/>
      <c r="I403" s="57"/>
      <c r="J403" s="57"/>
      <c r="K403" s="57"/>
      <c r="L403" s="57"/>
      <c r="M403" s="57"/>
      <c r="N403" s="57"/>
      <c r="O403" s="70"/>
      <c r="P403" s="57"/>
      <c r="Q403" s="24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220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149"/>
      <c r="AP403" s="149"/>
      <c r="AQ403" s="57"/>
      <c r="AR403" s="74"/>
      <c r="AS403" s="149"/>
      <c r="AT403" s="235"/>
      <c r="AU403" s="57"/>
      <c r="AV403" s="57"/>
      <c r="AW403" s="57"/>
      <c r="AX403" s="70"/>
      <c r="AY403" s="149"/>
      <c r="AZ403" s="112"/>
      <c r="BA403" s="236"/>
      <c r="BB403" s="236"/>
      <c r="BC403" s="152"/>
      <c r="BD403" s="152"/>
      <c r="BE403" s="236"/>
      <c r="BF403" s="262"/>
      <c r="BG403" s="262"/>
    </row>
    <row r="404" spans="1:59" ht="12.75" customHeight="1" x14ac:dyDescent="0.15">
      <c r="A404" s="57"/>
      <c r="B404" s="57"/>
      <c r="C404" s="57"/>
      <c r="D404" s="103"/>
      <c r="E404" s="125"/>
      <c r="F404" s="125"/>
      <c r="G404" s="57"/>
      <c r="H404" s="57"/>
      <c r="I404" s="57"/>
      <c r="J404" s="57"/>
      <c r="K404" s="57"/>
      <c r="L404" s="57"/>
      <c r="M404" s="57"/>
      <c r="N404" s="57"/>
      <c r="O404" s="70"/>
      <c r="P404" s="57"/>
      <c r="Q404" s="24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220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149"/>
      <c r="AP404" s="149"/>
      <c r="AQ404" s="57"/>
      <c r="AR404" s="74"/>
      <c r="AS404" s="149"/>
      <c r="AT404" s="235"/>
      <c r="AU404" s="57"/>
      <c r="AV404" s="57"/>
      <c r="AW404" s="57"/>
      <c r="AX404" s="70"/>
      <c r="AY404" s="149"/>
      <c r="AZ404" s="112"/>
      <c r="BA404" s="236"/>
      <c r="BB404" s="236"/>
      <c r="BC404" s="152"/>
      <c r="BD404" s="152"/>
      <c r="BE404" s="236"/>
      <c r="BF404" s="262"/>
      <c r="BG404" s="262"/>
    </row>
    <row r="405" spans="1:59" ht="12.75" customHeight="1" x14ac:dyDescent="0.15">
      <c r="A405" s="57"/>
      <c r="B405" s="57"/>
      <c r="C405" s="57"/>
      <c r="D405" s="103"/>
      <c r="E405" s="125"/>
      <c r="F405" s="125"/>
      <c r="G405" s="57"/>
      <c r="H405" s="57"/>
      <c r="I405" s="57"/>
      <c r="J405" s="57"/>
      <c r="K405" s="57"/>
      <c r="L405" s="57"/>
      <c r="M405" s="57"/>
      <c r="N405" s="57"/>
      <c r="O405" s="70"/>
      <c r="P405" s="57"/>
      <c r="Q405" s="24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220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149"/>
      <c r="AP405" s="149"/>
      <c r="AQ405" s="57"/>
      <c r="AR405" s="74"/>
      <c r="AS405" s="149"/>
      <c r="AT405" s="235"/>
      <c r="AU405" s="57"/>
      <c r="AV405" s="57"/>
      <c r="AW405" s="57"/>
      <c r="AX405" s="70"/>
      <c r="AY405" s="149"/>
      <c r="AZ405" s="112"/>
      <c r="BA405" s="236"/>
      <c r="BB405" s="236"/>
      <c r="BC405" s="152"/>
      <c r="BD405" s="152"/>
      <c r="BE405" s="236"/>
      <c r="BF405" s="262"/>
      <c r="BG405" s="262"/>
    </row>
    <row r="406" spans="1:59" ht="12.75" customHeight="1" x14ac:dyDescent="0.15">
      <c r="A406" s="57"/>
      <c r="B406" s="57"/>
      <c r="C406" s="57"/>
      <c r="D406" s="103"/>
      <c r="E406" s="125"/>
      <c r="F406" s="125"/>
      <c r="G406" s="57"/>
      <c r="H406" s="57"/>
      <c r="I406" s="57"/>
      <c r="J406" s="57"/>
      <c r="K406" s="57"/>
      <c r="L406" s="57"/>
      <c r="M406" s="57"/>
      <c r="N406" s="57"/>
      <c r="O406" s="70"/>
      <c r="P406" s="57"/>
      <c r="Q406" s="24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220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149"/>
      <c r="AP406" s="149"/>
      <c r="AQ406" s="57"/>
      <c r="AR406" s="74"/>
      <c r="AS406" s="149"/>
      <c r="AT406" s="235"/>
      <c r="AU406" s="57"/>
      <c r="AV406" s="57"/>
      <c r="AW406" s="57"/>
      <c r="AX406" s="70"/>
      <c r="AY406" s="149"/>
      <c r="AZ406" s="112"/>
      <c r="BA406" s="236"/>
      <c r="BB406" s="236"/>
      <c r="BC406" s="152"/>
      <c r="BD406" s="152"/>
      <c r="BE406" s="236"/>
      <c r="BF406" s="262"/>
      <c r="BG406" s="262"/>
    </row>
    <row r="407" spans="1:59" ht="12.75" customHeight="1" x14ac:dyDescent="0.15">
      <c r="A407" s="57"/>
      <c r="B407" s="57"/>
      <c r="C407" s="57"/>
      <c r="D407" s="103"/>
      <c r="E407" s="125"/>
      <c r="F407" s="125"/>
      <c r="G407" s="57"/>
      <c r="H407" s="57"/>
      <c r="I407" s="57"/>
      <c r="J407" s="57"/>
      <c r="K407" s="57"/>
      <c r="L407" s="57"/>
      <c r="M407" s="57"/>
      <c r="N407" s="57"/>
      <c r="O407" s="70"/>
      <c r="P407" s="57"/>
      <c r="Q407" s="24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220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149"/>
      <c r="AP407" s="149"/>
      <c r="AQ407" s="57"/>
      <c r="AR407" s="74"/>
      <c r="AS407" s="149"/>
      <c r="AT407" s="235"/>
      <c r="AU407" s="57"/>
      <c r="AV407" s="57"/>
      <c r="AW407" s="57"/>
      <c r="AX407" s="70"/>
      <c r="AY407" s="149"/>
      <c r="AZ407" s="112"/>
      <c r="BA407" s="236"/>
      <c r="BB407" s="236"/>
      <c r="BC407" s="152"/>
      <c r="BD407" s="152"/>
      <c r="BE407" s="236"/>
      <c r="BF407" s="262"/>
      <c r="BG407" s="262"/>
    </row>
    <row r="408" spans="1:59" ht="12.75" customHeight="1" x14ac:dyDescent="0.15">
      <c r="A408" s="57"/>
      <c r="B408" s="57"/>
      <c r="C408" s="57"/>
      <c r="D408" s="103"/>
      <c r="E408" s="125"/>
      <c r="F408" s="125"/>
      <c r="G408" s="57"/>
      <c r="H408" s="57"/>
      <c r="I408" s="57"/>
      <c r="J408" s="57"/>
      <c r="K408" s="57"/>
      <c r="L408" s="57"/>
      <c r="M408" s="57"/>
      <c r="N408" s="57"/>
      <c r="O408" s="70"/>
      <c r="P408" s="57"/>
      <c r="Q408" s="24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220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149"/>
      <c r="AP408" s="149"/>
      <c r="AQ408" s="57"/>
      <c r="AR408" s="74"/>
      <c r="AS408" s="149"/>
      <c r="AT408" s="235"/>
      <c r="AU408" s="57"/>
      <c r="AV408" s="57"/>
      <c r="AW408" s="57"/>
      <c r="AX408" s="70"/>
      <c r="AY408" s="149"/>
      <c r="AZ408" s="112"/>
      <c r="BA408" s="236"/>
      <c r="BB408" s="236"/>
      <c r="BC408" s="152"/>
      <c r="BD408" s="152"/>
      <c r="BE408" s="236"/>
      <c r="BF408" s="262"/>
      <c r="BG408" s="262"/>
    </row>
    <row r="409" spans="1:59" ht="12.75" customHeight="1" x14ac:dyDescent="0.15">
      <c r="A409" s="57"/>
      <c r="B409" s="57"/>
      <c r="C409" s="57"/>
      <c r="D409" s="103"/>
      <c r="E409" s="125"/>
      <c r="F409" s="125"/>
      <c r="G409" s="57"/>
      <c r="H409" s="57"/>
      <c r="I409" s="57"/>
      <c r="J409" s="57"/>
      <c r="K409" s="57"/>
      <c r="L409" s="57"/>
      <c r="M409" s="57"/>
      <c r="N409" s="57"/>
      <c r="O409" s="70"/>
      <c r="P409" s="57"/>
      <c r="Q409" s="24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220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149"/>
      <c r="AP409" s="149"/>
      <c r="AQ409" s="57"/>
      <c r="AR409" s="74"/>
      <c r="AS409" s="149"/>
      <c r="AT409" s="235"/>
      <c r="AU409" s="57"/>
      <c r="AV409" s="57"/>
      <c r="AW409" s="57"/>
      <c r="AX409" s="70"/>
      <c r="AY409" s="149"/>
      <c r="AZ409" s="112"/>
      <c r="BA409" s="236"/>
      <c r="BB409" s="236"/>
      <c r="BC409" s="152"/>
      <c r="BD409" s="152"/>
      <c r="BE409" s="236"/>
      <c r="BF409" s="262"/>
      <c r="BG409" s="262"/>
    </row>
    <row r="410" spans="1:59" ht="12.75" customHeight="1" x14ac:dyDescent="0.15">
      <c r="A410" s="57"/>
      <c r="B410" s="57"/>
      <c r="C410" s="57"/>
      <c r="D410" s="103"/>
      <c r="E410" s="125"/>
      <c r="F410" s="125"/>
      <c r="G410" s="57"/>
      <c r="H410" s="57"/>
      <c r="I410" s="57"/>
      <c r="J410" s="57"/>
      <c r="K410" s="57"/>
      <c r="L410" s="57"/>
      <c r="M410" s="57"/>
      <c r="N410" s="57"/>
      <c r="O410" s="70"/>
      <c r="P410" s="57"/>
      <c r="Q410" s="24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220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149"/>
      <c r="AP410" s="149"/>
      <c r="AQ410" s="57"/>
      <c r="AR410" s="74"/>
      <c r="AS410" s="149"/>
      <c r="AT410" s="235"/>
      <c r="AU410" s="57"/>
      <c r="AV410" s="57"/>
      <c r="AW410" s="57"/>
      <c r="AX410" s="70"/>
      <c r="AY410" s="149"/>
      <c r="AZ410" s="112"/>
      <c r="BA410" s="236"/>
      <c r="BB410" s="236"/>
      <c r="BC410" s="152"/>
      <c r="BD410" s="152"/>
      <c r="BE410" s="236"/>
      <c r="BF410" s="262"/>
      <c r="BG410" s="262"/>
    </row>
    <row r="411" spans="1:59" ht="12.75" customHeight="1" x14ac:dyDescent="0.15">
      <c r="A411" s="57"/>
      <c r="B411" s="57"/>
      <c r="C411" s="57"/>
      <c r="D411" s="103"/>
      <c r="E411" s="125"/>
      <c r="F411" s="125"/>
      <c r="G411" s="57"/>
      <c r="H411" s="57"/>
      <c r="I411" s="57"/>
      <c r="J411" s="57"/>
      <c r="K411" s="57"/>
      <c r="L411" s="57"/>
      <c r="M411" s="57"/>
      <c r="N411" s="57"/>
      <c r="O411" s="70"/>
      <c r="P411" s="57"/>
      <c r="Q411" s="24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220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149"/>
      <c r="AP411" s="149"/>
      <c r="AQ411" s="57"/>
      <c r="AR411" s="74"/>
      <c r="AS411" s="149"/>
      <c r="AT411" s="235"/>
      <c r="AU411" s="57"/>
      <c r="AV411" s="57"/>
      <c r="AW411" s="57"/>
      <c r="AX411" s="70"/>
      <c r="AY411" s="149"/>
      <c r="AZ411" s="112"/>
      <c r="BA411" s="236"/>
      <c r="BB411" s="236"/>
      <c r="BC411" s="152"/>
      <c r="BD411" s="152"/>
      <c r="BE411" s="236"/>
      <c r="BF411" s="262"/>
      <c r="BG411" s="262"/>
    </row>
    <row r="412" spans="1:59" ht="12.75" customHeight="1" x14ac:dyDescent="0.15">
      <c r="A412" s="57"/>
      <c r="B412" s="57"/>
      <c r="C412" s="57"/>
      <c r="D412" s="103"/>
      <c r="E412" s="125"/>
      <c r="F412" s="125"/>
      <c r="G412" s="57"/>
      <c r="H412" s="57"/>
      <c r="I412" s="57"/>
      <c r="J412" s="57"/>
      <c r="K412" s="57"/>
      <c r="L412" s="57"/>
      <c r="M412" s="57"/>
      <c r="N412" s="57"/>
      <c r="O412" s="70"/>
      <c r="P412" s="57"/>
      <c r="Q412" s="24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220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149"/>
      <c r="AP412" s="149"/>
      <c r="AQ412" s="57"/>
      <c r="AR412" s="74"/>
      <c r="AS412" s="149"/>
      <c r="AT412" s="235"/>
      <c r="AU412" s="57"/>
      <c r="AV412" s="57"/>
      <c r="AW412" s="57"/>
      <c r="AX412" s="70"/>
      <c r="AY412" s="149"/>
      <c r="AZ412" s="112"/>
      <c r="BA412" s="236"/>
      <c r="BB412" s="236"/>
      <c r="BC412" s="152"/>
      <c r="BD412" s="152"/>
      <c r="BE412" s="236"/>
      <c r="BF412" s="262"/>
      <c r="BG412" s="262"/>
    </row>
    <row r="413" spans="1:59" ht="12.75" customHeight="1" x14ac:dyDescent="0.15">
      <c r="A413" s="57"/>
      <c r="B413" s="57"/>
      <c r="C413" s="57"/>
      <c r="D413" s="103"/>
      <c r="E413" s="125"/>
      <c r="F413" s="125"/>
      <c r="G413" s="57"/>
      <c r="H413" s="57"/>
      <c r="I413" s="57"/>
      <c r="J413" s="57"/>
      <c r="K413" s="57"/>
      <c r="L413" s="57"/>
      <c r="M413" s="57"/>
      <c r="N413" s="57"/>
      <c r="O413" s="70"/>
      <c r="P413" s="57"/>
      <c r="Q413" s="24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220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149"/>
      <c r="AP413" s="149"/>
      <c r="AQ413" s="57"/>
      <c r="AR413" s="74"/>
      <c r="AS413" s="149"/>
      <c r="AT413" s="235"/>
      <c r="AU413" s="57"/>
      <c r="AV413" s="57"/>
      <c r="AW413" s="57"/>
      <c r="AX413" s="70"/>
      <c r="AY413" s="149"/>
      <c r="AZ413" s="112"/>
      <c r="BA413" s="236"/>
      <c r="BB413" s="236"/>
      <c r="BC413" s="152"/>
      <c r="BD413" s="152"/>
      <c r="BE413" s="236"/>
      <c r="BF413" s="262"/>
      <c r="BG413" s="262"/>
    </row>
    <row r="414" spans="1:59" ht="12.75" customHeight="1" x14ac:dyDescent="0.15">
      <c r="A414" s="57"/>
      <c r="B414" s="57"/>
      <c r="C414" s="57"/>
      <c r="D414" s="103"/>
      <c r="E414" s="125"/>
      <c r="F414" s="125"/>
      <c r="G414" s="57"/>
      <c r="H414" s="57"/>
      <c r="I414" s="57"/>
      <c r="J414" s="57"/>
      <c r="K414" s="57"/>
      <c r="L414" s="57"/>
      <c r="M414" s="57"/>
      <c r="N414" s="57"/>
      <c r="O414" s="70"/>
      <c r="P414" s="57"/>
      <c r="Q414" s="24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220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149"/>
      <c r="AP414" s="149"/>
      <c r="AQ414" s="57"/>
      <c r="AR414" s="74"/>
      <c r="AS414" s="149"/>
      <c r="AT414" s="235"/>
      <c r="AU414" s="57"/>
      <c r="AV414" s="57"/>
      <c r="AW414" s="57"/>
      <c r="AX414" s="70"/>
      <c r="AY414" s="149"/>
      <c r="AZ414" s="112"/>
      <c r="BA414" s="236"/>
      <c r="BB414" s="236"/>
      <c r="BC414" s="152"/>
      <c r="BD414" s="152"/>
      <c r="BE414" s="236"/>
      <c r="BF414" s="262"/>
      <c r="BG414" s="262"/>
    </row>
    <row r="415" spans="1:59" ht="12.75" customHeight="1" x14ac:dyDescent="0.15">
      <c r="A415" s="57"/>
      <c r="B415" s="57"/>
      <c r="C415" s="57"/>
      <c r="D415" s="103"/>
      <c r="E415" s="125"/>
      <c r="F415" s="125"/>
      <c r="G415" s="57"/>
      <c r="H415" s="57"/>
      <c r="I415" s="57"/>
      <c r="J415" s="57"/>
      <c r="K415" s="57"/>
      <c r="L415" s="57"/>
      <c r="M415" s="57"/>
      <c r="N415" s="57"/>
      <c r="O415" s="70"/>
      <c r="P415" s="57"/>
      <c r="Q415" s="24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220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149"/>
      <c r="AP415" s="149"/>
      <c r="AQ415" s="57"/>
      <c r="AR415" s="74"/>
      <c r="AS415" s="149"/>
      <c r="AT415" s="235"/>
      <c r="AU415" s="57"/>
      <c r="AV415" s="57"/>
      <c r="AW415" s="57"/>
      <c r="AX415" s="70"/>
      <c r="AY415" s="149"/>
      <c r="AZ415" s="112"/>
      <c r="BA415" s="236"/>
      <c r="BB415" s="236"/>
      <c r="BC415" s="152"/>
      <c r="BD415" s="152"/>
      <c r="BE415" s="236"/>
      <c r="BF415" s="262"/>
      <c r="BG415" s="262"/>
    </row>
    <row r="416" spans="1:59" ht="12.75" customHeight="1" x14ac:dyDescent="0.15">
      <c r="A416" s="57"/>
      <c r="B416" s="57"/>
      <c r="C416" s="57"/>
      <c r="D416" s="103"/>
      <c r="E416" s="125"/>
      <c r="F416" s="125"/>
      <c r="G416" s="57"/>
      <c r="H416" s="57"/>
      <c r="I416" s="57"/>
      <c r="J416" s="57"/>
      <c r="K416" s="57"/>
      <c r="L416" s="57"/>
      <c r="M416" s="57"/>
      <c r="N416" s="57"/>
      <c r="O416" s="70"/>
      <c r="P416" s="57"/>
      <c r="Q416" s="24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220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149"/>
      <c r="AP416" s="149"/>
      <c r="AQ416" s="57"/>
      <c r="AR416" s="74"/>
      <c r="AS416" s="149"/>
      <c r="AT416" s="235"/>
      <c r="AU416" s="57"/>
      <c r="AV416" s="57"/>
      <c r="AW416" s="57"/>
      <c r="AX416" s="70"/>
      <c r="AY416" s="149"/>
      <c r="AZ416" s="112"/>
      <c r="BA416" s="236"/>
      <c r="BB416" s="236"/>
      <c r="BC416" s="152"/>
      <c r="BD416" s="152"/>
      <c r="BE416" s="236"/>
      <c r="BF416" s="262"/>
      <c r="BG416" s="262"/>
    </row>
    <row r="417" spans="1:59" ht="12.75" customHeight="1" x14ac:dyDescent="0.15">
      <c r="A417" s="57"/>
      <c r="B417" s="57"/>
      <c r="C417" s="57"/>
      <c r="D417" s="103"/>
      <c r="E417" s="125"/>
      <c r="F417" s="125"/>
      <c r="G417" s="57"/>
      <c r="H417" s="57"/>
      <c r="I417" s="57"/>
      <c r="J417" s="57"/>
      <c r="K417" s="57"/>
      <c r="L417" s="57"/>
      <c r="M417" s="57"/>
      <c r="N417" s="57"/>
      <c r="O417" s="70"/>
      <c r="P417" s="57"/>
      <c r="Q417" s="24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220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149"/>
      <c r="AP417" s="149"/>
      <c r="AQ417" s="57"/>
      <c r="AR417" s="74"/>
      <c r="AS417" s="149"/>
      <c r="AT417" s="235"/>
      <c r="AU417" s="57"/>
      <c r="AV417" s="57"/>
      <c r="AW417" s="57"/>
      <c r="AX417" s="70"/>
      <c r="AY417" s="149"/>
      <c r="AZ417" s="112"/>
      <c r="BA417" s="236"/>
      <c r="BB417" s="236"/>
      <c r="BC417" s="152"/>
      <c r="BD417" s="152"/>
      <c r="BE417" s="236"/>
      <c r="BF417" s="262"/>
      <c r="BG417" s="262"/>
    </row>
    <row r="418" spans="1:59" ht="12.75" customHeight="1" x14ac:dyDescent="0.15">
      <c r="A418" s="57"/>
      <c r="B418" s="57"/>
      <c r="C418" s="57"/>
      <c r="D418" s="103"/>
      <c r="E418" s="125"/>
      <c r="F418" s="125"/>
      <c r="G418" s="57"/>
      <c r="H418" s="57"/>
      <c r="I418" s="57"/>
      <c r="J418" s="57"/>
      <c r="K418" s="57"/>
      <c r="L418" s="57"/>
      <c r="M418" s="57"/>
      <c r="N418" s="57"/>
      <c r="O418" s="70"/>
      <c r="P418" s="57"/>
      <c r="Q418" s="24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220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149"/>
      <c r="AP418" s="149"/>
      <c r="AQ418" s="57"/>
      <c r="AR418" s="74"/>
      <c r="AS418" s="149"/>
      <c r="AT418" s="235"/>
      <c r="AU418" s="57"/>
      <c r="AV418" s="57"/>
      <c r="AW418" s="57"/>
      <c r="AX418" s="70"/>
      <c r="AY418" s="149"/>
      <c r="AZ418" s="112"/>
      <c r="BA418" s="236"/>
      <c r="BB418" s="236"/>
      <c r="BC418" s="152"/>
      <c r="BD418" s="152"/>
      <c r="BE418" s="236"/>
      <c r="BF418" s="262"/>
      <c r="BG418" s="262"/>
    </row>
    <row r="419" spans="1:59" ht="12.75" customHeight="1" x14ac:dyDescent="0.15">
      <c r="A419" s="57"/>
      <c r="B419" s="57"/>
      <c r="C419" s="57"/>
      <c r="D419" s="103"/>
      <c r="E419" s="125"/>
      <c r="F419" s="125"/>
      <c r="G419" s="57"/>
      <c r="H419" s="57"/>
      <c r="I419" s="57"/>
      <c r="J419" s="57"/>
      <c r="K419" s="57"/>
      <c r="L419" s="57"/>
      <c r="M419" s="57"/>
      <c r="N419" s="57"/>
      <c r="O419" s="70"/>
      <c r="P419" s="57"/>
      <c r="Q419" s="24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220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149"/>
      <c r="AP419" s="149"/>
      <c r="AQ419" s="57"/>
      <c r="AR419" s="74"/>
      <c r="AS419" s="149"/>
      <c r="AT419" s="235"/>
      <c r="AU419" s="57"/>
      <c r="AV419" s="57"/>
      <c r="AW419" s="57"/>
      <c r="AX419" s="70"/>
      <c r="AY419" s="149"/>
      <c r="AZ419" s="112"/>
      <c r="BA419" s="236"/>
      <c r="BB419" s="236"/>
      <c r="BC419" s="152"/>
      <c r="BD419" s="152"/>
      <c r="BE419" s="236"/>
      <c r="BF419" s="262"/>
      <c r="BG419" s="262"/>
    </row>
    <row r="420" spans="1:59" ht="12.75" customHeight="1" x14ac:dyDescent="0.15">
      <c r="A420" s="57"/>
      <c r="B420" s="57"/>
      <c r="C420" s="57"/>
      <c r="D420" s="103"/>
      <c r="E420" s="125"/>
      <c r="F420" s="125"/>
      <c r="G420" s="57"/>
      <c r="H420" s="57"/>
      <c r="I420" s="57"/>
      <c r="J420" s="57"/>
      <c r="K420" s="57"/>
      <c r="L420" s="57"/>
      <c r="M420" s="57"/>
      <c r="N420" s="57"/>
      <c r="O420" s="70"/>
      <c r="P420" s="57"/>
      <c r="Q420" s="24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220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149"/>
      <c r="AP420" s="149"/>
      <c r="AQ420" s="57"/>
      <c r="AR420" s="74"/>
      <c r="AS420" s="149"/>
      <c r="AT420" s="235"/>
      <c r="AU420" s="57"/>
      <c r="AV420" s="57"/>
      <c r="AW420" s="57"/>
      <c r="AX420" s="70"/>
      <c r="AY420" s="149"/>
      <c r="AZ420" s="112"/>
      <c r="BA420" s="236"/>
      <c r="BB420" s="236"/>
      <c r="BC420" s="152"/>
      <c r="BD420" s="152"/>
      <c r="BE420" s="236"/>
      <c r="BF420" s="262"/>
      <c r="BG420" s="262"/>
    </row>
    <row r="421" spans="1:59" ht="12.75" customHeight="1" x14ac:dyDescent="0.15">
      <c r="A421" s="57"/>
      <c r="B421" s="57"/>
      <c r="C421" s="57"/>
      <c r="D421" s="103"/>
      <c r="E421" s="125"/>
      <c r="F421" s="125"/>
      <c r="G421" s="57"/>
      <c r="H421" s="57"/>
      <c r="I421" s="57"/>
      <c r="J421" s="57"/>
      <c r="K421" s="57"/>
      <c r="L421" s="57"/>
      <c r="M421" s="57"/>
      <c r="N421" s="57"/>
      <c r="O421" s="70"/>
      <c r="P421" s="57"/>
      <c r="Q421" s="24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220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149"/>
      <c r="AP421" s="149"/>
      <c r="AQ421" s="57"/>
      <c r="AR421" s="74"/>
      <c r="AS421" s="149"/>
      <c r="AT421" s="235"/>
      <c r="AU421" s="57"/>
      <c r="AV421" s="57"/>
      <c r="AW421" s="57"/>
      <c r="AX421" s="70"/>
      <c r="AY421" s="149"/>
      <c r="AZ421" s="112"/>
      <c r="BA421" s="236"/>
      <c r="BB421" s="236"/>
      <c r="BC421" s="152"/>
      <c r="BD421" s="152"/>
      <c r="BE421" s="236"/>
      <c r="BF421" s="262"/>
      <c r="BG421" s="262"/>
    </row>
    <row r="422" spans="1:59" ht="12.75" customHeight="1" x14ac:dyDescent="0.15">
      <c r="A422" s="57"/>
      <c r="B422" s="57"/>
      <c r="C422" s="57"/>
      <c r="D422" s="103"/>
      <c r="E422" s="125"/>
      <c r="F422" s="125"/>
      <c r="G422" s="57"/>
      <c r="H422" s="57"/>
      <c r="I422" s="57"/>
      <c r="J422" s="57"/>
      <c r="K422" s="57"/>
      <c r="L422" s="57"/>
      <c r="M422" s="57"/>
      <c r="N422" s="57"/>
      <c r="O422" s="70"/>
      <c r="P422" s="57"/>
      <c r="Q422" s="24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220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149"/>
      <c r="AP422" s="149"/>
      <c r="AQ422" s="57"/>
      <c r="AR422" s="74"/>
      <c r="AS422" s="149"/>
      <c r="AT422" s="235"/>
      <c r="AU422" s="57"/>
      <c r="AV422" s="57"/>
      <c r="AW422" s="57"/>
      <c r="AX422" s="70"/>
      <c r="AY422" s="149"/>
      <c r="AZ422" s="112"/>
      <c r="BA422" s="236"/>
      <c r="BB422" s="236"/>
      <c r="BC422" s="152"/>
      <c r="BD422" s="152"/>
      <c r="BE422" s="236"/>
      <c r="BF422" s="262"/>
      <c r="BG422" s="262"/>
    </row>
    <row r="423" spans="1:59" ht="12.75" customHeight="1" x14ac:dyDescent="0.15">
      <c r="A423" s="57"/>
      <c r="B423" s="57"/>
      <c r="C423" s="57"/>
      <c r="D423" s="103"/>
      <c r="E423" s="125"/>
      <c r="F423" s="125"/>
      <c r="G423" s="57"/>
      <c r="H423" s="57"/>
      <c r="I423" s="57"/>
      <c r="J423" s="57"/>
      <c r="K423" s="57"/>
      <c r="L423" s="57"/>
      <c r="M423" s="57"/>
      <c r="N423" s="57"/>
      <c r="O423" s="70"/>
      <c r="P423" s="57"/>
      <c r="Q423" s="24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220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149"/>
      <c r="AP423" s="149"/>
      <c r="AQ423" s="57"/>
      <c r="AR423" s="74"/>
      <c r="AS423" s="149"/>
      <c r="AT423" s="235"/>
      <c r="AU423" s="57"/>
      <c r="AV423" s="57"/>
      <c r="AW423" s="57"/>
      <c r="AX423" s="70"/>
      <c r="AY423" s="149"/>
      <c r="AZ423" s="112"/>
      <c r="BA423" s="236"/>
      <c r="BB423" s="236"/>
      <c r="BC423" s="152"/>
      <c r="BD423" s="152"/>
      <c r="BE423" s="236"/>
      <c r="BF423" s="262"/>
      <c r="BG423" s="262"/>
    </row>
    <row r="424" spans="1:59" ht="12.75" customHeight="1" x14ac:dyDescent="0.15">
      <c r="A424" s="57"/>
      <c r="B424" s="57"/>
      <c r="C424" s="57"/>
      <c r="D424" s="103"/>
      <c r="E424" s="125"/>
      <c r="F424" s="125"/>
      <c r="G424" s="57"/>
      <c r="H424" s="57"/>
      <c r="I424" s="57"/>
      <c r="J424" s="57"/>
      <c r="K424" s="57"/>
      <c r="L424" s="57"/>
      <c r="M424" s="57"/>
      <c r="N424" s="57"/>
      <c r="O424" s="70"/>
      <c r="P424" s="57"/>
      <c r="Q424" s="24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220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149"/>
      <c r="AP424" s="149"/>
      <c r="AQ424" s="57"/>
      <c r="AR424" s="74"/>
      <c r="AS424" s="149"/>
      <c r="AT424" s="235"/>
      <c r="AU424" s="57"/>
      <c r="AV424" s="57"/>
      <c r="AW424" s="57"/>
      <c r="AX424" s="70"/>
      <c r="AY424" s="149"/>
      <c r="AZ424" s="112"/>
      <c r="BA424" s="236"/>
      <c r="BB424" s="236"/>
      <c r="BC424" s="152"/>
      <c r="BD424" s="152"/>
      <c r="BE424" s="236"/>
      <c r="BF424" s="262"/>
      <c r="BG424" s="262"/>
    </row>
    <row r="425" spans="1:59" ht="12.75" customHeight="1" x14ac:dyDescent="0.15">
      <c r="A425" s="57"/>
      <c r="B425" s="57"/>
      <c r="C425" s="57"/>
      <c r="D425" s="103"/>
      <c r="E425" s="125"/>
      <c r="F425" s="125"/>
      <c r="G425" s="57"/>
      <c r="H425" s="57"/>
      <c r="I425" s="57"/>
      <c r="J425" s="57"/>
      <c r="K425" s="57"/>
      <c r="L425" s="57"/>
      <c r="M425" s="57"/>
      <c r="N425" s="57"/>
      <c r="O425" s="70"/>
      <c r="P425" s="57"/>
      <c r="Q425" s="24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220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149"/>
      <c r="AP425" s="149"/>
      <c r="AQ425" s="57"/>
      <c r="AR425" s="74"/>
      <c r="AS425" s="149"/>
      <c r="AT425" s="235"/>
      <c r="AU425" s="57"/>
      <c r="AV425" s="57"/>
      <c r="AW425" s="57"/>
      <c r="AX425" s="70"/>
      <c r="AY425" s="149"/>
      <c r="AZ425" s="112"/>
      <c r="BA425" s="236"/>
      <c r="BB425" s="236"/>
      <c r="BC425" s="152"/>
      <c r="BD425" s="152"/>
      <c r="BE425" s="236"/>
      <c r="BF425" s="262"/>
      <c r="BG425" s="262"/>
    </row>
    <row r="426" spans="1:59" ht="12.75" customHeight="1" x14ac:dyDescent="0.15">
      <c r="A426" s="57"/>
      <c r="B426" s="57"/>
      <c r="C426" s="57"/>
      <c r="D426" s="103"/>
      <c r="E426" s="125"/>
      <c r="F426" s="125"/>
      <c r="G426" s="57"/>
      <c r="H426" s="57"/>
      <c r="I426" s="57"/>
      <c r="J426" s="57"/>
      <c r="K426" s="57"/>
      <c r="L426" s="57"/>
      <c r="M426" s="57"/>
      <c r="N426" s="57"/>
      <c r="O426" s="70"/>
      <c r="P426" s="57"/>
      <c r="Q426" s="24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220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149"/>
      <c r="AP426" s="149"/>
      <c r="AQ426" s="57"/>
      <c r="AR426" s="74"/>
      <c r="AS426" s="149"/>
      <c r="AT426" s="235"/>
      <c r="AU426" s="57"/>
      <c r="AV426" s="57"/>
      <c r="AW426" s="57"/>
      <c r="AX426" s="70"/>
      <c r="AY426" s="149"/>
      <c r="AZ426" s="112"/>
      <c r="BA426" s="236"/>
      <c r="BB426" s="236"/>
      <c r="BC426" s="152"/>
      <c r="BD426" s="152"/>
      <c r="BE426" s="236"/>
      <c r="BF426" s="262"/>
      <c r="BG426" s="262"/>
    </row>
    <row r="427" spans="1:59" ht="12.75" customHeight="1" x14ac:dyDescent="0.15">
      <c r="A427" s="57"/>
      <c r="B427" s="57"/>
      <c r="C427" s="57"/>
      <c r="D427" s="103"/>
      <c r="E427" s="125"/>
      <c r="F427" s="125"/>
      <c r="G427" s="57"/>
      <c r="H427" s="57"/>
      <c r="I427" s="57"/>
      <c r="J427" s="57"/>
      <c r="K427" s="57"/>
      <c r="L427" s="57"/>
      <c r="M427" s="57"/>
      <c r="N427" s="57"/>
      <c r="O427" s="70"/>
      <c r="P427" s="57"/>
      <c r="Q427" s="24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220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149"/>
      <c r="AP427" s="149"/>
      <c r="AQ427" s="57"/>
      <c r="AR427" s="74"/>
      <c r="AS427" s="149"/>
      <c r="AT427" s="235"/>
      <c r="AU427" s="57"/>
      <c r="AV427" s="57"/>
      <c r="AW427" s="57"/>
      <c r="AX427" s="70"/>
      <c r="AY427" s="149"/>
      <c r="AZ427" s="112"/>
      <c r="BA427" s="236"/>
      <c r="BB427" s="236"/>
      <c r="BC427" s="152"/>
      <c r="BD427" s="152"/>
      <c r="BE427" s="236"/>
      <c r="BF427" s="262"/>
      <c r="BG427" s="262"/>
    </row>
    <row r="428" spans="1:59" ht="12.75" customHeight="1" x14ac:dyDescent="0.15">
      <c r="A428" s="57"/>
      <c r="B428" s="57"/>
      <c r="C428" s="57"/>
      <c r="D428" s="103"/>
      <c r="E428" s="125"/>
      <c r="F428" s="125"/>
      <c r="G428" s="57"/>
      <c r="H428" s="57"/>
      <c r="I428" s="57"/>
      <c r="J428" s="57"/>
      <c r="K428" s="57"/>
      <c r="L428" s="57"/>
      <c r="M428" s="57"/>
      <c r="N428" s="57"/>
      <c r="O428" s="70"/>
      <c r="P428" s="57"/>
      <c r="Q428" s="24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220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149"/>
      <c r="AP428" s="149"/>
      <c r="AQ428" s="57"/>
      <c r="AR428" s="74"/>
      <c r="AS428" s="149"/>
      <c r="AT428" s="235"/>
      <c r="AU428" s="57"/>
      <c r="AV428" s="57"/>
      <c r="AW428" s="57"/>
      <c r="AX428" s="70"/>
      <c r="AY428" s="149"/>
      <c r="AZ428" s="112"/>
      <c r="BA428" s="236"/>
      <c r="BB428" s="236"/>
      <c r="BC428" s="152"/>
      <c r="BD428" s="152"/>
      <c r="BE428" s="236"/>
      <c r="BF428" s="262"/>
      <c r="BG428" s="262"/>
    </row>
    <row r="429" spans="1:59" ht="12.75" customHeight="1" x14ac:dyDescent="0.15">
      <c r="A429" s="57"/>
      <c r="B429" s="57"/>
      <c r="C429" s="57"/>
      <c r="D429" s="103"/>
      <c r="E429" s="125"/>
      <c r="F429" s="125"/>
      <c r="G429" s="57"/>
      <c r="H429" s="57"/>
      <c r="I429" s="57"/>
      <c r="J429" s="57"/>
      <c r="K429" s="57"/>
      <c r="L429" s="57"/>
      <c r="M429" s="57"/>
      <c r="N429" s="57"/>
      <c r="O429" s="70"/>
      <c r="P429" s="57"/>
      <c r="Q429" s="24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220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149"/>
      <c r="AP429" s="149"/>
      <c r="AQ429" s="57"/>
      <c r="AR429" s="74"/>
      <c r="AS429" s="149"/>
      <c r="AT429" s="235"/>
      <c r="AU429" s="57"/>
      <c r="AV429" s="57"/>
      <c r="AW429" s="57"/>
      <c r="AX429" s="70"/>
      <c r="AY429" s="149"/>
      <c r="AZ429" s="112"/>
      <c r="BA429" s="236"/>
      <c r="BB429" s="236"/>
      <c r="BC429" s="152"/>
      <c r="BD429" s="152"/>
      <c r="BE429" s="236"/>
      <c r="BF429" s="262"/>
      <c r="BG429" s="262"/>
    </row>
    <row r="430" spans="1:59" ht="12.75" customHeight="1" x14ac:dyDescent="0.15">
      <c r="A430" s="57"/>
      <c r="B430" s="57"/>
      <c r="C430" s="57"/>
      <c r="D430" s="103"/>
      <c r="E430" s="125"/>
      <c r="F430" s="125"/>
      <c r="G430" s="57"/>
      <c r="H430" s="57"/>
      <c r="I430" s="57"/>
      <c r="J430" s="57"/>
      <c r="K430" s="57"/>
      <c r="L430" s="57"/>
      <c r="M430" s="57"/>
      <c r="N430" s="57"/>
      <c r="O430" s="70"/>
      <c r="P430" s="57"/>
      <c r="Q430" s="24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220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149"/>
      <c r="AP430" s="149"/>
      <c r="AQ430" s="57"/>
      <c r="AR430" s="74"/>
      <c r="AS430" s="149"/>
      <c r="AT430" s="235"/>
      <c r="AU430" s="57"/>
      <c r="AV430" s="57"/>
      <c r="AW430" s="57"/>
      <c r="AX430" s="70"/>
      <c r="AY430" s="149"/>
      <c r="AZ430" s="112"/>
      <c r="BA430" s="236"/>
      <c r="BB430" s="236"/>
      <c r="BC430" s="152"/>
      <c r="BD430" s="152"/>
      <c r="BE430" s="236"/>
      <c r="BF430" s="262"/>
      <c r="BG430" s="262"/>
    </row>
    <row r="431" spans="1:59" ht="12.75" customHeight="1" x14ac:dyDescent="0.15">
      <c r="A431" s="57"/>
      <c r="B431" s="57"/>
      <c r="C431" s="57"/>
      <c r="D431" s="103"/>
      <c r="E431" s="125"/>
      <c r="F431" s="125"/>
      <c r="G431" s="57"/>
      <c r="H431" s="57"/>
      <c r="I431" s="57"/>
      <c r="J431" s="57"/>
      <c r="K431" s="57"/>
      <c r="L431" s="57"/>
      <c r="M431" s="57"/>
      <c r="N431" s="57"/>
      <c r="O431" s="70"/>
      <c r="P431" s="57"/>
      <c r="Q431" s="24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220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149"/>
      <c r="AP431" s="149"/>
      <c r="AQ431" s="57"/>
      <c r="AR431" s="74"/>
      <c r="AS431" s="149"/>
      <c r="AT431" s="235"/>
      <c r="AU431" s="57"/>
      <c r="AV431" s="57"/>
      <c r="AW431" s="57"/>
      <c r="AX431" s="70"/>
      <c r="AY431" s="149"/>
      <c r="AZ431" s="112"/>
      <c r="BA431" s="236"/>
      <c r="BB431" s="236"/>
      <c r="BC431" s="152"/>
      <c r="BD431" s="152"/>
      <c r="BE431" s="236"/>
      <c r="BF431" s="262"/>
      <c r="BG431" s="262"/>
    </row>
    <row r="432" spans="1:59" ht="12.75" customHeight="1" x14ac:dyDescent="0.15">
      <c r="A432" s="57"/>
      <c r="B432" s="57"/>
      <c r="C432" s="57"/>
      <c r="D432" s="103"/>
      <c r="E432" s="125"/>
      <c r="F432" s="125"/>
      <c r="G432" s="57"/>
      <c r="H432" s="57"/>
      <c r="I432" s="57"/>
      <c r="J432" s="57"/>
      <c r="K432" s="57"/>
      <c r="L432" s="57"/>
      <c r="M432" s="57"/>
      <c r="N432" s="57"/>
      <c r="O432" s="70"/>
      <c r="P432" s="57"/>
      <c r="Q432" s="24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220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149"/>
      <c r="AP432" s="149"/>
      <c r="AQ432" s="57"/>
      <c r="AR432" s="74"/>
      <c r="AS432" s="149"/>
      <c r="AT432" s="235"/>
      <c r="AU432" s="57"/>
      <c r="AV432" s="57"/>
      <c r="AW432" s="57"/>
      <c r="AX432" s="70"/>
      <c r="AY432" s="149"/>
      <c r="AZ432" s="112"/>
      <c r="BA432" s="236"/>
      <c r="BB432" s="236"/>
      <c r="BC432" s="152"/>
      <c r="BD432" s="152"/>
      <c r="BE432" s="236"/>
      <c r="BF432" s="262"/>
      <c r="BG432" s="262"/>
    </row>
    <row r="433" spans="1:59" ht="12.75" customHeight="1" x14ac:dyDescent="0.15">
      <c r="A433" s="57"/>
      <c r="B433" s="57"/>
      <c r="C433" s="57"/>
      <c r="D433" s="103"/>
      <c r="E433" s="125"/>
      <c r="F433" s="125"/>
      <c r="G433" s="57"/>
      <c r="H433" s="57"/>
      <c r="I433" s="57"/>
      <c r="J433" s="57"/>
      <c r="K433" s="57"/>
      <c r="L433" s="57"/>
      <c r="M433" s="57"/>
      <c r="N433" s="57"/>
      <c r="O433" s="70"/>
      <c r="P433" s="57"/>
      <c r="Q433" s="24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220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149"/>
      <c r="AP433" s="149"/>
      <c r="AQ433" s="57"/>
      <c r="AR433" s="74"/>
      <c r="AS433" s="149"/>
      <c r="AT433" s="235"/>
      <c r="AU433" s="57"/>
      <c r="AV433" s="57"/>
      <c r="AW433" s="57"/>
      <c r="AX433" s="70"/>
      <c r="AY433" s="149"/>
      <c r="AZ433" s="112"/>
      <c r="BA433" s="236"/>
      <c r="BB433" s="236"/>
      <c r="BC433" s="152"/>
      <c r="BD433" s="152"/>
      <c r="BE433" s="236"/>
      <c r="BF433" s="262"/>
      <c r="BG433" s="262"/>
    </row>
    <row r="434" spans="1:59" ht="12.75" customHeight="1" x14ac:dyDescent="0.15">
      <c r="A434" s="57"/>
      <c r="B434" s="57"/>
      <c r="C434" s="57"/>
      <c r="D434" s="103"/>
      <c r="E434" s="125"/>
      <c r="F434" s="125"/>
      <c r="G434" s="57"/>
      <c r="H434" s="57"/>
      <c r="I434" s="57"/>
      <c r="J434" s="57"/>
      <c r="K434" s="57"/>
      <c r="L434" s="57"/>
      <c r="M434" s="57"/>
      <c r="N434" s="57"/>
      <c r="O434" s="70"/>
      <c r="P434" s="57"/>
      <c r="Q434" s="24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220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149"/>
      <c r="AP434" s="149"/>
      <c r="AQ434" s="57"/>
      <c r="AR434" s="74"/>
      <c r="AS434" s="149"/>
      <c r="AT434" s="235"/>
      <c r="AU434" s="57"/>
      <c r="AV434" s="57"/>
      <c r="AW434" s="57"/>
      <c r="AX434" s="70"/>
      <c r="AY434" s="149"/>
      <c r="AZ434" s="112"/>
      <c r="BA434" s="236"/>
      <c r="BB434" s="236"/>
      <c r="BC434" s="152"/>
      <c r="BD434" s="152"/>
      <c r="BE434" s="236"/>
      <c r="BF434" s="262"/>
      <c r="BG434" s="262"/>
    </row>
    <row r="435" spans="1:59" ht="12.75" customHeight="1" x14ac:dyDescent="0.15">
      <c r="A435" s="57"/>
      <c r="B435" s="57"/>
      <c r="C435" s="57"/>
      <c r="D435" s="103"/>
      <c r="E435" s="125"/>
      <c r="F435" s="125"/>
      <c r="G435" s="57"/>
      <c r="H435" s="57"/>
      <c r="I435" s="57"/>
      <c r="J435" s="57"/>
      <c r="K435" s="57"/>
      <c r="L435" s="57"/>
      <c r="M435" s="57"/>
      <c r="N435" s="57"/>
      <c r="O435" s="70"/>
      <c r="P435" s="57"/>
      <c r="Q435" s="24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220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149"/>
      <c r="AP435" s="149"/>
      <c r="AQ435" s="57"/>
      <c r="AR435" s="74"/>
      <c r="AS435" s="149"/>
      <c r="AT435" s="235"/>
      <c r="AU435" s="57"/>
      <c r="AV435" s="57"/>
      <c r="AW435" s="57"/>
      <c r="AX435" s="70"/>
      <c r="AY435" s="149"/>
      <c r="AZ435" s="112"/>
      <c r="BA435" s="236"/>
      <c r="BB435" s="236"/>
      <c r="BC435" s="152"/>
      <c r="BD435" s="152"/>
      <c r="BE435" s="236"/>
      <c r="BF435" s="262"/>
      <c r="BG435" s="262"/>
    </row>
    <row r="436" spans="1:59" ht="12.75" customHeight="1" x14ac:dyDescent="0.15">
      <c r="A436" s="57"/>
      <c r="B436" s="57"/>
      <c r="C436" s="57"/>
      <c r="D436" s="103"/>
      <c r="E436" s="125"/>
      <c r="F436" s="125"/>
      <c r="G436" s="57"/>
      <c r="H436" s="57"/>
      <c r="I436" s="57"/>
      <c r="J436" s="57"/>
      <c r="K436" s="57"/>
      <c r="L436" s="57"/>
      <c r="M436" s="57"/>
      <c r="N436" s="57"/>
      <c r="O436" s="70"/>
      <c r="P436" s="57"/>
      <c r="Q436" s="24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220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149"/>
      <c r="AP436" s="149"/>
      <c r="AQ436" s="57"/>
      <c r="AR436" s="74"/>
      <c r="AS436" s="149"/>
      <c r="AT436" s="235"/>
      <c r="AU436" s="57"/>
      <c r="AV436" s="57"/>
      <c r="AW436" s="57"/>
      <c r="AX436" s="70"/>
      <c r="AY436" s="149"/>
      <c r="AZ436" s="112"/>
      <c r="BA436" s="236"/>
      <c r="BB436" s="236"/>
      <c r="BC436" s="152"/>
      <c r="BD436" s="152"/>
      <c r="BE436" s="236"/>
      <c r="BF436" s="262"/>
      <c r="BG436" s="262"/>
    </row>
    <row r="437" spans="1:59" ht="12.75" customHeight="1" x14ac:dyDescent="0.15">
      <c r="A437" s="57"/>
      <c r="B437" s="57"/>
      <c r="C437" s="57"/>
      <c r="D437" s="103"/>
      <c r="E437" s="125"/>
      <c r="F437" s="125"/>
      <c r="G437" s="57"/>
      <c r="H437" s="57"/>
      <c r="I437" s="57"/>
      <c r="J437" s="57"/>
      <c r="K437" s="57"/>
      <c r="L437" s="57"/>
      <c r="M437" s="57"/>
      <c r="N437" s="57"/>
      <c r="O437" s="70"/>
      <c r="P437" s="57"/>
      <c r="Q437" s="24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220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149"/>
      <c r="AP437" s="149"/>
      <c r="AQ437" s="57"/>
      <c r="AR437" s="74"/>
      <c r="AS437" s="149"/>
      <c r="AT437" s="235"/>
      <c r="AU437" s="57"/>
      <c r="AV437" s="57"/>
      <c r="AW437" s="57"/>
      <c r="AX437" s="70"/>
      <c r="AY437" s="149"/>
      <c r="AZ437" s="112"/>
      <c r="BA437" s="236"/>
      <c r="BB437" s="236"/>
      <c r="BC437" s="152"/>
      <c r="BD437" s="152"/>
      <c r="BE437" s="236"/>
      <c r="BF437" s="262"/>
      <c r="BG437" s="262"/>
    </row>
    <row r="438" spans="1:59" ht="12.75" customHeight="1" x14ac:dyDescent="0.15">
      <c r="A438" s="57"/>
      <c r="B438" s="57"/>
      <c r="C438" s="57"/>
      <c r="D438" s="103"/>
      <c r="E438" s="125"/>
      <c r="F438" s="125"/>
      <c r="G438" s="57"/>
      <c r="H438" s="57"/>
      <c r="I438" s="57"/>
      <c r="J438" s="57"/>
      <c r="K438" s="57"/>
      <c r="L438" s="57"/>
      <c r="M438" s="57"/>
      <c r="N438" s="57"/>
      <c r="O438" s="70"/>
      <c r="P438" s="57"/>
      <c r="Q438" s="24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220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149"/>
      <c r="AP438" s="149"/>
      <c r="AQ438" s="57"/>
      <c r="AR438" s="74"/>
      <c r="AS438" s="149"/>
      <c r="AT438" s="235"/>
      <c r="AU438" s="57"/>
      <c r="AV438" s="57"/>
      <c r="AW438" s="57"/>
      <c r="AX438" s="70"/>
      <c r="AY438" s="149"/>
      <c r="AZ438" s="112"/>
      <c r="BA438" s="236"/>
      <c r="BB438" s="236"/>
      <c r="BC438" s="152"/>
      <c r="BD438" s="152"/>
      <c r="BE438" s="236"/>
      <c r="BF438" s="262"/>
      <c r="BG438" s="262"/>
    </row>
    <row r="439" spans="1:59" ht="12.75" customHeight="1" x14ac:dyDescent="0.15">
      <c r="A439" s="57"/>
      <c r="B439" s="57"/>
      <c r="C439" s="57"/>
      <c r="D439" s="103"/>
      <c r="E439" s="125"/>
      <c r="F439" s="125"/>
      <c r="G439" s="57"/>
      <c r="H439" s="57"/>
      <c r="I439" s="57"/>
      <c r="J439" s="57"/>
      <c r="K439" s="57"/>
      <c r="L439" s="57"/>
      <c r="M439" s="57"/>
      <c r="N439" s="57"/>
      <c r="O439" s="70"/>
      <c r="P439" s="57"/>
      <c r="Q439" s="24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220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149"/>
      <c r="AP439" s="149"/>
      <c r="AQ439" s="57"/>
      <c r="AR439" s="74"/>
      <c r="AS439" s="149"/>
      <c r="AT439" s="235"/>
      <c r="AU439" s="57"/>
      <c r="AV439" s="57"/>
      <c r="AW439" s="57"/>
      <c r="AX439" s="70"/>
      <c r="AY439" s="149"/>
      <c r="AZ439" s="112"/>
      <c r="BA439" s="236"/>
      <c r="BB439" s="236"/>
      <c r="BC439" s="152"/>
      <c r="BD439" s="152"/>
      <c r="BE439" s="236"/>
      <c r="BF439" s="262"/>
      <c r="BG439" s="262"/>
    </row>
    <row r="440" spans="1:59" ht="12.75" customHeight="1" x14ac:dyDescent="0.15">
      <c r="A440" s="57"/>
      <c r="B440" s="57"/>
      <c r="C440" s="57"/>
      <c r="D440" s="103"/>
      <c r="E440" s="125"/>
      <c r="F440" s="125"/>
      <c r="G440" s="57"/>
      <c r="H440" s="57"/>
      <c r="I440" s="57"/>
      <c r="J440" s="57"/>
      <c r="K440" s="57"/>
      <c r="L440" s="57"/>
      <c r="M440" s="57"/>
      <c r="N440" s="57"/>
      <c r="O440" s="70"/>
      <c r="P440" s="57"/>
      <c r="Q440" s="24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220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149"/>
      <c r="AP440" s="149"/>
      <c r="AQ440" s="57"/>
      <c r="AR440" s="74"/>
      <c r="AS440" s="149"/>
      <c r="AT440" s="235"/>
      <c r="AU440" s="57"/>
      <c r="AV440" s="57"/>
      <c r="AW440" s="57"/>
      <c r="AX440" s="70"/>
      <c r="AY440" s="149"/>
      <c r="AZ440" s="112"/>
      <c r="BA440" s="236"/>
      <c r="BB440" s="236"/>
      <c r="BC440" s="152"/>
      <c r="BD440" s="152"/>
      <c r="BE440" s="236"/>
      <c r="BF440" s="262"/>
      <c r="BG440" s="262"/>
    </row>
    <row r="441" spans="1:59" ht="12.75" customHeight="1" x14ac:dyDescent="0.15">
      <c r="A441" s="57"/>
      <c r="B441" s="57"/>
      <c r="C441" s="57"/>
      <c r="D441" s="103"/>
      <c r="E441" s="125"/>
      <c r="F441" s="125"/>
      <c r="G441" s="57"/>
      <c r="H441" s="57"/>
      <c r="I441" s="57"/>
      <c r="J441" s="57"/>
      <c r="K441" s="57"/>
      <c r="L441" s="57"/>
      <c r="M441" s="57"/>
      <c r="N441" s="57"/>
      <c r="O441" s="70"/>
      <c r="P441" s="57"/>
      <c r="Q441" s="24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220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149"/>
      <c r="AP441" s="149"/>
      <c r="AQ441" s="57"/>
      <c r="AR441" s="74"/>
      <c r="AS441" s="149"/>
      <c r="AT441" s="235"/>
      <c r="AU441" s="57"/>
      <c r="AV441" s="57"/>
      <c r="AW441" s="57"/>
      <c r="AX441" s="70"/>
      <c r="AY441" s="149"/>
      <c r="AZ441" s="112"/>
      <c r="BA441" s="236"/>
      <c r="BB441" s="236"/>
      <c r="BC441" s="152"/>
      <c r="BD441" s="152"/>
      <c r="BE441" s="236"/>
      <c r="BF441" s="262"/>
      <c r="BG441" s="262"/>
    </row>
    <row r="442" spans="1:59" ht="12.75" customHeight="1" x14ac:dyDescent="0.15">
      <c r="A442" s="57"/>
      <c r="B442" s="57"/>
      <c r="C442" s="57"/>
      <c r="D442" s="103"/>
      <c r="E442" s="125"/>
      <c r="F442" s="125"/>
      <c r="G442" s="57"/>
      <c r="H442" s="57"/>
      <c r="I442" s="57"/>
      <c r="J442" s="57"/>
      <c r="K442" s="57"/>
      <c r="L442" s="57"/>
      <c r="M442" s="57"/>
      <c r="N442" s="57"/>
      <c r="O442" s="70"/>
      <c r="P442" s="57"/>
      <c r="Q442" s="24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220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149"/>
      <c r="AP442" s="149"/>
      <c r="AQ442" s="57"/>
      <c r="AR442" s="74"/>
      <c r="AS442" s="149"/>
      <c r="AT442" s="235"/>
      <c r="AU442" s="57"/>
      <c r="AV442" s="57"/>
      <c r="AW442" s="57"/>
      <c r="AX442" s="70"/>
      <c r="AY442" s="149"/>
      <c r="AZ442" s="112"/>
      <c r="BA442" s="236"/>
      <c r="BB442" s="236"/>
      <c r="BC442" s="152"/>
      <c r="BD442" s="152"/>
      <c r="BE442" s="236"/>
      <c r="BF442" s="262"/>
      <c r="BG442" s="262"/>
    </row>
    <row r="443" spans="1:59" ht="12.75" customHeight="1" x14ac:dyDescent="0.15">
      <c r="A443" s="57"/>
      <c r="B443" s="57"/>
      <c r="C443" s="57"/>
      <c r="D443" s="103"/>
      <c r="E443" s="125"/>
      <c r="F443" s="125"/>
      <c r="G443" s="57"/>
      <c r="H443" s="57"/>
      <c r="I443" s="57"/>
      <c r="J443" s="57"/>
      <c r="K443" s="57"/>
      <c r="L443" s="57"/>
      <c r="M443" s="57"/>
      <c r="N443" s="57"/>
      <c r="O443" s="70"/>
      <c r="P443" s="57"/>
      <c r="Q443" s="24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220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149"/>
      <c r="AP443" s="149"/>
      <c r="AQ443" s="57"/>
      <c r="AR443" s="74"/>
      <c r="AS443" s="149"/>
      <c r="AT443" s="235"/>
      <c r="AU443" s="57"/>
      <c r="AV443" s="57"/>
      <c r="AW443" s="57"/>
      <c r="AX443" s="70"/>
      <c r="AY443" s="149"/>
      <c r="AZ443" s="112"/>
      <c r="BA443" s="236"/>
      <c r="BB443" s="236"/>
      <c r="BC443" s="152"/>
      <c r="BD443" s="152"/>
      <c r="BE443" s="236"/>
      <c r="BF443" s="262"/>
      <c r="BG443" s="262"/>
    </row>
    <row r="444" spans="1:59" ht="12.75" customHeight="1" x14ac:dyDescent="0.15">
      <c r="A444" s="57"/>
      <c r="B444" s="57"/>
      <c r="C444" s="57"/>
      <c r="D444" s="103"/>
      <c r="E444" s="125"/>
      <c r="F444" s="125"/>
      <c r="G444" s="57"/>
      <c r="H444" s="57"/>
      <c r="I444" s="57"/>
      <c r="J444" s="57"/>
      <c r="K444" s="57"/>
      <c r="L444" s="57"/>
      <c r="M444" s="57"/>
      <c r="N444" s="57"/>
      <c r="O444" s="70"/>
      <c r="P444" s="57"/>
      <c r="Q444" s="24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220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149"/>
      <c r="AP444" s="149"/>
      <c r="AQ444" s="57"/>
      <c r="AR444" s="74"/>
      <c r="AS444" s="149"/>
      <c r="AT444" s="235"/>
      <c r="AU444" s="57"/>
      <c r="AV444" s="57"/>
      <c r="AW444" s="57"/>
      <c r="AX444" s="70"/>
      <c r="AY444" s="149"/>
      <c r="AZ444" s="112"/>
      <c r="BA444" s="236"/>
      <c r="BB444" s="236"/>
      <c r="BC444" s="152"/>
      <c r="BD444" s="152"/>
      <c r="BE444" s="236"/>
      <c r="BF444" s="262"/>
      <c r="BG444" s="262"/>
    </row>
    <row r="445" spans="1:59" ht="12.75" customHeight="1" x14ac:dyDescent="0.15">
      <c r="A445" s="57"/>
      <c r="B445" s="57"/>
      <c r="C445" s="57"/>
      <c r="D445" s="103"/>
      <c r="E445" s="125"/>
      <c r="F445" s="125"/>
      <c r="G445" s="57"/>
      <c r="H445" s="57"/>
      <c r="I445" s="57"/>
      <c r="J445" s="57"/>
      <c r="K445" s="57"/>
      <c r="L445" s="57"/>
      <c r="M445" s="57"/>
      <c r="N445" s="57"/>
      <c r="O445" s="70"/>
      <c r="P445" s="57"/>
      <c r="Q445" s="24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220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149"/>
      <c r="AP445" s="149"/>
      <c r="AQ445" s="57"/>
      <c r="AR445" s="74"/>
      <c r="AS445" s="149"/>
      <c r="AT445" s="235"/>
      <c r="AU445" s="57"/>
      <c r="AV445" s="57"/>
      <c r="AW445" s="57"/>
      <c r="AX445" s="70"/>
      <c r="AY445" s="149"/>
      <c r="AZ445" s="112"/>
      <c r="BA445" s="236"/>
      <c r="BB445" s="236"/>
      <c r="BC445" s="152"/>
      <c r="BD445" s="152"/>
      <c r="BE445" s="236"/>
      <c r="BF445" s="262"/>
      <c r="BG445" s="262"/>
    </row>
    <row r="446" spans="1:59" ht="12.75" customHeight="1" x14ac:dyDescent="0.15">
      <c r="A446" s="57"/>
      <c r="B446" s="57"/>
      <c r="C446" s="57"/>
      <c r="D446" s="103"/>
      <c r="E446" s="125"/>
      <c r="F446" s="125"/>
      <c r="G446" s="57"/>
      <c r="H446" s="57"/>
      <c r="I446" s="57"/>
      <c r="J446" s="57"/>
      <c r="K446" s="57"/>
      <c r="L446" s="57"/>
      <c r="M446" s="57"/>
      <c r="N446" s="57"/>
      <c r="O446" s="70"/>
      <c r="P446" s="57"/>
      <c r="Q446" s="24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220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149"/>
      <c r="AP446" s="149"/>
      <c r="AQ446" s="57"/>
      <c r="AR446" s="74"/>
      <c r="AS446" s="149"/>
      <c r="AT446" s="235"/>
      <c r="AU446" s="57"/>
      <c r="AV446" s="57"/>
      <c r="AW446" s="57"/>
      <c r="AX446" s="70"/>
      <c r="AY446" s="149"/>
      <c r="AZ446" s="112"/>
      <c r="BA446" s="236"/>
      <c r="BB446" s="236"/>
      <c r="BC446" s="152"/>
      <c r="BD446" s="152"/>
      <c r="BE446" s="236"/>
      <c r="BF446" s="262"/>
      <c r="BG446" s="262"/>
    </row>
    <row r="447" spans="1:59" ht="12.75" customHeight="1" x14ac:dyDescent="0.15">
      <c r="A447" s="57"/>
      <c r="B447" s="57"/>
      <c r="C447" s="57"/>
      <c r="D447" s="103"/>
      <c r="E447" s="125"/>
      <c r="F447" s="125"/>
      <c r="G447" s="57"/>
      <c r="H447" s="57"/>
      <c r="I447" s="57"/>
      <c r="J447" s="57"/>
      <c r="K447" s="57"/>
      <c r="L447" s="57"/>
      <c r="M447" s="57"/>
      <c r="N447" s="57"/>
      <c r="O447" s="70"/>
      <c r="P447" s="57"/>
      <c r="Q447" s="24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220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149"/>
      <c r="AP447" s="149"/>
      <c r="AQ447" s="57"/>
      <c r="AR447" s="74"/>
      <c r="AS447" s="149"/>
      <c r="AT447" s="235"/>
      <c r="AU447" s="57"/>
      <c r="AV447" s="57"/>
      <c r="AW447" s="57"/>
      <c r="AX447" s="70"/>
      <c r="AY447" s="149"/>
      <c r="AZ447" s="112"/>
      <c r="BA447" s="236"/>
      <c r="BB447" s="236"/>
      <c r="BC447" s="152"/>
      <c r="BD447" s="152"/>
      <c r="BE447" s="236"/>
      <c r="BF447" s="262"/>
      <c r="BG447" s="262"/>
    </row>
    <row r="448" spans="1:59" ht="12.75" customHeight="1" x14ac:dyDescent="0.15">
      <c r="A448" s="57"/>
      <c r="B448" s="57"/>
      <c r="C448" s="57"/>
      <c r="D448" s="103"/>
      <c r="E448" s="125"/>
      <c r="F448" s="125"/>
      <c r="G448" s="57"/>
      <c r="H448" s="57"/>
      <c r="I448" s="57"/>
      <c r="J448" s="57"/>
      <c r="K448" s="57"/>
      <c r="L448" s="57"/>
      <c r="M448" s="57"/>
      <c r="N448" s="57"/>
      <c r="O448" s="70"/>
      <c r="P448" s="57"/>
      <c r="Q448" s="24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220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149"/>
      <c r="AP448" s="149"/>
      <c r="AQ448" s="57"/>
      <c r="AR448" s="74"/>
      <c r="AS448" s="149"/>
      <c r="AT448" s="235"/>
      <c r="AU448" s="57"/>
      <c r="AV448" s="57"/>
      <c r="AW448" s="57"/>
      <c r="AX448" s="70"/>
      <c r="AY448" s="149"/>
      <c r="AZ448" s="112"/>
      <c r="BA448" s="236"/>
      <c r="BB448" s="236"/>
      <c r="BC448" s="152"/>
      <c r="BD448" s="152"/>
      <c r="BE448" s="236"/>
      <c r="BF448" s="262"/>
      <c r="BG448" s="262"/>
    </row>
    <row r="449" spans="1:59" ht="12.75" customHeight="1" x14ac:dyDescent="0.15">
      <c r="A449" s="57"/>
      <c r="B449" s="57"/>
      <c r="C449" s="57"/>
      <c r="D449" s="103"/>
      <c r="E449" s="125"/>
      <c r="F449" s="125"/>
      <c r="G449" s="57"/>
      <c r="H449" s="57"/>
      <c r="I449" s="57"/>
      <c r="J449" s="57"/>
      <c r="K449" s="57"/>
      <c r="L449" s="57"/>
      <c r="M449" s="57"/>
      <c r="N449" s="57"/>
      <c r="O449" s="70"/>
      <c r="P449" s="57"/>
      <c r="Q449" s="24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220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149"/>
      <c r="AP449" s="149"/>
      <c r="AQ449" s="57"/>
      <c r="AR449" s="74"/>
      <c r="AS449" s="149"/>
      <c r="AT449" s="235"/>
      <c r="AU449" s="57"/>
      <c r="AV449" s="57"/>
      <c r="AW449" s="57"/>
      <c r="AX449" s="70"/>
      <c r="AY449" s="149"/>
      <c r="AZ449" s="112"/>
      <c r="BA449" s="236"/>
      <c r="BB449" s="236"/>
      <c r="BC449" s="152"/>
      <c r="BD449" s="152"/>
      <c r="BE449" s="236"/>
      <c r="BF449" s="262"/>
      <c r="BG449" s="262"/>
    </row>
    <row r="450" spans="1:59" ht="12.75" customHeight="1" x14ac:dyDescent="0.15">
      <c r="A450" s="57"/>
      <c r="B450" s="57"/>
      <c r="C450" s="57"/>
      <c r="D450" s="103"/>
      <c r="E450" s="125"/>
      <c r="F450" s="125"/>
      <c r="G450" s="57"/>
      <c r="H450" s="57"/>
      <c r="I450" s="57"/>
      <c r="J450" s="57"/>
      <c r="K450" s="57"/>
      <c r="L450" s="57"/>
      <c r="M450" s="57"/>
      <c r="N450" s="57"/>
      <c r="O450" s="70"/>
      <c r="P450" s="57"/>
      <c r="Q450" s="24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220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149"/>
      <c r="AP450" s="149"/>
      <c r="AQ450" s="57"/>
      <c r="AR450" s="74"/>
      <c r="AS450" s="149"/>
      <c r="AT450" s="235"/>
      <c r="AU450" s="57"/>
      <c r="AV450" s="57"/>
      <c r="AW450" s="57"/>
      <c r="AX450" s="70"/>
      <c r="AY450" s="149"/>
      <c r="AZ450" s="112"/>
      <c r="BA450" s="236"/>
      <c r="BB450" s="236"/>
      <c r="BC450" s="152"/>
      <c r="BD450" s="152"/>
      <c r="BE450" s="236"/>
      <c r="BF450" s="262"/>
      <c r="BG450" s="262"/>
    </row>
    <row r="451" spans="1:59" ht="12.75" customHeight="1" x14ac:dyDescent="0.15">
      <c r="A451" s="57"/>
      <c r="B451" s="57"/>
      <c r="C451" s="57"/>
      <c r="D451" s="103"/>
      <c r="E451" s="125"/>
      <c r="F451" s="125"/>
      <c r="G451" s="57"/>
      <c r="H451" s="57"/>
      <c r="I451" s="57"/>
      <c r="J451" s="57"/>
      <c r="K451" s="57"/>
      <c r="L451" s="57"/>
      <c r="M451" s="57"/>
      <c r="N451" s="57"/>
      <c r="O451" s="70"/>
      <c r="P451" s="57"/>
      <c r="Q451" s="24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220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149"/>
      <c r="AP451" s="149"/>
      <c r="AQ451" s="57"/>
      <c r="AR451" s="74"/>
      <c r="AS451" s="149"/>
      <c r="AT451" s="235"/>
      <c r="AU451" s="57"/>
      <c r="AV451" s="57"/>
      <c r="AW451" s="57"/>
      <c r="AX451" s="70"/>
      <c r="AY451" s="149"/>
      <c r="AZ451" s="112"/>
      <c r="BA451" s="236"/>
      <c r="BB451" s="236"/>
      <c r="BC451" s="152"/>
      <c r="BD451" s="152"/>
      <c r="BE451" s="236"/>
      <c r="BF451" s="262"/>
      <c r="BG451" s="262"/>
    </row>
    <row r="452" spans="1:59" ht="12.75" customHeight="1" x14ac:dyDescent="0.15">
      <c r="A452" s="57"/>
      <c r="B452" s="57"/>
      <c r="C452" s="57"/>
      <c r="D452" s="103"/>
      <c r="E452" s="125"/>
      <c r="F452" s="125"/>
      <c r="G452" s="57"/>
      <c r="H452" s="57"/>
      <c r="I452" s="57"/>
      <c r="J452" s="57"/>
      <c r="K452" s="57"/>
      <c r="L452" s="57"/>
      <c r="M452" s="57"/>
      <c r="N452" s="57"/>
      <c r="O452" s="70"/>
      <c r="P452" s="57"/>
      <c r="Q452" s="24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220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149"/>
      <c r="AP452" s="149"/>
      <c r="AQ452" s="57"/>
      <c r="AR452" s="74"/>
      <c r="AS452" s="149"/>
      <c r="AT452" s="235"/>
      <c r="AU452" s="57"/>
      <c r="AV452" s="57"/>
      <c r="AW452" s="57"/>
      <c r="AX452" s="70"/>
      <c r="AY452" s="149"/>
      <c r="AZ452" s="112"/>
      <c r="BA452" s="236"/>
      <c r="BB452" s="236"/>
      <c r="BC452" s="152"/>
      <c r="BD452" s="152"/>
      <c r="BE452" s="236"/>
      <c r="BF452" s="262"/>
      <c r="BG452" s="262"/>
    </row>
    <row r="453" spans="1:59" ht="12.75" customHeight="1" x14ac:dyDescent="0.15">
      <c r="A453" s="57"/>
      <c r="B453" s="57"/>
      <c r="C453" s="57"/>
      <c r="D453" s="103"/>
      <c r="E453" s="125"/>
      <c r="F453" s="125"/>
      <c r="G453" s="57"/>
      <c r="H453" s="57"/>
      <c r="I453" s="57"/>
      <c r="J453" s="57"/>
      <c r="K453" s="57"/>
      <c r="L453" s="57"/>
      <c r="M453" s="57"/>
      <c r="N453" s="57"/>
      <c r="O453" s="70"/>
      <c r="P453" s="57"/>
      <c r="Q453" s="24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220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149"/>
      <c r="AP453" s="149"/>
      <c r="AQ453" s="57"/>
      <c r="AR453" s="74"/>
      <c r="AS453" s="149"/>
      <c r="AT453" s="235"/>
      <c r="AU453" s="57"/>
      <c r="AV453" s="57"/>
      <c r="AW453" s="57"/>
      <c r="AX453" s="70"/>
      <c r="AY453" s="149"/>
      <c r="AZ453" s="112"/>
      <c r="BA453" s="236"/>
      <c r="BB453" s="236"/>
      <c r="BC453" s="152"/>
      <c r="BD453" s="152"/>
      <c r="BE453" s="236"/>
      <c r="BF453" s="262"/>
      <c r="BG453" s="262"/>
    </row>
    <row r="454" spans="1:59" ht="12.75" customHeight="1" x14ac:dyDescent="0.15">
      <c r="A454" s="57"/>
      <c r="B454" s="57"/>
      <c r="C454" s="57"/>
      <c r="D454" s="103"/>
      <c r="E454" s="125"/>
      <c r="F454" s="125"/>
      <c r="G454" s="57"/>
      <c r="H454" s="57"/>
      <c r="I454" s="57"/>
      <c r="J454" s="57"/>
      <c r="K454" s="57"/>
      <c r="L454" s="57"/>
      <c r="M454" s="57"/>
      <c r="N454" s="57"/>
      <c r="O454" s="70"/>
      <c r="P454" s="57"/>
      <c r="Q454" s="24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220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149"/>
      <c r="AP454" s="149"/>
      <c r="AQ454" s="57"/>
      <c r="AR454" s="74"/>
      <c r="AS454" s="149"/>
      <c r="AT454" s="235"/>
      <c r="AU454" s="57"/>
      <c r="AV454" s="57"/>
      <c r="AW454" s="57"/>
      <c r="AX454" s="70"/>
      <c r="AY454" s="149"/>
      <c r="AZ454" s="112"/>
      <c r="BA454" s="236"/>
      <c r="BB454" s="236"/>
      <c r="BC454" s="152"/>
      <c r="BD454" s="152"/>
      <c r="BE454" s="236"/>
      <c r="BF454" s="262"/>
      <c r="BG454" s="262"/>
    </row>
    <row r="455" spans="1:59" ht="12.75" customHeight="1" x14ac:dyDescent="0.15">
      <c r="A455" s="57"/>
      <c r="B455" s="57"/>
      <c r="C455" s="57"/>
      <c r="D455" s="103"/>
      <c r="E455" s="125"/>
      <c r="F455" s="125"/>
      <c r="G455" s="57"/>
      <c r="H455" s="57"/>
      <c r="I455" s="57"/>
      <c r="J455" s="57"/>
      <c r="K455" s="57"/>
      <c r="L455" s="57"/>
      <c r="M455" s="57"/>
      <c r="N455" s="57"/>
      <c r="O455" s="70"/>
      <c r="P455" s="57"/>
      <c r="Q455" s="24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220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149"/>
      <c r="AP455" s="149"/>
      <c r="AQ455" s="57"/>
      <c r="AR455" s="74"/>
      <c r="AS455" s="149"/>
      <c r="AT455" s="235"/>
      <c r="AU455" s="57"/>
      <c r="AV455" s="57"/>
      <c r="AW455" s="57"/>
      <c r="AX455" s="70"/>
      <c r="AY455" s="149"/>
      <c r="AZ455" s="112"/>
      <c r="BA455" s="236"/>
      <c r="BB455" s="236"/>
      <c r="BC455" s="152"/>
      <c r="BD455" s="152"/>
      <c r="BE455" s="236"/>
      <c r="BF455" s="262"/>
      <c r="BG455" s="262"/>
    </row>
    <row r="456" spans="1:59" ht="12.75" customHeight="1" x14ac:dyDescent="0.15">
      <c r="A456" s="57"/>
      <c r="B456" s="57"/>
      <c r="C456" s="57"/>
      <c r="D456" s="103"/>
      <c r="E456" s="125"/>
      <c r="F456" s="125"/>
      <c r="G456" s="57"/>
      <c r="H456" s="57"/>
      <c r="I456" s="57"/>
      <c r="J456" s="57"/>
      <c r="K456" s="57"/>
      <c r="L456" s="57"/>
      <c r="M456" s="57"/>
      <c r="N456" s="57"/>
      <c r="O456" s="70"/>
      <c r="P456" s="57"/>
      <c r="Q456" s="24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220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149"/>
      <c r="AP456" s="149"/>
      <c r="AQ456" s="57"/>
      <c r="AR456" s="74"/>
      <c r="AS456" s="149"/>
      <c r="AT456" s="235"/>
      <c r="AU456" s="57"/>
      <c r="AV456" s="57"/>
      <c r="AW456" s="57"/>
      <c r="AX456" s="70"/>
      <c r="AY456" s="149"/>
      <c r="AZ456" s="112"/>
      <c r="BA456" s="236"/>
      <c r="BB456" s="236"/>
      <c r="BC456" s="152"/>
      <c r="BD456" s="152"/>
      <c r="BE456" s="236"/>
      <c r="BF456" s="262"/>
      <c r="BG456" s="262"/>
    </row>
    <row r="457" spans="1:59" ht="12.75" customHeight="1" x14ac:dyDescent="0.15">
      <c r="A457" s="57"/>
      <c r="B457" s="57"/>
      <c r="C457" s="57"/>
      <c r="D457" s="103"/>
      <c r="E457" s="125"/>
      <c r="F457" s="125"/>
      <c r="G457" s="57"/>
      <c r="H457" s="57"/>
      <c r="I457" s="57"/>
      <c r="J457" s="57"/>
      <c r="K457" s="57"/>
      <c r="L457" s="57"/>
      <c r="M457" s="57"/>
      <c r="N457" s="57"/>
      <c r="O457" s="70"/>
      <c r="P457" s="57"/>
      <c r="Q457" s="24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220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149"/>
      <c r="AP457" s="149"/>
      <c r="AQ457" s="57"/>
      <c r="AR457" s="74"/>
      <c r="AS457" s="149"/>
      <c r="AT457" s="235"/>
      <c r="AU457" s="57"/>
      <c r="AV457" s="57"/>
      <c r="AW457" s="57"/>
      <c r="AX457" s="70"/>
      <c r="AY457" s="149"/>
      <c r="AZ457" s="112"/>
      <c r="BA457" s="236"/>
      <c r="BB457" s="236"/>
      <c r="BC457" s="152"/>
      <c r="BD457" s="152"/>
      <c r="BE457" s="236"/>
      <c r="BF457" s="262"/>
      <c r="BG457" s="262"/>
    </row>
    <row r="458" spans="1:59" ht="12.75" customHeight="1" x14ac:dyDescent="0.15">
      <c r="A458" s="57"/>
      <c r="B458" s="57"/>
      <c r="C458" s="57"/>
      <c r="D458" s="103"/>
      <c r="E458" s="125"/>
      <c r="F458" s="125"/>
      <c r="G458" s="57"/>
      <c r="H458" s="57"/>
      <c r="I458" s="57"/>
      <c r="J458" s="57"/>
      <c r="K458" s="57"/>
      <c r="L458" s="57"/>
      <c r="M458" s="57"/>
      <c r="N458" s="57"/>
      <c r="O458" s="70"/>
      <c r="P458" s="57"/>
      <c r="Q458" s="24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220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149"/>
      <c r="AP458" s="149"/>
      <c r="AQ458" s="57"/>
      <c r="AR458" s="74"/>
      <c r="AS458" s="149"/>
      <c r="AT458" s="235"/>
      <c r="AU458" s="57"/>
      <c r="AV458" s="57"/>
      <c r="AW458" s="57"/>
      <c r="AX458" s="70"/>
      <c r="AY458" s="149"/>
      <c r="AZ458" s="112"/>
      <c r="BA458" s="236"/>
      <c r="BB458" s="236"/>
      <c r="BC458" s="152"/>
      <c r="BD458" s="152"/>
      <c r="BE458" s="236"/>
      <c r="BF458" s="262"/>
      <c r="BG458" s="262"/>
    </row>
    <row r="459" spans="1:59" ht="12.75" customHeight="1" x14ac:dyDescent="0.15">
      <c r="A459" s="57"/>
      <c r="B459" s="57"/>
      <c r="C459" s="57"/>
      <c r="D459" s="103"/>
      <c r="E459" s="125"/>
      <c r="F459" s="125"/>
      <c r="G459" s="57"/>
      <c r="H459" s="57"/>
      <c r="I459" s="57"/>
      <c r="J459" s="57"/>
      <c r="K459" s="57"/>
      <c r="L459" s="57"/>
      <c r="M459" s="57"/>
      <c r="N459" s="57"/>
      <c r="O459" s="70"/>
      <c r="P459" s="57"/>
      <c r="Q459" s="24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220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149"/>
      <c r="AP459" s="149"/>
      <c r="AQ459" s="57"/>
      <c r="AR459" s="74"/>
      <c r="AS459" s="149"/>
      <c r="AT459" s="235"/>
      <c r="AU459" s="57"/>
      <c r="AV459" s="57"/>
      <c r="AW459" s="57"/>
      <c r="AX459" s="70"/>
      <c r="AY459" s="149"/>
      <c r="AZ459" s="112"/>
      <c r="BA459" s="236"/>
      <c r="BB459" s="236"/>
      <c r="BC459" s="152"/>
      <c r="BD459" s="152"/>
      <c r="BE459" s="236"/>
      <c r="BF459" s="262"/>
      <c r="BG459" s="262"/>
    </row>
    <row r="460" spans="1:59" ht="12.75" customHeight="1" x14ac:dyDescent="0.15">
      <c r="A460" s="57"/>
      <c r="B460" s="57"/>
      <c r="C460" s="57"/>
      <c r="D460" s="103"/>
      <c r="E460" s="125"/>
      <c r="F460" s="125"/>
      <c r="G460" s="57"/>
      <c r="H460" s="57"/>
      <c r="I460" s="57"/>
      <c r="J460" s="57"/>
      <c r="K460" s="57"/>
      <c r="L460" s="57"/>
      <c r="M460" s="57"/>
      <c r="N460" s="57"/>
      <c r="O460" s="70"/>
      <c r="P460" s="57"/>
      <c r="Q460" s="24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220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149"/>
      <c r="AP460" s="149"/>
      <c r="AQ460" s="57"/>
      <c r="AR460" s="74"/>
      <c r="AS460" s="149"/>
      <c r="AT460" s="235"/>
      <c r="AU460" s="57"/>
      <c r="AV460" s="57"/>
      <c r="AW460" s="57"/>
      <c r="AX460" s="70"/>
      <c r="AY460" s="149"/>
      <c r="AZ460" s="112"/>
      <c r="BA460" s="236"/>
      <c r="BB460" s="236"/>
      <c r="BC460" s="152"/>
      <c r="BD460" s="152"/>
      <c r="BE460" s="236"/>
      <c r="BF460" s="262"/>
      <c r="BG460" s="262"/>
    </row>
    <row r="461" spans="1:59" ht="12.75" customHeight="1" x14ac:dyDescent="0.15">
      <c r="A461" s="57"/>
      <c r="B461" s="57"/>
      <c r="C461" s="57"/>
      <c r="D461" s="103"/>
      <c r="E461" s="125"/>
      <c r="F461" s="125"/>
      <c r="G461" s="57"/>
      <c r="H461" s="57"/>
      <c r="I461" s="57"/>
      <c r="J461" s="57"/>
      <c r="K461" s="57"/>
      <c r="L461" s="57"/>
      <c r="M461" s="57"/>
      <c r="N461" s="57"/>
      <c r="O461" s="70"/>
      <c r="P461" s="57"/>
      <c r="Q461" s="24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220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149"/>
      <c r="AP461" s="149"/>
      <c r="AQ461" s="57"/>
      <c r="AR461" s="74"/>
      <c r="AS461" s="149"/>
      <c r="AT461" s="235"/>
      <c r="AU461" s="57"/>
      <c r="AV461" s="57"/>
      <c r="AW461" s="57"/>
      <c r="AX461" s="70"/>
      <c r="AY461" s="149"/>
      <c r="AZ461" s="112"/>
      <c r="BA461" s="236"/>
      <c r="BB461" s="236"/>
      <c r="BC461" s="152"/>
      <c r="BD461" s="152"/>
      <c r="BE461" s="236"/>
      <c r="BF461" s="262"/>
      <c r="BG461" s="262"/>
    </row>
    <row r="462" spans="1:59" ht="12.75" customHeight="1" x14ac:dyDescent="0.15">
      <c r="A462" s="57"/>
      <c r="B462" s="57"/>
      <c r="C462" s="57"/>
      <c r="D462" s="103"/>
      <c r="E462" s="125"/>
      <c r="F462" s="125"/>
      <c r="G462" s="57"/>
      <c r="H462" s="57"/>
      <c r="I462" s="57"/>
      <c r="J462" s="57"/>
      <c r="K462" s="57"/>
      <c r="L462" s="57"/>
      <c r="M462" s="57"/>
      <c r="N462" s="57"/>
      <c r="O462" s="70"/>
      <c r="P462" s="57"/>
      <c r="Q462" s="24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220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149"/>
      <c r="AP462" s="149"/>
      <c r="AQ462" s="57"/>
      <c r="AR462" s="74"/>
      <c r="AS462" s="149"/>
      <c r="AT462" s="235"/>
      <c r="AU462" s="57"/>
      <c r="AV462" s="57"/>
      <c r="AW462" s="57"/>
      <c r="AX462" s="70"/>
      <c r="AY462" s="149"/>
      <c r="AZ462" s="112"/>
      <c r="BA462" s="236"/>
      <c r="BB462" s="236"/>
      <c r="BC462" s="152"/>
      <c r="BD462" s="152"/>
      <c r="BE462" s="236"/>
      <c r="BF462" s="262"/>
      <c r="BG462" s="262"/>
    </row>
    <row r="463" spans="1:59" ht="12.75" customHeight="1" x14ac:dyDescent="0.15">
      <c r="A463" s="57"/>
      <c r="B463" s="57"/>
      <c r="C463" s="57"/>
      <c r="D463" s="103"/>
      <c r="E463" s="125"/>
      <c r="F463" s="125"/>
      <c r="G463" s="57"/>
      <c r="H463" s="57"/>
      <c r="I463" s="57"/>
      <c r="J463" s="57"/>
      <c r="K463" s="57"/>
      <c r="L463" s="57"/>
      <c r="M463" s="57"/>
      <c r="N463" s="57"/>
      <c r="O463" s="70"/>
      <c r="P463" s="57"/>
      <c r="Q463" s="24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220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149"/>
      <c r="AP463" s="149"/>
      <c r="AQ463" s="57"/>
      <c r="AR463" s="74"/>
      <c r="AS463" s="149"/>
      <c r="AT463" s="235"/>
      <c r="AU463" s="57"/>
      <c r="AV463" s="57"/>
      <c r="AW463" s="57"/>
      <c r="AX463" s="70"/>
      <c r="AY463" s="149"/>
      <c r="AZ463" s="112"/>
      <c r="BA463" s="236"/>
      <c r="BB463" s="236"/>
      <c r="BC463" s="152"/>
      <c r="BD463" s="152"/>
      <c r="BE463" s="236"/>
      <c r="BF463" s="262"/>
      <c r="BG463" s="262"/>
    </row>
    <row r="464" spans="1:59" ht="12.75" customHeight="1" x14ac:dyDescent="0.15">
      <c r="A464" s="57"/>
      <c r="B464" s="57"/>
      <c r="C464" s="57"/>
      <c r="D464" s="103"/>
      <c r="E464" s="125"/>
      <c r="F464" s="125"/>
      <c r="G464" s="57"/>
      <c r="H464" s="57"/>
      <c r="I464" s="57"/>
      <c r="J464" s="57"/>
      <c r="K464" s="57"/>
      <c r="L464" s="57"/>
      <c r="M464" s="57"/>
      <c r="N464" s="57"/>
      <c r="O464" s="70"/>
      <c r="P464" s="57"/>
      <c r="Q464" s="24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220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149"/>
      <c r="AP464" s="149"/>
      <c r="AQ464" s="57"/>
      <c r="AR464" s="74"/>
      <c r="AS464" s="149"/>
      <c r="AT464" s="235"/>
      <c r="AU464" s="57"/>
      <c r="AV464" s="57"/>
      <c r="AW464" s="57"/>
      <c r="AX464" s="70"/>
      <c r="AY464" s="149"/>
      <c r="AZ464" s="112"/>
      <c r="BA464" s="236"/>
      <c r="BB464" s="236"/>
      <c r="BC464" s="152"/>
      <c r="BD464" s="152"/>
      <c r="BE464" s="236"/>
      <c r="BF464" s="262"/>
      <c r="BG464" s="262"/>
    </row>
    <row r="465" spans="1:59" ht="12.75" customHeight="1" x14ac:dyDescent="0.15">
      <c r="A465" s="57"/>
      <c r="B465" s="57"/>
      <c r="C465" s="57"/>
      <c r="D465" s="103"/>
      <c r="E465" s="125"/>
      <c r="F465" s="125"/>
      <c r="G465" s="57"/>
      <c r="H465" s="57"/>
      <c r="I465" s="57"/>
      <c r="J465" s="57"/>
      <c r="K465" s="57"/>
      <c r="L465" s="57"/>
      <c r="M465" s="57"/>
      <c r="N465" s="57"/>
      <c r="O465" s="70"/>
      <c r="P465" s="57"/>
      <c r="Q465" s="24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220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149"/>
      <c r="AP465" s="149"/>
      <c r="AQ465" s="57"/>
      <c r="AR465" s="74"/>
      <c r="AS465" s="149"/>
      <c r="AT465" s="235"/>
      <c r="AU465" s="57"/>
      <c r="AV465" s="57"/>
      <c r="AW465" s="57"/>
      <c r="AX465" s="70"/>
      <c r="AY465" s="149"/>
      <c r="AZ465" s="112"/>
      <c r="BA465" s="236"/>
      <c r="BB465" s="236"/>
      <c r="BC465" s="152"/>
      <c r="BD465" s="152"/>
      <c r="BE465" s="236"/>
      <c r="BF465" s="262"/>
      <c r="BG465" s="262"/>
    </row>
    <row r="466" spans="1:59" ht="12.75" customHeight="1" x14ac:dyDescent="0.15">
      <c r="A466" s="57"/>
      <c r="B466" s="57"/>
      <c r="C466" s="57"/>
      <c r="D466" s="103"/>
      <c r="E466" s="125"/>
      <c r="F466" s="125"/>
      <c r="G466" s="57"/>
      <c r="H466" s="57"/>
      <c r="I466" s="57"/>
      <c r="J466" s="57"/>
      <c r="K466" s="57"/>
      <c r="L466" s="57"/>
      <c r="M466" s="57"/>
      <c r="N466" s="57"/>
      <c r="O466" s="70"/>
      <c r="P466" s="57"/>
      <c r="Q466" s="24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220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149"/>
      <c r="AP466" s="149"/>
      <c r="AQ466" s="57"/>
      <c r="AR466" s="74"/>
      <c r="AS466" s="149"/>
      <c r="AT466" s="235"/>
      <c r="AU466" s="57"/>
      <c r="AV466" s="57"/>
      <c r="AW466" s="57"/>
      <c r="AX466" s="70"/>
      <c r="AY466" s="149"/>
      <c r="AZ466" s="112"/>
      <c r="BA466" s="236"/>
      <c r="BB466" s="236"/>
      <c r="BC466" s="152"/>
      <c r="BD466" s="152"/>
      <c r="BE466" s="236"/>
      <c r="BF466" s="262"/>
      <c r="BG466" s="262"/>
    </row>
    <row r="467" spans="1:59" ht="12.75" customHeight="1" x14ac:dyDescent="0.15">
      <c r="A467" s="57"/>
      <c r="B467" s="57"/>
      <c r="C467" s="57"/>
      <c r="D467" s="103"/>
      <c r="E467" s="125"/>
      <c r="F467" s="125"/>
      <c r="G467" s="57"/>
      <c r="H467" s="57"/>
      <c r="I467" s="57"/>
      <c r="J467" s="57"/>
      <c r="K467" s="57"/>
      <c r="L467" s="57"/>
      <c r="M467" s="57"/>
      <c r="N467" s="57"/>
      <c r="O467" s="70"/>
      <c r="P467" s="57"/>
      <c r="Q467" s="24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220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149"/>
      <c r="AP467" s="149"/>
      <c r="AQ467" s="57"/>
      <c r="AR467" s="74"/>
      <c r="AS467" s="149"/>
      <c r="AT467" s="235"/>
      <c r="AU467" s="57"/>
      <c r="AV467" s="57"/>
      <c r="AW467" s="57"/>
      <c r="AX467" s="70"/>
      <c r="AY467" s="149"/>
      <c r="AZ467" s="112"/>
      <c r="BA467" s="236"/>
      <c r="BB467" s="236"/>
      <c r="BC467" s="152"/>
      <c r="BD467" s="152"/>
      <c r="BE467" s="236"/>
      <c r="BF467" s="262"/>
      <c r="BG467" s="262"/>
    </row>
    <row r="468" spans="1:59" ht="12.75" customHeight="1" x14ac:dyDescent="0.15">
      <c r="A468" s="57"/>
      <c r="B468" s="57"/>
      <c r="C468" s="57"/>
      <c r="D468" s="103"/>
      <c r="E468" s="125"/>
      <c r="F468" s="125"/>
      <c r="G468" s="57"/>
      <c r="H468" s="57"/>
      <c r="I468" s="57"/>
      <c r="J468" s="57"/>
      <c r="K468" s="57"/>
      <c r="L468" s="57"/>
      <c r="M468" s="57"/>
      <c r="N468" s="57"/>
      <c r="O468" s="70"/>
      <c r="P468" s="57"/>
      <c r="Q468" s="24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220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149"/>
      <c r="AP468" s="149"/>
      <c r="AQ468" s="57"/>
      <c r="AR468" s="74"/>
      <c r="AS468" s="149"/>
      <c r="AT468" s="235"/>
      <c r="AU468" s="57"/>
      <c r="AV468" s="57"/>
      <c r="AW468" s="57"/>
      <c r="AX468" s="70"/>
      <c r="AY468" s="149"/>
      <c r="AZ468" s="112"/>
      <c r="BA468" s="236"/>
      <c r="BB468" s="236"/>
      <c r="BC468" s="152"/>
      <c r="BD468" s="152"/>
      <c r="BE468" s="236"/>
      <c r="BF468" s="262"/>
      <c r="BG468" s="262"/>
    </row>
    <row r="469" spans="1:59" ht="12.75" customHeight="1" x14ac:dyDescent="0.15">
      <c r="A469" s="57"/>
      <c r="B469" s="57"/>
      <c r="C469" s="57"/>
      <c r="D469" s="103"/>
      <c r="E469" s="125"/>
      <c r="F469" s="125"/>
      <c r="G469" s="57"/>
      <c r="H469" s="57"/>
      <c r="I469" s="57"/>
      <c r="J469" s="57"/>
      <c r="K469" s="57"/>
      <c r="L469" s="57"/>
      <c r="M469" s="57"/>
      <c r="N469" s="57"/>
      <c r="O469" s="70"/>
      <c r="P469" s="57"/>
      <c r="Q469" s="24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220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149"/>
      <c r="AP469" s="149"/>
      <c r="AQ469" s="57"/>
      <c r="AR469" s="74"/>
      <c r="AS469" s="149"/>
      <c r="AT469" s="235"/>
      <c r="AU469" s="57"/>
      <c r="AV469" s="57"/>
      <c r="AW469" s="57"/>
      <c r="AX469" s="70"/>
      <c r="AY469" s="149"/>
      <c r="AZ469" s="112"/>
      <c r="BA469" s="236"/>
      <c r="BB469" s="236"/>
      <c r="BC469" s="152"/>
      <c r="BD469" s="152"/>
      <c r="BE469" s="236"/>
      <c r="BF469" s="262"/>
      <c r="BG469" s="262"/>
    </row>
    <row r="470" spans="1:59" ht="12.75" customHeight="1" x14ac:dyDescent="0.15">
      <c r="A470" s="57"/>
      <c r="B470" s="57"/>
      <c r="C470" s="57"/>
      <c r="D470" s="103"/>
      <c r="E470" s="125"/>
      <c r="F470" s="125"/>
      <c r="G470" s="57"/>
      <c r="H470" s="57"/>
      <c r="I470" s="57"/>
      <c r="J470" s="57"/>
      <c r="K470" s="57"/>
      <c r="L470" s="57"/>
      <c r="M470" s="57"/>
      <c r="N470" s="57"/>
      <c r="O470" s="70"/>
      <c r="P470" s="57"/>
      <c r="Q470" s="24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220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149"/>
      <c r="AP470" s="149"/>
      <c r="AQ470" s="57"/>
      <c r="AR470" s="74"/>
      <c r="AS470" s="149"/>
      <c r="AT470" s="235"/>
      <c r="AU470" s="57"/>
      <c r="AV470" s="57"/>
      <c r="AW470" s="57"/>
      <c r="AX470" s="70"/>
      <c r="AY470" s="149"/>
      <c r="AZ470" s="112"/>
      <c r="BA470" s="236"/>
      <c r="BB470" s="236"/>
      <c r="BC470" s="152"/>
      <c r="BD470" s="152"/>
      <c r="BE470" s="236"/>
      <c r="BF470" s="262"/>
      <c r="BG470" s="262"/>
    </row>
    <row r="471" spans="1:59" ht="12.75" customHeight="1" x14ac:dyDescent="0.15">
      <c r="A471" s="57"/>
      <c r="B471" s="57"/>
      <c r="C471" s="57"/>
      <c r="D471" s="103"/>
      <c r="E471" s="125"/>
      <c r="F471" s="125"/>
      <c r="G471" s="57"/>
      <c r="H471" s="57"/>
      <c r="I471" s="57"/>
      <c r="J471" s="57"/>
      <c r="K471" s="57"/>
      <c r="L471" s="57"/>
      <c r="M471" s="57"/>
      <c r="N471" s="57"/>
      <c r="O471" s="70"/>
      <c r="P471" s="57"/>
      <c r="Q471" s="24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220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149"/>
      <c r="AP471" s="149"/>
      <c r="AQ471" s="57"/>
      <c r="AR471" s="74"/>
      <c r="AS471" s="149"/>
      <c r="AT471" s="235"/>
      <c r="AU471" s="57"/>
      <c r="AV471" s="57"/>
      <c r="AW471" s="57"/>
      <c r="AX471" s="70"/>
      <c r="AY471" s="149"/>
      <c r="AZ471" s="112"/>
      <c r="BA471" s="236"/>
      <c r="BB471" s="236"/>
      <c r="BC471" s="152"/>
      <c r="BD471" s="152"/>
      <c r="BE471" s="236"/>
      <c r="BF471" s="262"/>
      <c r="BG471" s="262"/>
    </row>
    <row r="472" spans="1:59" ht="12.75" customHeight="1" x14ac:dyDescent="0.15">
      <c r="A472" s="57"/>
      <c r="B472" s="57"/>
      <c r="C472" s="57"/>
      <c r="D472" s="103"/>
      <c r="E472" s="125"/>
      <c r="F472" s="125"/>
      <c r="G472" s="57"/>
      <c r="H472" s="57"/>
      <c r="I472" s="57"/>
      <c r="J472" s="57"/>
      <c r="K472" s="57"/>
      <c r="L472" s="57"/>
      <c r="M472" s="57"/>
      <c r="N472" s="57"/>
      <c r="O472" s="70"/>
      <c r="P472" s="57"/>
      <c r="Q472" s="24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220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149"/>
      <c r="AP472" s="149"/>
      <c r="AQ472" s="57"/>
      <c r="AR472" s="74"/>
      <c r="AS472" s="149"/>
      <c r="AT472" s="235"/>
      <c r="AU472" s="57"/>
      <c r="AV472" s="57"/>
      <c r="AW472" s="57"/>
      <c r="AX472" s="70"/>
      <c r="AY472" s="149"/>
      <c r="AZ472" s="112"/>
      <c r="BA472" s="236"/>
      <c r="BB472" s="236"/>
      <c r="BC472" s="152"/>
      <c r="BD472" s="152"/>
      <c r="BE472" s="236"/>
      <c r="BF472" s="262"/>
      <c r="BG472" s="262"/>
    </row>
    <row r="473" spans="1:59" ht="12.75" customHeight="1" x14ac:dyDescent="0.15">
      <c r="A473" s="57"/>
      <c r="B473" s="57"/>
      <c r="C473" s="57"/>
      <c r="D473" s="103"/>
      <c r="E473" s="125"/>
      <c r="F473" s="125"/>
      <c r="G473" s="57"/>
      <c r="H473" s="57"/>
      <c r="I473" s="57"/>
      <c r="J473" s="57"/>
      <c r="K473" s="57"/>
      <c r="L473" s="57"/>
      <c r="M473" s="57"/>
      <c r="N473" s="57"/>
      <c r="O473" s="70"/>
      <c r="P473" s="57"/>
      <c r="Q473" s="24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220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149"/>
      <c r="AP473" s="149"/>
      <c r="AQ473" s="57"/>
      <c r="AR473" s="74"/>
      <c r="AS473" s="149"/>
      <c r="AT473" s="235"/>
      <c r="AU473" s="57"/>
      <c r="AV473" s="57"/>
      <c r="AW473" s="57"/>
      <c r="AX473" s="70"/>
      <c r="AY473" s="149"/>
      <c r="AZ473" s="112"/>
      <c r="BA473" s="236"/>
      <c r="BB473" s="236"/>
      <c r="BC473" s="152"/>
      <c r="BD473" s="152"/>
      <c r="BE473" s="236"/>
      <c r="BF473" s="262"/>
      <c r="BG473" s="262"/>
    </row>
    <row r="474" spans="1:59" ht="12.75" customHeight="1" x14ac:dyDescent="0.15">
      <c r="A474" s="57"/>
      <c r="B474" s="57"/>
      <c r="C474" s="57"/>
      <c r="D474" s="103"/>
      <c r="E474" s="125"/>
      <c r="F474" s="125"/>
      <c r="G474" s="57"/>
      <c r="H474" s="57"/>
      <c r="I474" s="57"/>
      <c r="J474" s="57"/>
      <c r="K474" s="57"/>
      <c r="L474" s="57"/>
      <c r="M474" s="57"/>
      <c r="N474" s="57"/>
      <c r="O474" s="70"/>
      <c r="P474" s="57"/>
      <c r="Q474" s="24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220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149"/>
      <c r="AP474" s="149"/>
      <c r="AQ474" s="57"/>
      <c r="AR474" s="74"/>
      <c r="AS474" s="149"/>
      <c r="AT474" s="235"/>
      <c r="AU474" s="57"/>
      <c r="AV474" s="57"/>
      <c r="AW474" s="57"/>
      <c r="AX474" s="70"/>
      <c r="AY474" s="149"/>
      <c r="AZ474" s="112"/>
      <c r="BA474" s="236"/>
      <c r="BB474" s="236"/>
      <c r="BC474" s="152"/>
      <c r="BD474" s="152"/>
      <c r="BE474" s="236"/>
      <c r="BF474" s="262"/>
      <c r="BG474" s="262"/>
    </row>
    <row r="475" spans="1:59" ht="12.75" customHeight="1" x14ac:dyDescent="0.15">
      <c r="A475" s="57"/>
      <c r="B475" s="57"/>
      <c r="C475" s="57"/>
      <c r="D475" s="103"/>
      <c r="E475" s="125"/>
      <c r="F475" s="125"/>
      <c r="G475" s="57"/>
      <c r="H475" s="57"/>
      <c r="I475" s="57"/>
      <c r="J475" s="57"/>
      <c r="K475" s="57"/>
      <c r="L475" s="57"/>
      <c r="M475" s="57"/>
      <c r="N475" s="57"/>
      <c r="O475" s="70"/>
      <c r="P475" s="57"/>
      <c r="Q475" s="24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220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149"/>
      <c r="AP475" s="149"/>
      <c r="AQ475" s="57"/>
      <c r="AR475" s="74"/>
      <c r="AS475" s="149"/>
      <c r="AT475" s="235"/>
      <c r="AU475" s="57"/>
      <c r="AV475" s="57"/>
      <c r="AW475" s="57"/>
      <c r="AX475" s="70"/>
      <c r="AY475" s="149"/>
      <c r="AZ475" s="112"/>
      <c r="BA475" s="236"/>
      <c r="BB475" s="236"/>
      <c r="BC475" s="152"/>
      <c r="BD475" s="152"/>
      <c r="BE475" s="236"/>
      <c r="BF475" s="262"/>
      <c r="BG475" s="262"/>
    </row>
    <row r="476" spans="1:59" ht="12.75" customHeight="1" x14ac:dyDescent="0.15">
      <c r="A476" s="57"/>
      <c r="B476" s="57"/>
      <c r="C476" s="57"/>
      <c r="D476" s="103"/>
      <c r="E476" s="125"/>
      <c r="F476" s="125"/>
      <c r="G476" s="57"/>
      <c r="H476" s="57"/>
      <c r="I476" s="57"/>
      <c r="J476" s="57"/>
      <c r="K476" s="57"/>
      <c r="L476" s="57"/>
      <c r="M476" s="57"/>
      <c r="N476" s="57"/>
      <c r="O476" s="70"/>
      <c r="P476" s="57"/>
      <c r="Q476" s="24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220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149"/>
      <c r="AP476" s="149"/>
      <c r="AQ476" s="57"/>
      <c r="AR476" s="74"/>
      <c r="AS476" s="149"/>
      <c r="AT476" s="235"/>
      <c r="AU476" s="57"/>
      <c r="AV476" s="57"/>
      <c r="AW476" s="57"/>
      <c r="AX476" s="70"/>
      <c r="AY476" s="149"/>
      <c r="AZ476" s="112"/>
      <c r="BA476" s="236"/>
      <c r="BB476" s="236"/>
      <c r="BC476" s="152"/>
      <c r="BD476" s="152"/>
      <c r="BE476" s="236"/>
      <c r="BF476" s="262"/>
      <c r="BG476" s="262"/>
    </row>
    <row r="477" spans="1:59" ht="12.75" customHeight="1" x14ac:dyDescent="0.15">
      <c r="A477" s="57"/>
      <c r="B477" s="57"/>
      <c r="C477" s="57"/>
      <c r="D477" s="103"/>
      <c r="E477" s="125"/>
      <c r="F477" s="125"/>
      <c r="G477" s="57"/>
      <c r="H477" s="57"/>
      <c r="I477" s="57"/>
      <c r="J477" s="57"/>
      <c r="K477" s="57"/>
      <c r="L477" s="57"/>
      <c r="M477" s="57"/>
      <c r="N477" s="57"/>
      <c r="O477" s="70"/>
      <c r="P477" s="57"/>
      <c r="Q477" s="24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220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149"/>
      <c r="AP477" s="149"/>
      <c r="AQ477" s="57"/>
      <c r="AR477" s="74"/>
      <c r="AS477" s="149"/>
      <c r="AT477" s="235"/>
      <c r="AU477" s="57"/>
      <c r="AV477" s="57"/>
      <c r="AW477" s="57"/>
      <c r="AX477" s="70"/>
      <c r="AY477" s="149"/>
      <c r="AZ477" s="112"/>
      <c r="BA477" s="236"/>
      <c r="BB477" s="236"/>
      <c r="BC477" s="152"/>
      <c r="BD477" s="152"/>
      <c r="BE477" s="236"/>
      <c r="BF477" s="262"/>
      <c r="BG477" s="262"/>
    </row>
    <row r="478" spans="1:59" ht="12.75" customHeight="1" x14ac:dyDescent="0.15">
      <c r="A478" s="57"/>
      <c r="B478" s="57"/>
      <c r="C478" s="57"/>
      <c r="D478" s="103"/>
      <c r="E478" s="125"/>
      <c r="F478" s="125"/>
      <c r="G478" s="57"/>
      <c r="H478" s="57"/>
      <c r="I478" s="57"/>
      <c r="J478" s="57"/>
      <c r="K478" s="57"/>
      <c r="L478" s="57"/>
      <c r="M478" s="57"/>
      <c r="N478" s="57"/>
      <c r="O478" s="70"/>
      <c r="P478" s="57"/>
      <c r="Q478" s="24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220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149"/>
      <c r="AP478" s="149"/>
      <c r="AQ478" s="57"/>
      <c r="AR478" s="74"/>
      <c r="AS478" s="149"/>
      <c r="AT478" s="235"/>
      <c r="AU478" s="57"/>
      <c r="AV478" s="57"/>
      <c r="AW478" s="57"/>
      <c r="AX478" s="70"/>
      <c r="AY478" s="149"/>
      <c r="AZ478" s="112"/>
      <c r="BA478" s="236"/>
      <c r="BB478" s="236"/>
      <c r="BC478" s="152"/>
      <c r="BD478" s="152"/>
      <c r="BE478" s="236"/>
      <c r="BF478" s="262"/>
      <c r="BG478" s="262"/>
    </row>
    <row r="479" spans="1:59" ht="12.75" customHeight="1" x14ac:dyDescent="0.15">
      <c r="A479" s="57"/>
      <c r="B479" s="57"/>
      <c r="C479" s="57"/>
      <c r="D479" s="103"/>
      <c r="E479" s="125"/>
      <c r="F479" s="125"/>
      <c r="G479" s="57"/>
      <c r="H479" s="57"/>
      <c r="I479" s="57"/>
      <c r="J479" s="57"/>
      <c r="K479" s="57"/>
      <c r="L479" s="57"/>
      <c r="M479" s="57"/>
      <c r="N479" s="57"/>
      <c r="O479" s="70"/>
      <c r="P479" s="57"/>
      <c r="Q479" s="24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220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149"/>
      <c r="AP479" s="149"/>
      <c r="AQ479" s="57"/>
      <c r="AR479" s="74"/>
      <c r="AS479" s="149"/>
      <c r="AT479" s="235"/>
      <c r="AU479" s="57"/>
      <c r="AV479" s="57"/>
      <c r="AW479" s="57"/>
      <c r="AX479" s="70"/>
      <c r="AY479" s="149"/>
      <c r="AZ479" s="112"/>
      <c r="BA479" s="236"/>
      <c r="BB479" s="236"/>
      <c r="BC479" s="152"/>
      <c r="BD479" s="152"/>
      <c r="BE479" s="236"/>
      <c r="BF479" s="262"/>
      <c r="BG479" s="262"/>
    </row>
    <row r="480" spans="1:59" ht="12.75" customHeight="1" x14ac:dyDescent="0.15">
      <c r="A480" s="57"/>
      <c r="B480" s="57"/>
      <c r="C480" s="57"/>
      <c r="D480" s="103"/>
      <c r="E480" s="125"/>
      <c r="F480" s="125"/>
      <c r="G480" s="57"/>
      <c r="H480" s="57"/>
      <c r="I480" s="57"/>
      <c r="J480" s="57"/>
      <c r="K480" s="57"/>
      <c r="L480" s="57"/>
      <c r="M480" s="57"/>
      <c r="N480" s="57"/>
      <c r="O480" s="70"/>
      <c r="P480" s="57"/>
      <c r="Q480" s="24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220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149"/>
      <c r="AP480" s="149"/>
      <c r="AQ480" s="57"/>
      <c r="AR480" s="74"/>
      <c r="AS480" s="149"/>
      <c r="AT480" s="235"/>
      <c r="AU480" s="57"/>
      <c r="AV480" s="57"/>
      <c r="AW480" s="57"/>
      <c r="AX480" s="70"/>
      <c r="AY480" s="149"/>
      <c r="AZ480" s="112"/>
      <c r="BA480" s="236"/>
      <c r="BB480" s="236"/>
      <c r="BC480" s="152"/>
      <c r="BD480" s="152"/>
      <c r="BE480" s="236"/>
      <c r="BF480" s="262"/>
      <c r="BG480" s="262"/>
    </row>
    <row r="481" spans="1:59" ht="12.75" customHeight="1" x14ac:dyDescent="0.15">
      <c r="A481" s="57"/>
      <c r="B481" s="57"/>
      <c r="C481" s="57"/>
      <c r="D481" s="103"/>
      <c r="E481" s="125"/>
      <c r="F481" s="125"/>
      <c r="G481" s="57"/>
      <c r="H481" s="57"/>
      <c r="I481" s="57"/>
      <c r="J481" s="57"/>
      <c r="K481" s="57"/>
      <c r="L481" s="57"/>
      <c r="M481" s="57"/>
      <c r="N481" s="57"/>
      <c r="O481" s="70"/>
      <c r="P481" s="57"/>
      <c r="Q481" s="24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220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149"/>
      <c r="AP481" s="149"/>
      <c r="AQ481" s="57"/>
      <c r="AR481" s="74"/>
      <c r="AS481" s="149"/>
      <c r="AT481" s="235"/>
      <c r="AU481" s="57"/>
      <c r="AV481" s="57"/>
      <c r="AW481" s="57"/>
      <c r="AX481" s="70"/>
      <c r="AY481" s="149"/>
      <c r="AZ481" s="112"/>
      <c r="BA481" s="236"/>
      <c r="BB481" s="236"/>
      <c r="BC481" s="152"/>
      <c r="BD481" s="152"/>
      <c r="BE481" s="236"/>
      <c r="BF481" s="262"/>
      <c r="BG481" s="262"/>
    </row>
    <row r="482" spans="1:59" ht="12.75" customHeight="1" x14ac:dyDescent="0.15">
      <c r="A482" s="57"/>
      <c r="B482" s="57"/>
      <c r="C482" s="57"/>
      <c r="D482" s="103"/>
      <c r="E482" s="125"/>
      <c r="F482" s="125"/>
      <c r="G482" s="57"/>
      <c r="H482" s="57"/>
      <c r="I482" s="57"/>
      <c r="J482" s="57"/>
      <c r="K482" s="57"/>
      <c r="L482" s="57"/>
      <c r="M482" s="57"/>
      <c r="N482" s="57"/>
      <c r="O482" s="70"/>
      <c r="P482" s="57"/>
      <c r="Q482" s="24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220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149"/>
      <c r="AP482" s="149"/>
      <c r="AQ482" s="57"/>
      <c r="AR482" s="74"/>
      <c r="AS482" s="149"/>
      <c r="AT482" s="235"/>
      <c r="AU482" s="57"/>
      <c r="AV482" s="57"/>
      <c r="AW482" s="57"/>
      <c r="AX482" s="70"/>
      <c r="AY482" s="149"/>
      <c r="AZ482" s="112"/>
      <c r="BA482" s="236"/>
      <c r="BB482" s="236"/>
      <c r="BC482" s="152"/>
      <c r="BD482" s="152"/>
      <c r="BE482" s="236"/>
      <c r="BF482" s="262"/>
      <c r="BG482" s="262"/>
    </row>
    <row r="483" spans="1:59" ht="12.75" customHeight="1" x14ac:dyDescent="0.15">
      <c r="A483" s="57"/>
      <c r="B483" s="57"/>
      <c r="C483" s="57"/>
      <c r="D483" s="103"/>
      <c r="E483" s="125"/>
      <c r="F483" s="125"/>
      <c r="G483" s="57"/>
      <c r="H483" s="57"/>
      <c r="I483" s="57"/>
      <c r="J483" s="57"/>
      <c r="K483" s="57"/>
      <c r="L483" s="57"/>
      <c r="M483" s="57"/>
      <c r="N483" s="57"/>
      <c r="O483" s="70"/>
      <c r="P483" s="57"/>
      <c r="Q483" s="24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220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149"/>
      <c r="AP483" s="149"/>
      <c r="AQ483" s="57"/>
      <c r="AR483" s="74"/>
      <c r="AS483" s="149"/>
      <c r="AT483" s="235"/>
      <c r="AU483" s="57"/>
      <c r="AV483" s="57"/>
      <c r="AW483" s="57"/>
      <c r="AX483" s="70"/>
      <c r="AY483" s="149"/>
      <c r="AZ483" s="112"/>
      <c r="BA483" s="236"/>
      <c r="BB483" s="236"/>
      <c r="BC483" s="152"/>
      <c r="BD483" s="152"/>
      <c r="BE483" s="236"/>
      <c r="BF483" s="262"/>
      <c r="BG483" s="262"/>
    </row>
    <row r="484" spans="1:59" ht="12.75" customHeight="1" x14ac:dyDescent="0.15">
      <c r="A484" s="57"/>
      <c r="B484" s="57"/>
      <c r="C484" s="57"/>
      <c r="D484" s="103"/>
      <c r="E484" s="125"/>
      <c r="F484" s="125"/>
      <c r="G484" s="57"/>
      <c r="H484" s="57"/>
      <c r="I484" s="57"/>
      <c r="J484" s="57"/>
      <c r="K484" s="57"/>
      <c r="L484" s="57"/>
      <c r="M484" s="57"/>
      <c r="N484" s="57"/>
      <c r="O484" s="70"/>
      <c r="P484" s="57"/>
      <c r="Q484" s="24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220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149"/>
      <c r="AP484" s="149"/>
      <c r="AQ484" s="57"/>
      <c r="AR484" s="74"/>
      <c r="AS484" s="149"/>
      <c r="AT484" s="235"/>
      <c r="AU484" s="57"/>
      <c r="AV484" s="57"/>
      <c r="AW484" s="57"/>
      <c r="AX484" s="70"/>
      <c r="AY484" s="149"/>
      <c r="AZ484" s="112"/>
      <c r="BA484" s="236"/>
      <c r="BB484" s="236"/>
      <c r="BC484" s="152"/>
      <c r="BD484" s="152"/>
      <c r="BE484" s="236"/>
      <c r="BF484" s="262"/>
      <c r="BG484" s="262"/>
    </row>
    <row r="485" spans="1:59" ht="12.75" customHeight="1" x14ac:dyDescent="0.15">
      <c r="A485" s="57"/>
      <c r="B485" s="57"/>
      <c r="C485" s="57"/>
      <c r="D485" s="103"/>
      <c r="E485" s="125"/>
      <c r="F485" s="125"/>
      <c r="G485" s="57"/>
      <c r="H485" s="57"/>
      <c r="I485" s="57"/>
      <c r="J485" s="57"/>
      <c r="K485" s="57"/>
      <c r="L485" s="57"/>
      <c r="M485" s="57"/>
      <c r="N485" s="57"/>
      <c r="O485" s="70"/>
      <c r="P485" s="57"/>
      <c r="Q485" s="24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220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149"/>
      <c r="AP485" s="149"/>
      <c r="AQ485" s="57"/>
      <c r="AR485" s="74"/>
      <c r="AS485" s="149"/>
      <c r="AT485" s="235"/>
      <c r="AU485" s="57"/>
      <c r="AV485" s="57"/>
      <c r="AW485" s="57"/>
      <c r="AX485" s="70"/>
      <c r="AY485" s="149"/>
      <c r="AZ485" s="112"/>
      <c r="BA485" s="236"/>
      <c r="BB485" s="236"/>
      <c r="BC485" s="152"/>
      <c r="BD485" s="152"/>
      <c r="BE485" s="236"/>
      <c r="BF485" s="262"/>
      <c r="BG485" s="262"/>
    </row>
    <row r="486" spans="1:59" ht="12.75" customHeight="1" x14ac:dyDescent="0.15">
      <c r="A486" s="57"/>
      <c r="B486" s="57"/>
      <c r="C486" s="57"/>
      <c r="D486" s="103"/>
      <c r="E486" s="125"/>
      <c r="F486" s="125"/>
      <c r="G486" s="57"/>
      <c r="H486" s="57"/>
      <c r="I486" s="57"/>
      <c r="J486" s="57"/>
      <c r="K486" s="57"/>
      <c r="L486" s="57"/>
      <c r="M486" s="57"/>
      <c r="N486" s="57"/>
      <c r="O486" s="70"/>
      <c r="P486" s="57"/>
      <c r="Q486" s="24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220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149"/>
      <c r="AP486" s="149"/>
      <c r="AQ486" s="57"/>
      <c r="AR486" s="74"/>
      <c r="AS486" s="149"/>
      <c r="AT486" s="235"/>
      <c r="AU486" s="57"/>
      <c r="AV486" s="57"/>
      <c r="AW486" s="57"/>
      <c r="AX486" s="70"/>
      <c r="AY486" s="149"/>
      <c r="AZ486" s="112"/>
      <c r="BA486" s="236"/>
      <c r="BB486" s="236"/>
      <c r="BC486" s="152"/>
      <c r="BD486" s="152"/>
      <c r="BE486" s="236"/>
      <c r="BF486" s="262"/>
      <c r="BG486" s="262"/>
    </row>
    <row r="487" spans="1:59" ht="12.75" customHeight="1" x14ac:dyDescent="0.15">
      <c r="A487" s="57"/>
      <c r="B487" s="57"/>
      <c r="C487" s="57"/>
      <c r="D487" s="103"/>
      <c r="E487" s="125"/>
      <c r="F487" s="125"/>
      <c r="G487" s="57"/>
      <c r="H487" s="57"/>
      <c r="I487" s="57"/>
      <c r="J487" s="57"/>
      <c r="K487" s="57"/>
      <c r="L487" s="57"/>
      <c r="M487" s="57"/>
      <c r="N487" s="57"/>
      <c r="O487" s="70"/>
      <c r="P487" s="57"/>
      <c r="Q487" s="24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220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149"/>
      <c r="AP487" s="149"/>
      <c r="AQ487" s="57"/>
      <c r="AR487" s="74"/>
      <c r="AS487" s="149"/>
      <c r="AT487" s="235"/>
      <c r="AU487" s="57"/>
      <c r="AV487" s="57"/>
      <c r="AW487" s="57"/>
      <c r="AX487" s="70"/>
      <c r="AY487" s="149"/>
      <c r="AZ487" s="112"/>
      <c r="BA487" s="236"/>
      <c r="BB487" s="236"/>
      <c r="BC487" s="152"/>
      <c r="BD487" s="152"/>
      <c r="BE487" s="236"/>
      <c r="BF487" s="262"/>
      <c r="BG487" s="262"/>
    </row>
    <row r="488" spans="1:59" ht="12.75" customHeight="1" x14ac:dyDescent="0.15">
      <c r="A488" s="57"/>
      <c r="B488" s="57"/>
      <c r="C488" s="57"/>
      <c r="D488" s="103"/>
      <c r="E488" s="125"/>
      <c r="F488" s="125"/>
      <c r="G488" s="57"/>
      <c r="H488" s="57"/>
      <c r="I488" s="57"/>
      <c r="J488" s="57"/>
      <c r="K488" s="57"/>
      <c r="L488" s="57"/>
      <c r="M488" s="57"/>
      <c r="N488" s="57"/>
      <c r="O488" s="70"/>
      <c r="P488" s="57"/>
      <c r="Q488" s="24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220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149"/>
      <c r="AP488" s="149"/>
      <c r="AQ488" s="57"/>
      <c r="AR488" s="74"/>
      <c r="AS488" s="149"/>
      <c r="AT488" s="235"/>
      <c r="AU488" s="57"/>
      <c r="AV488" s="57"/>
      <c r="AW488" s="57"/>
      <c r="AX488" s="70"/>
      <c r="AY488" s="149"/>
      <c r="AZ488" s="112"/>
      <c r="BA488" s="236"/>
      <c r="BB488" s="236"/>
      <c r="BC488" s="152"/>
      <c r="BD488" s="152"/>
      <c r="BE488" s="236"/>
      <c r="BF488" s="262"/>
      <c r="BG488" s="262"/>
    </row>
    <row r="489" spans="1:59" ht="12.75" customHeight="1" x14ac:dyDescent="0.15">
      <c r="A489" s="57"/>
      <c r="B489" s="57"/>
      <c r="C489" s="57"/>
      <c r="D489" s="103"/>
      <c r="E489" s="125"/>
      <c r="F489" s="125"/>
      <c r="G489" s="57"/>
      <c r="H489" s="57"/>
      <c r="I489" s="57"/>
      <c r="J489" s="57"/>
      <c r="K489" s="57"/>
      <c r="L489" s="57"/>
      <c r="M489" s="57"/>
      <c r="N489" s="57"/>
      <c r="O489" s="70"/>
      <c r="P489" s="57"/>
      <c r="Q489" s="24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220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149"/>
      <c r="AP489" s="149"/>
      <c r="AQ489" s="57"/>
      <c r="AR489" s="74"/>
      <c r="AS489" s="149"/>
      <c r="AT489" s="235"/>
      <c r="AU489" s="57"/>
      <c r="AV489" s="57"/>
      <c r="AW489" s="57"/>
      <c r="AX489" s="70"/>
      <c r="AY489" s="149"/>
      <c r="AZ489" s="112"/>
      <c r="BA489" s="236"/>
      <c r="BB489" s="236"/>
      <c r="BC489" s="152"/>
      <c r="BD489" s="152"/>
      <c r="BE489" s="236"/>
      <c r="BF489" s="262"/>
      <c r="BG489" s="262"/>
    </row>
    <row r="490" spans="1:59" ht="12.75" customHeight="1" x14ac:dyDescent="0.15">
      <c r="A490" s="57"/>
      <c r="B490" s="57"/>
      <c r="C490" s="57"/>
      <c r="D490" s="103"/>
      <c r="E490" s="125"/>
      <c r="F490" s="125"/>
      <c r="G490" s="57"/>
      <c r="H490" s="57"/>
      <c r="I490" s="57"/>
      <c r="J490" s="57"/>
      <c r="K490" s="57"/>
      <c r="L490" s="57"/>
      <c r="M490" s="57"/>
      <c r="N490" s="57"/>
      <c r="O490" s="70"/>
      <c r="P490" s="57"/>
      <c r="Q490" s="24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220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149"/>
      <c r="AP490" s="149"/>
      <c r="AQ490" s="57"/>
      <c r="AR490" s="74"/>
      <c r="AS490" s="149"/>
      <c r="AT490" s="235"/>
      <c r="AU490" s="57"/>
      <c r="AV490" s="57"/>
      <c r="AW490" s="57"/>
      <c r="AX490" s="70"/>
      <c r="AY490" s="149"/>
      <c r="AZ490" s="112"/>
      <c r="BA490" s="236"/>
      <c r="BB490" s="236"/>
      <c r="BC490" s="152"/>
      <c r="BD490" s="152"/>
      <c r="BE490" s="236"/>
      <c r="BF490" s="262"/>
      <c r="BG490" s="262"/>
    </row>
    <row r="491" spans="1:59" ht="12.75" customHeight="1" x14ac:dyDescent="0.15">
      <c r="A491" s="57"/>
      <c r="B491" s="57"/>
      <c r="C491" s="57"/>
      <c r="D491" s="103"/>
      <c r="E491" s="125"/>
      <c r="F491" s="125"/>
      <c r="G491" s="57"/>
      <c r="H491" s="57"/>
      <c r="I491" s="57"/>
      <c r="J491" s="57"/>
      <c r="K491" s="57"/>
      <c r="L491" s="57"/>
      <c r="M491" s="57"/>
      <c r="N491" s="57"/>
      <c r="O491" s="70"/>
      <c r="P491" s="57"/>
      <c r="Q491" s="24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220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149"/>
      <c r="AP491" s="149"/>
      <c r="AQ491" s="57"/>
      <c r="AR491" s="74"/>
      <c r="AS491" s="149"/>
      <c r="AT491" s="235"/>
      <c r="AU491" s="57"/>
      <c r="AV491" s="57"/>
      <c r="AW491" s="57"/>
      <c r="AX491" s="70"/>
      <c r="AY491" s="149"/>
      <c r="AZ491" s="112"/>
      <c r="BA491" s="236"/>
      <c r="BB491" s="236"/>
      <c r="BC491" s="152"/>
      <c r="BD491" s="152"/>
      <c r="BE491" s="236"/>
      <c r="BF491" s="262"/>
      <c r="BG491" s="262"/>
    </row>
    <row r="492" spans="1:59" ht="12.75" customHeight="1" x14ac:dyDescent="0.15">
      <c r="A492" s="57"/>
      <c r="B492" s="57"/>
      <c r="C492" s="57"/>
      <c r="D492" s="103"/>
      <c r="E492" s="125"/>
      <c r="F492" s="125"/>
      <c r="G492" s="57"/>
      <c r="H492" s="57"/>
      <c r="I492" s="57"/>
      <c r="J492" s="57"/>
      <c r="K492" s="57"/>
      <c r="L492" s="57"/>
      <c r="M492" s="57"/>
      <c r="N492" s="57"/>
      <c r="O492" s="70"/>
      <c r="P492" s="57"/>
      <c r="Q492" s="24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220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149"/>
      <c r="AP492" s="149"/>
      <c r="AQ492" s="57"/>
      <c r="AR492" s="74"/>
      <c r="AS492" s="149"/>
      <c r="AT492" s="235"/>
      <c r="AU492" s="57"/>
      <c r="AV492" s="57"/>
      <c r="AW492" s="57"/>
      <c r="AX492" s="70"/>
      <c r="AY492" s="149"/>
      <c r="AZ492" s="112"/>
      <c r="BA492" s="236"/>
      <c r="BB492" s="236"/>
      <c r="BC492" s="152"/>
      <c r="BD492" s="152"/>
      <c r="BE492" s="236"/>
      <c r="BF492" s="262"/>
      <c r="BG492" s="262"/>
    </row>
    <row r="493" spans="1:59" ht="12.75" customHeight="1" x14ac:dyDescent="0.15">
      <c r="A493" s="57"/>
      <c r="B493" s="57"/>
      <c r="C493" s="57"/>
      <c r="D493" s="103"/>
      <c r="E493" s="125"/>
      <c r="F493" s="125"/>
      <c r="G493" s="57"/>
      <c r="H493" s="57"/>
      <c r="I493" s="57"/>
      <c r="J493" s="57"/>
      <c r="K493" s="57"/>
      <c r="L493" s="57"/>
      <c r="M493" s="57"/>
      <c r="N493" s="57"/>
      <c r="O493" s="70"/>
      <c r="P493" s="57"/>
      <c r="Q493" s="24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220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149"/>
      <c r="AP493" s="149"/>
      <c r="AQ493" s="57"/>
      <c r="AR493" s="74"/>
      <c r="AS493" s="149"/>
      <c r="AT493" s="235"/>
      <c r="AU493" s="57"/>
      <c r="AV493" s="57"/>
      <c r="AW493" s="57"/>
      <c r="AX493" s="70"/>
      <c r="AY493" s="149"/>
      <c r="AZ493" s="112"/>
      <c r="BA493" s="236"/>
      <c r="BB493" s="236"/>
      <c r="BC493" s="152"/>
      <c r="BD493" s="152"/>
      <c r="BE493" s="236"/>
      <c r="BF493" s="262"/>
      <c r="BG493" s="262"/>
    </row>
    <row r="494" spans="1:59" ht="12.75" customHeight="1" x14ac:dyDescent="0.15">
      <c r="A494" s="57"/>
      <c r="B494" s="57"/>
      <c r="C494" s="57"/>
      <c r="D494" s="103"/>
      <c r="E494" s="125"/>
      <c r="F494" s="125"/>
      <c r="G494" s="57"/>
      <c r="H494" s="57"/>
      <c r="I494" s="57"/>
      <c r="J494" s="57"/>
      <c r="K494" s="57"/>
      <c r="L494" s="57"/>
      <c r="M494" s="57"/>
      <c r="N494" s="57"/>
      <c r="O494" s="70"/>
      <c r="P494" s="57"/>
      <c r="Q494" s="24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220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149"/>
      <c r="AP494" s="149"/>
      <c r="AQ494" s="57"/>
      <c r="AR494" s="74"/>
      <c r="AS494" s="149"/>
      <c r="AT494" s="235"/>
      <c r="AU494" s="57"/>
      <c r="AV494" s="57"/>
      <c r="AW494" s="57"/>
      <c r="AX494" s="70"/>
      <c r="AY494" s="149"/>
      <c r="AZ494" s="112"/>
      <c r="BA494" s="236"/>
      <c r="BB494" s="236"/>
      <c r="BC494" s="152"/>
      <c r="BD494" s="152"/>
      <c r="BE494" s="236"/>
      <c r="BF494" s="262"/>
      <c r="BG494" s="262"/>
    </row>
    <row r="495" spans="1:59" ht="12.75" customHeight="1" x14ac:dyDescent="0.15">
      <c r="A495" s="57"/>
      <c r="B495" s="57"/>
      <c r="C495" s="57"/>
      <c r="D495" s="103"/>
      <c r="E495" s="125"/>
      <c r="F495" s="125"/>
      <c r="G495" s="57"/>
      <c r="H495" s="57"/>
      <c r="I495" s="57"/>
      <c r="J495" s="57"/>
      <c r="K495" s="57"/>
      <c r="L495" s="57"/>
      <c r="M495" s="57"/>
      <c r="N495" s="57"/>
      <c r="O495" s="70"/>
      <c r="P495" s="57"/>
      <c r="Q495" s="24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220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149"/>
      <c r="AP495" s="149"/>
      <c r="AQ495" s="57"/>
      <c r="AR495" s="74"/>
      <c r="AS495" s="149"/>
      <c r="AT495" s="235"/>
      <c r="AU495" s="57"/>
      <c r="AV495" s="57"/>
      <c r="AW495" s="57"/>
      <c r="AX495" s="70"/>
      <c r="AY495" s="149"/>
      <c r="AZ495" s="112"/>
      <c r="BA495" s="236"/>
      <c r="BB495" s="236"/>
      <c r="BC495" s="152"/>
      <c r="BD495" s="152"/>
      <c r="BE495" s="236"/>
      <c r="BF495" s="262"/>
      <c r="BG495" s="262"/>
    </row>
    <row r="496" spans="1:59" ht="12.75" customHeight="1" x14ac:dyDescent="0.15">
      <c r="A496" s="57"/>
      <c r="B496" s="57"/>
      <c r="C496" s="57"/>
      <c r="D496" s="103"/>
      <c r="E496" s="125"/>
      <c r="F496" s="125"/>
      <c r="G496" s="57"/>
      <c r="H496" s="57"/>
      <c r="I496" s="57"/>
      <c r="J496" s="57"/>
      <c r="K496" s="57"/>
      <c r="L496" s="57"/>
      <c r="M496" s="57"/>
      <c r="N496" s="57"/>
      <c r="O496" s="70"/>
      <c r="P496" s="57"/>
      <c r="Q496" s="24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220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149"/>
      <c r="AP496" s="149"/>
      <c r="AQ496" s="57"/>
      <c r="AR496" s="74"/>
      <c r="AS496" s="149"/>
      <c r="AT496" s="235"/>
      <c r="AU496" s="57"/>
      <c r="AV496" s="57"/>
      <c r="AW496" s="57"/>
      <c r="AX496" s="70"/>
      <c r="AY496" s="149"/>
      <c r="AZ496" s="112"/>
      <c r="BA496" s="236"/>
      <c r="BB496" s="236"/>
      <c r="BC496" s="152"/>
      <c r="BD496" s="152"/>
      <c r="BE496" s="236"/>
      <c r="BF496" s="262"/>
      <c r="BG496" s="262"/>
    </row>
    <row r="497" spans="1:59" ht="12.75" customHeight="1" x14ac:dyDescent="0.15">
      <c r="A497" s="57"/>
      <c r="B497" s="57"/>
      <c r="C497" s="57"/>
      <c r="D497" s="103"/>
      <c r="E497" s="125"/>
      <c r="F497" s="125"/>
      <c r="G497" s="57"/>
      <c r="H497" s="57"/>
      <c r="I497" s="57"/>
      <c r="J497" s="57"/>
      <c r="K497" s="57"/>
      <c r="L497" s="57"/>
      <c r="M497" s="57"/>
      <c r="N497" s="57"/>
      <c r="O497" s="70"/>
      <c r="P497" s="57"/>
      <c r="Q497" s="24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220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149"/>
      <c r="AP497" s="149"/>
      <c r="AQ497" s="57"/>
      <c r="AR497" s="74"/>
      <c r="AS497" s="149"/>
      <c r="AT497" s="235"/>
      <c r="AU497" s="57"/>
      <c r="AV497" s="57"/>
      <c r="AW497" s="57"/>
      <c r="AX497" s="70"/>
      <c r="AY497" s="149"/>
      <c r="AZ497" s="112"/>
      <c r="BA497" s="236"/>
      <c r="BB497" s="236"/>
      <c r="BC497" s="152"/>
      <c r="BD497" s="152"/>
      <c r="BE497" s="236"/>
      <c r="BF497" s="262"/>
      <c r="BG497" s="262"/>
    </row>
    <row r="498" spans="1:59" ht="12.75" customHeight="1" x14ac:dyDescent="0.15">
      <c r="A498" s="57"/>
      <c r="B498" s="57"/>
      <c r="C498" s="57"/>
      <c r="D498" s="103"/>
      <c r="E498" s="125"/>
      <c r="F498" s="125"/>
      <c r="G498" s="57"/>
      <c r="H498" s="57"/>
      <c r="I498" s="57"/>
      <c r="J498" s="57"/>
      <c r="K498" s="57"/>
      <c r="L498" s="57"/>
      <c r="M498" s="57"/>
      <c r="N498" s="57"/>
      <c r="O498" s="70"/>
      <c r="P498" s="57"/>
      <c r="Q498" s="24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220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149"/>
      <c r="AP498" s="149"/>
      <c r="AQ498" s="57"/>
      <c r="AR498" s="74"/>
      <c r="AS498" s="149"/>
      <c r="AT498" s="235"/>
      <c r="AU498" s="57"/>
      <c r="AV498" s="57"/>
      <c r="AW498" s="57"/>
      <c r="AX498" s="70"/>
      <c r="AY498" s="149"/>
      <c r="AZ498" s="112"/>
      <c r="BA498" s="236"/>
      <c r="BB498" s="236"/>
      <c r="BC498" s="152"/>
      <c r="BD498" s="152"/>
      <c r="BE498" s="236"/>
      <c r="BF498" s="262"/>
      <c r="BG498" s="262"/>
    </row>
    <row r="499" spans="1:59" ht="12.75" customHeight="1" x14ac:dyDescent="0.15">
      <c r="A499" s="57"/>
      <c r="B499" s="57"/>
      <c r="C499" s="57"/>
      <c r="D499" s="103"/>
      <c r="E499" s="125"/>
      <c r="F499" s="125"/>
      <c r="G499" s="57"/>
      <c r="H499" s="57"/>
      <c r="I499" s="57"/>
      <c r="J499" s="57"/>
      <c r="K499" s="57"/>
      <c r="L499" s="57"/>
      <c r="M499" s="57"/>
      <c r="N499" s="57"/>
      <c r="O499" s="70"/>
      <c r="P499" s="57"/>
      <c r="Q499" s="24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220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149"/>
      <c r="AP499" s="149"/>
      <c r="AQ499" s="57"/>
      <c r="AR499" s="74"/>
      <c r="AS499" s="149"/>
      <c r="AT499" s="235"/>
      <c r="AU499" s="57"/>
      <c r="AV499" s="57"/>
      <c r="AW499" s="57"/>
      <c r="AX499" s="70"/>
      <c r="AY499" s="149"/>
      <c r="AZ499" s="112"/>
      <c r="BA499" s="236"/>
      <c r="BB499" s="236"/>
      <c r="BC499" s="152"/>
      <c r="BD499" s="152"/>
      <c r="BE499" s="236"/>
      <c r="BF499" s="262"/>
      <c r="BG499" s="262"/>
    </row>
    <row r="500" spans="1:59" ht="12.75" customHeight="1" x14ac:dyDescent="0.15">
      <c r="A500" s="57"/>
      <c r="B500" s="57"/>
      <c r="C500" s="57"/>
      <c r="D500" s="103"/>
      <c r="E500" s="125"/>
      <c r="F500" s="125"/>
      <c r="G500" s="57"/>
      <c r="H500" s="57"/>
      <c r="I500" s="57"/>
      <c r="J500" s="57"/>
      <c r="K500" s="57"/>
      <c r="L500" s="57"/>
      <c r="M500" s="57"/>
      <c r="N500" s="57"/>
      <c r="O500" s="70"/>
      <c r="P500" s="57"/>
      <c r="Q500" s="24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220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149"/>
      <c r="AP500" s="149"/>
      <c r="AQ500" s="57"/>
      <c r="AR500" s="74"/>
      <c r="AS500" s="149"/>
      <c r="AT500" s="235"/>
      <c r="AU500" s="57"/>
      <c r="AV500" s="57"/>
      <c r="AW500" s="57"/>
      <c r="AX500" s="70"/>
      <c r="AY500" s="149"/>
      <c r="AZ500" s="112"/>
      <c r="BA500" s="236"/>
      <c r="BB500" s="236"/>
      <c r="BC500" s="152"/>
      <c r="BD500" s="152"/>
      <c r="BE500" s="236"/>
      <c r="BF500" s="262"/>
      <c r="BG500" s="262"/>
    </row>
    <row r="501" spans="1:59" ht="12.75" customHeight="1" x14ac:dyDescent="0.15">
      <c r="A501" s="57"/>
      <c r="B501" s="57"/>
      <c r="C501" s="57"/>
      <c r="D501" s="103"/>
      <c r="E501" s="125"/>
      <c r="F501" s="125"/>
      <c r="G501" s="57"/>
      <c r="H501" s="57"/>
      <c r="I501" s="57"/>
      <c r="J501" s="57"/>
      <c r="K501" s="57"/>
      <c r="L501" s="57"/>
      <c r="M501" s="57"/>
      <c r="N501" s="57"/>
      <c r="O501" s="70"/>
      <c r="P501" s="57"/>
      <c r="Q501" s="24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220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149"/>
      <c r="AP501" s="149"/>
      <c r="AQ501" s="57"/>
      <c r="AR501" s="74"/>
      <c r="AS501" s="149"/>
      <c r="AT501" s="235"/>
      <c r="AU501" s="57"/>
      <c r="AV501" s="57"/>
      <c r="AW501" s="57"/>
      <c r="AX501" s="70"/>
      <c r="AY501" s="149"/>
      <c r="AZ501" s="112"/>
      <c r="BA501" s="236"/>
      <c r="BB501" s="236"/>
      <c r="BC501" s="152"/>
      <c r="BD501" s="152"/>
      <c r="BE501" s="236"/>
      <c r="BF501" s="262"/>
      <c r="BG501" s="262"/>
    </row>
    <row r="502" spans="1:59" ht="12.75" customHeight="1" x14ac:dyDescent="0.15">
      <c r="A502" s="57"/>
      <c r="B502" s="57"/>
      <c r="C502" s="57"/>
      <c r="D502" s="103"/>
      <c r="E502" s="125"/>
      <c r="F502" s="125"/>
      <c r="G502" s="57"/>
      <c r="H502" s="57"/>
      <c r="I502" s="57"/>
      <c r="J502" s="57"/>
      <c r="K502" s="57"/>
      <c r="L502" s="57"/>
      <c r="M502" s="57"/>
      <c r="N502" s="57"/>
      <c r="O502" s="70"/>
      <c r="P502" s="57"/>
      <c r="Q502" s="24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220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149"/>
      <c r="AP502" s="149"/>
      <c r="AQ502" s="57"/>
      <c r="AR502" s="74"/>
      <c r="AS502" s="149"/>
      <c r="AT502" s="235"/>
      <c r="AU502" s="57"/>
      <c r="AV502" s="57"/>
      <c r="AW502" s="57"/>
      <c r="AX502" s="70"/>
      <c r="AY502" s="149"/>
      <c r="AZ502" s="112"/>
      <c r="BA502" s="236"/>
      <c r="BB502" s="236"/>
      <c r="BC502" s="152"/>
      <c r="BD502" s="152"/>
      <c r="BE502" s="236"/>
      <c r="BF502" s="262"/>
      <c r="BG502" s="262"/>
    </row>
    <row r="503" spans="1:59" ht="12.75" customHeight="1" x14ac:dyDescent="0.15">
      <c r="A503" s="57"/>
      <c r="B503" s="57"/>
      <c r="C503" s="57"/>
      <c r="D503" s="103"/>
      <c r="E503" s="125"/>
      <c r="F503" s="125"/>
      <c r="G503" s="57"/>
      <c r="H503" s="57"/>
      <c r="I503" s="57"/>
      <c r="J503" s="57"/>
      <c r="K503" s="57"/>
      <c r="L503" s="57"/>
      <c r="M503" s="57"/>
      <c r="N503" s="57"/>
      <c r="O503" s="70"/>
      <c r="P503" s="57"/>
      <c r="Q503" s="24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220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149"/>
      <c r="AP503" s="149"/>
      <c r="AQ503" s="57"/>
      <c r="AR503" s="74"/>
      <c r="AS503" s="149"/>
      <c r="AT503" s="235"/>
      <c r="AU503" s="57"/>
      <c r="AV503" s="57"/>
      <c r="AW503" s="57"/>
      <c r="AX503" s="70"/>
      <c r="AY503" s="149"/>
      <c r="AZ503" s="112"/>
      <c r="BA503" s="236"/>
      <c r="BB503" s="236"/>
      <c r="BC503" s="152"/>
      <c r="BD503" s="152"/>
      <c r="BE503" s="236"/>
      <c r="BF503" s="262"/>
      <c r="BG503" s="262"/>
    </row>
    <row r="504" spans="1:59" ht="12.75" customHeight="1" x14ac:dyDescent="0.15">
      <c r="A504" s="57"/>
      <c r="B504" s="57"/>
      <c r="C504" s="57"/>
      <c r="D504" s="103"/>
      <c r="E504" s="125"/>
      <c r="F504" s="125"/>
      <c r="G504" s="57"/>
      <c r="H504" s="57"/>
      <c r="I504" s="57"/>
      <c r="J504" s="57"/>
      <c r="K504" s="57"/>
      <c r="L504" s="57"/>
      <c r="M504" s="57"/>
      <c r="N504" s="57"/>
      <c r="O504" s="70"/>
      <c r="P504" s="57"/>
      <c r="Q504" s="24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220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149"/>
      <c r="AP504" s="149"/>
      <c r="AQ504" s="57"/>
      <c r="AR504" s="74"/>
      <c r="AS504" s="149"/>
      <c r="AT504" s="235"/>
      <c r="AU504" s="57"/>
      <c r="AV504" s="57"/>
      <c r="AW504" s="57"/>
      <c r="AX504" s="70"/>
      <c r="AY504" s="149"/>
      <c r="AZ504" s="112"/>
      <c r="BA504" s="236"/>
      <c r="BB504" s="236"/>
      <c r="BC504" s="152"/>
      <c r="BD504" s="152"/>
      <c r="BE504" s="236"/>
      <c r="BF504" s="262"/>
      <c r="BG504" s="262"/>
    </row>
    <row r="505" spans="1:59" ht="12.75" customHeight="1" x14ac:dyDescent="0.15">
      <c r="A505" s="57"/>
      <c r="B505" s="57"/>
      <c r="C505" s="57"/>
      <c r="D505" s="103"/>
      <c r="E505" s="125"/>
      <c r="F505" s="125"/>
      <c r="G505" s="57"/>
      <c r="H505" s="57"/>
      <c r="I505" s="57"/>
      <c r="J505" s="57"/>
      <c r="K505" s="57"/>
      <c r="L505" s="57"/>
      <c r="M505" s="57"/>
      <c r="N505" s="57"/>
      <c r="O505" s="70"/>
      <c r="P505" s="57"/>
      <c r="Q505" s="24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220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149"/>
      <c r="AP505" s="149"/>
      <c r="AQ505" s="57"/>
      <c r="AR505" s="74"/>
      <c r="AS505" s="149"/>
      <c r="AT505" s="235"/>
      <c r="AU505" s="57"/>
      <c r="AV505" s="57"/>
      <c r="AW505" s="57"/>
      <c r="AX505" s="70"/>
      <c r="AY505" s="149"/>
      <c r="AZ505" s="112"/>
      <c r="BA505" s="236"/>
      <c r="BB505" s="236"/>
      <c r="BC505" s="152"/>
      <c r="BD505" s="152"/>
      <c r="BE505" s="236"/>
      <c r="BF505" s="262"/>
      <c r="BG505" s="262"/>
    </row>
    <row r="506" spans="1:59" ht="12.75" customHeight="1" x14ac:dyDescent="0.15">
      <c r="A506" s="57"/>
      <c r="B506" s="57"/>
      <c r="C506" s="57"/>
      <c r="D506" s="103"/>
      <c r="E506" s="125"/>
      <c r="F506" s="125"/>
      <c r="G506" s="57"/>
      <c r="H506" s="57"/>
      <c r="I506" s="57"/>
      <c r="J506" s="57"/>
      <c r="K506" s="57"/>
      <c r="L506" s="57"/>
      <c r="M506" s="57"/>
      <c r="N506" s="57"/>
      <c r="O506" s="70"/>
      <c r="P506" s="57"/>
      <c r="Q506" s="24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220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149"/>
      <c r="AP506" s="149"/>
      <c r="AQ506" s="57"/>
      <c r="AR506" s="74"/>
      <c r="AS506" s="149"/>
      <c r="AT506" s="235"/>
      <c r="AU506" s="57"/>
      <c r="AV506" s="57"/>
      <c r="AW506" s="57"/>
      <c r="AX506" s="70"/>
      <c r="AY506" s="149"/>
      <c r="AZ506" s="112"/>
      <c r="BA506" s="236"/>
      <c r="BB506" s="236"/>
      <c r="BC506" s="152"/>
      <c r="BD506" s="152"/>
      <c r="BE506" s="236"/>
      <c r="BF506" s="262"/>
      <c r="BG506" s="262"/>
    </row>
    <row r="507" spans="1:59" ht="12.75" customHeight="1" x14ac:dyDescent="0.15">
      <c r="A507" s="57"/>
      <c r="B507" s="57"/>
      <c r="C507" s="57"/>
      <c r="D507" s="103"/>
      <c r="E507" s="125"/>
      <c r="F507" s="125"/>
      <c r="G507" s="57"/>
      <c r="H507" s="57"/>
      <c r="I507" s="57"/>
      <c r="J507" s="57"/>
      <c r="K507" s="57"/>
      <c r="L507" s="57"/>
      <c r="M507" s="57"/>
      <c r="N507" s="57"/>
      <c r="O507" s="70"/>
      <c r="P507" s="57"/>
      <c r="Q507" s="24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220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149"/>
      <c r="AP507" s="149"/>
      <c r="AQ507" s="57"/>
      <c r="AR507" s="74"/>
      <c r="AS507" s="149"/>
      <c r="AT507" s="235"/>
      <c r="AU507" s="57"/>
      <c r="AV507" s="57"/>
      <c r="AW507" s="57"/>
      <c r="AX507" s="70"/>
      <c r="AY507" s="149"/>
      <c r="AZ507" s="112"/>
      <c r="BA507" s="236"/>
      <c r="BB507" s="236"/>
      <c r="BC507" s="152"/>
      <c r="BD507" s="152"/>
      <c r="BE507" s="236"/>
      <c r="BF507" s="262"/>
      <c r="BG507" s="262"/>
    </row>
    <row r="508" spans="1:59" ht="12.75" customHeight="1" x14ac:dyDescent="0.15">
      <c r="A508" s="57"/>
      <c r="B508" s="57"/>
      <c r="C508" s="57"/>
      <c r="D508" s="103"/>
      <c r="E508" s="125"/>
      <c r="F508" s="125"/>
      <c r="G508" s="57"/>
      <c r="H508" s="57"/>
      <c r="I508" s="57"/>
      <c r="J508" s="57"/>
      <c r="K508" s="57"/>
      <c r="L508" s="57"/>
      <c r="M508" s="57"/>
      <c r="N508" s="57"/>
      <c r="O508" s="70"/>
      <c r="P508" s="57"/>
      <c r="Q508" s="24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220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149"/>
      <c r="AP508" s="149"/>
      <c r="AQ508" s="57"/>
      <c r="AR508" s="74"/>
      <c r="AS508" s="149"/>
      <c r="AT508" s="235"/>
      <c r="AU508" s="57"/>
      <c r="AV508" s="57"/>
      <c r="AW508" s="57"/>
      <c r="AX508" s="70"/>
      <c r="AY508" s="149"/>
      <c r="AZ508" s="112"/>
      <c r="BA508" s="236"/>
      <c r="BB508" s="236"/>
      <c r="BC508" s="152"/>
      <c r="BD508" s="152"/>
      <c r="BE508" s="236"/>
      <c r="BF508" s="262"/>
      <c r="BG508" s="262"/>
    </row>
    <row r="509" spans="1:59" ht="12.75" customHeight="1" x14ac:dyDescent="0.15">
      <c r="A509" s="57"/>
      <c r="B509" s="57"/>
      <c r="C509" s="57"/>
      <c r="D509" s="103"/>
      <c r="E509" s="125"/>
      <c r="F509" s="125"/>
      <c r="G509" s="57"/>
      <c r="H509" s="57"/>
      <c r="I509" s="57"/>
      <c r="J509" s="57"/>
      <c r="K509" s="57"/>
      <c r="L509" s="57"/>
      <c r="M509" s="57"/>
      <c r="N509" s="57"/>
      <c r="O509" s="70"/>
      <c r="P509" s="57"/>
      <c r="Q509" s="24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220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149"/>
      <c r="AP509" s="149"/>
      <c r="AQ509" s="57"/>
      <c r="AR509" s="74"/>
      <c r="AS509" s="149"/>
      <c r="AT509" s="235"/>
      <c r="AU509" s="57"/>
      <c r="AV509" s="57"/>
      <c r="AW509" s="57"/>
      <c r="AX509" s="70"/>
      <c r="AY509" s="149"/>
      <c r="AZ509" s="112"/>
      <c r="BA509" s="236"/>
      <c r="BB509" s="236"/>
      <c r="BC509" s="152"/>
      <c r="BD509" s="152"/>
      <c r="BE509" s="236"/>
      <c r="BF509" s="262"/>
      <c r="BG509" s="262"/>
    </row>
    <row r="510" spans="1:59" ht="12.75" customHeight="1" x14ac:dyDescent="0.15">
      <c r="A510" s="57"/>
      <c r="B510" s="57"/>
      <c r="C510" s="57"/>
      <c r="D510" s="103"/>
      <c r="E510" s="125"/>
      <c r="F510" s="125"/>
      <c r="G510" s="57"/>
      <c r="H510" s="57"/>
      <c r="I510" s="57"/>
      <c r="J510" s="57"/>
      <c r="K510" s="57"/>
      <c r="L510" s="57"/>
      <c r="M510" s="57"/>
      <c r="N510" s="57"/>
      <c r="O510" s="70"/>
      <c r="P510" s="57"/>
      <c r="Q510" s="24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220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149"/>
      <c r="AP510" s="149"/>
      <c r="AQ510" s="57"/>
      <c r="AR510" s="74"/>
      <c r="AS510" s="149"/>
      <c r="AT510" s="235"/>
      <c r="AU510" s="57"/>
      <c r="AV510" s="57"/>
      <c r="AW510" s="57"/>
      <c r="AX510" s="70"/>
      <c r="AY510" s="149"/>
      <c r="AZ510" s="112"/>
      <c r="BA510" s="236"/>
      <c r="BB510" s="236"/>
      <c r="BC510" s="152"/>
      <c r="BD510" s="152"/>
      <c r="BE510" s="236"/>
      <c r="BF510" s="262"/>
      <c r="BG510" s="262"/>
    </row>
    <row r="511" spans="1:59" ht="12.75" customHeight="1" x14ac:dyDescent="0.15">
      <c r="A511" s="57"/>
      <c r="B511" s="57"/>
      <c r="C511" s="57"/>
      <c r="D511" s="103"/>
      <c r="E511" s="125"/>
      <c r="F511" s="125"/>
      <c r="G511" s="57"/>
      <c r="H511" s="57"/>
      <c r="I511" s="57"/>
      <c r="J511" s="57"/>
      <c r="K511" s="57"/>
      <c r="L511" s="57"/>
      <c r="M511" s="57"/>
      <c r="N511" s="57"/>
      <c r="O511" s="70"/>
      <c r="P511" s="57"/>
      <c r="Q511" s="24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220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149"/>
      <c r="AP511" s="149"/>
      <c r="AQ511" s="57"/>
      <c r="AR511" s="74"/>
      <c r="AS511" s="149"/>
      <c r="AT511" s="235"/>
      <c r="AU511" s="57"/>
      <c r="AV511" s="57"/>
      <c r="AW511" s="57"/>
      <c r="AX511" s="70"/>
      <c r="AY511" s="149"/>
      <c r="AZ511" s="112"/>
      <c r="BA511" s="236"/>
      <c r="BB511" s="236"/>
      <c r="BC511" s="152"/>
      <c r="BD511" s="152"/>
      <c r="BE511" s="236"/>
      <c r="BF511" s="262"/>
      <c r="BG511" s="262"/>
    </row>
    <row r="512" spans="1:59" ht="12.75" customHeight="1" x14ac:dyDescent="0.15">
      <c r="A512" s="57"/>
      <c r="B512" s="57"/>
      <c r="C512" s="57"/>
      <c r="D512" s="103"/>
      <c r="E512" s="125"/>
      <c r="F512" s="125"/>
      <c r="G512" s="57"/>
      <c r="H512" s="57"/>
      <c r="I512" s="57"/>
      <c r="J512" s="57"/>
      <c r="K512" s="57"/>
      <c r="L512" s="57"/>
      <c r="M512" s="57"/>
      <c r="N512" s="57"/>
      <c r="O512" s="70"/>
      <c r="P512" s="57"/>
      <c r="Q512" s="24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220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149"/>
      <c r="AP512" s="149"/>
      <c r="AQ512" s="57"/>
      <c r="AR512" s="74"/>
      <c r="AS512" s="149"/>
      <c r="AT512" s="235"/>
      <c r="AU512" s="57"/>
      <c r="AV512" s="57"/>
      <c r="AW512" s="57"/>
      <c r="AX512" s="70"/>
      <c r="AY512" s="149"/>
      <c r="AZ512" s="112"/>
      <c r="BA512" s="236"/>
      <c r="BB512" s="236"/>
      <c r="BC512" s="152"/>
      <c r="BD512" s="152"/>
      <c r="BE512" s="236"/>
      <c r="BF512" s="262"/>
      <c r="BG512" s="262"/>
    </row>
    <row r="513" spans="1:59" ht="12.75" customHeight="1" x14ac:dyDescent="0.15">
      <c r="A513" s="57"/>
      <c r="B513" s="57"/>
      <c r="C513" s="57"/>
      <c r="D513" s="103"/>
      <c r="E513" s="125"/>
      <c r="F513" s="125"/>
      <c r="G513" s="57"/>
      <c r="H513" s="57"/>
      <c r="I513" s="57"/>
      <c r="J513" s="57"/>
      <c r="K513" s="57"/>
      <c r="L513" s="57"/>
      <c r="M513" s="57"/>
      <c r="N513" s="57"/>
      <c r="O513" s="70"/>
      <c r="P513" s="57"/>
      <c r="Q513" s="24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220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149"/>
      <c r="AP513" s="149"/>
      <c r="AQ513" s="57"/>
      <c r="AR513" s="74"/>
      <c r="AS513" s="149"/>
      <c r="AT513" s="235"/>
      <c r="AU513" s="57"/>
      <c r="AV513" s="57"/>
      <c r="AW513" s="57"/>
      <c r="AX513" s="70"/>
      <c r="AY513" s="149"/>
      <c r="AZ513" s="112"/>
      <c r="BA513" s="236"/>
      <c r="BB513" s="236"/>
      <c r="BC513" s="152"/>
      <c r="BD513" s="152"/>
      <c r="BE513" s="236"/>
      <c r="BF513" s="262"/>
      <c r="BG513" s="262"/>
    </row>
    <row r="514" spans="1:59" ht="12.75" customHeight="1" x14ac:dyDescent="0.15">
      <c r="A514" s="57"/>
      <c r="B514" s="57"/>
      <c r="C514" s="57"/>
      <c r="D514" s="103"/>
      <c r="E514" s="125"/>
      <c r="F514" s="125"/>
      <c r="G514" s="57"/>
      <c r="H514" s="57"/>
      <c r="I514" s="57"/>
      <c r="J514" s="57"/>
      <c r="K514" s="57"/>
      <c r="L514" s="57"/>
      <c r="M514" s="57"/>
      <c r="N514" s="57"/>
      <c r="O514" s="70"/>
      <c r="P514" s="57"/>
      <c r="Q514" s="24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220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149"/>
      <c r="AP514" s="149"/>
      <c r="AQ514" s="57"/>
      <c r="AR514" s="74"/>
      <c r="AS514" s="149"/>
      <c r="AT514" s="235"/>
      <c r="AU514" s="57"/>
      <c r="AV514" s="57"/>
      <c r="AW514" s="57"/>
      <c r="AX514" s="70"/>
      <c r="AY514" s="149"/>
      <c r="AZ514" s="112"/>
      <c r="BA514" s="236"/>
      <c r="BB514" s="236"/>
      <c r="BC514" s="152"/>
      <c r="BD514" s="152"/>
      <c r="BE514" s="236"/>
      <c r="BF514" s="262"/>
      <c r="BG514" s="262"/>
    </row>
    <row r="515" spans="1:59" ht="12.75" customHeight="1" x14ac:dyDescent="0.15">
      <c r="A515" s="57"/>
      <c r="B515" s="57"/>
      <c r="C515" s="57"/>
      <c r="D515" s="103"/>
      <c r="E515" s="125"/>
      <c r="F515" s="125"/>
      <c r="G515" s="57"/>
      <c r="H515" s="57"/>
      <c r="I515" s="57"/>
      <c r="J515" s="57"/>
      <c r="K515" s="57"/>
      <c r="L515" s="57"/>
      <c r="M515" s="57"/>
      <c r="N515" s="57"/>
      <c r="O515" s="70"/>
      <c r="P515" s="57"/>
      <c r="Q515" s="24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220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149"/>
      <c r="AP515" s="149"/>
      <c r="AQ515" s="57"/>
      <c r="AR515" s="74"/>
      <c r="AS515" s="149"/>
      <c r="AT515" s="235"/>
      <c r="AU515" s="57"/>
      <c r="AV515" s="57"/>
      <c r="AW515" s="57"/>
      <c r="AX515" s="70"/>
      <c r="AY515" s="149"/>
      <c r="AZ515" s="112"/>
      <c r="BA515" s="236"/>
      <c r="BB515" s="236"/>
      <c r="BC515" s="152"/>
      <c r="BD515" s="152"/>
      <c r="BE515" s="236"/>
      <c r="BF515" s="262"/>
      <c r="BG515" s="262"/>
    </row>
    <row r="516" spans="1:59" ht="12.75" customHeight="1" x14ac:dyDescent="0.15">
      <c r="A516" s="57"/>
      <c r="B516" s="57"/>
      <c r="C516" s="57"/>
      <c r="D516" s="103"/>
      <c r="E516" s="125"/>
      <c r="F516" s="125"/>
      <c r="G516" s="57"/>
      <c r="H516" s="57"/>
      <c r="I516" s="57"/>
      <c r="J516" s="57"/>
      <c r="K516" s="57"/>
      <c r="L516" s="57"/>
      <c r="M516" s="57"/>
      <c r="N516" s="57"/>
      <c r="O516" s="70"/>
      <c r="P516" s="57"/>
      <c r="Q516" s="24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220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149"/>
      <c r="AP516" s="149"/>
      <c r="AQ516" s="57"/>
      <c r="AR516" s="74"/>
      <c r="AS516" s="149"/>
      <c r="AT516" s="235"/>
      <c r="AU516" s="57"/>
      <c r="AV516" s="57"/>
      <c r="AW516" s="57"/>
      <c r="AX516" s="70"/>
      <c r="AY516" s="149"/>
      <c r="AZ516" s="112"/>
      <c r="BA516" s="236"/>
      <c r="BB516" s="236"/>
      <c r="BC516" s="152"/>
      <c r="BD516" s="152"/>
      <c r="BE516" s="236"/>
      <c r="BF516" s="262"/>
      <c r="BG516" s="262"/>
    </row>
    <row r="517" spans="1:59" ht="12.75" customHeight="1" x14ac:dyDescent="0.15">
      <c r="A517" s="57"/>
      <c r="B517" s="57"/>
      <c r="C517" s="57"/>
      <c r="D517" s="103"/>
      <c r="E517" s="125"/>
      <c r="F517" s="125"/>
      <c r="G517" s="57"/>
      <c r="H517" s="57"/>
      <c r="I517" s="57"/>
      <c r="J517" s="57"/>
      <c r="K517" s="57"/>
      <c r="L517" s="57"/>
      <c r="M517" s="57"/>
      <c r="N517" s="57"/>
      <c r="O517" s="70"/>
      <c r="P517" s="57"/>
      <c r="Q517" s="24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220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149"/>
      <c r="AP517" s="149"/>
      <c r="AQ517" s="57"/>
      <c r="AR517" s="74"/>
      <c r="AS517" s="149"/>
      <c r="AT517" s="235"/>
      <c r="AU517" s="57"/>
      <c r="AV517" s="57"/>
      <c r="AW517" s="57"/>
      <c r="AX517" s="70"/>
      <c r="AY517" s="149"/>
      <c r="AZ517" s="112"/>
      <c r="BA517" s="236"/>
      <c r="BB517" s="236"/>
      <c r="BC517" s="152"/>
      <c r="BD517" s="152"/>
      <c r="BE517" s="236"/>
      <c r="BF517" s="262"/>
      <c r="BG517" s="262"/>
    </row>
    <row r="518" spans="1:59" ht="12.75" customHeight="1" x14ac:dyDescent="0.15">
      <c r="A518" s="57"/>
      <c r="B518" s="57"/>
      <c r="C518" s="57"/>
      <c r="D518" s="103"/>
      <c r="E518" s="125"/>
      <c r="F518" s="125"/>
      <c r="G518" s="57"/>
      <c r="H518" s="57"/>
      <c r="I518" s="57"/>
      <c r="J518" s="57"/>
      <c r="K518" s="57"/>
      <c r="L518" s="57"/>
      <c r="M518" s="57"/>
      <c r="N518" s="57"/>
      <c r="O518" s="70"/>
      <c r="P518" s="57"/>
      <c r="Q518" s="24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220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149"/>
      <c r="AP518" s="149"/>
      <c r="AQ518" s="57"/>
      <c r="AR518" s="74"/>
      <c r="AS518" s="149"/>
      <c r="AT518" s="235"/>
      <c r="AU518" s="57"/>
      <c r="AV518" s="57"/>
      <c r="AW518" s="57"/>
      <c r="AX518" s="70"/>
      <c r="AY518" s="149"/>
      <c r="AZ518" s="112"/>
      <c r="BA518" s="236"/>
      <c r="BB518" s="236"/>
      <c r="BC518" s="152"/>
      <c r="BD518" s="152"/>
      <c r="BE518" s="236"/>
      <c r="BF518" s="262"/>
      <c r="BG518" s="262"/>
    </row>
    <row r="519" spans="1:59" ht="12.75" customHeight="1" x14ac:dyDescent="0.15">
      <c r="A519" s="57"/>
      <c r="B519" s="57"/>
      <c r="C519" s="57"/>
      <c r="D519" s="103"/>
      <c r="E519" s="125"/>
      <c r="F519" s="125"/>
      <c r="G519" s="57"/>
      <c r="H519" s="57"/>
      <c r="I519" s="57"/>
      <c r="J519" s="57"/>
      <c r="K519" s="57"/>
      <c r="L519" s="57"/>
      <c r="M519" s="57"/>
      <c r="N519" s="57"/>
      <c r="O519" s="70"/>
      <c r="P519" s="57"/>
      <c r="Q519" s="24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220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149"/>
      <c r="AP519" s="149"/>
      <c r="AQ519" s="57"/>
      <c r="AR519" s="74"/>
      <c r="AS519" s="149"/>
      <c r="AT519" s="235"/>
      <c r="AU519" s="57"/>
      <c r="AV519" s="57"/>
      <c r="AW519" s="57"/>
      <c r="AX519" s="70"/>
      <c r="AY519" s="149"/>
      <c r="AZ519" s="112"/>
      <c r="BA519" s="236"/>
      <c r="BB519" s="236"/>
      <c r="BC519" s="152"/>
      <c r="BD519" s="152"/>
      <c r="BE519" s="236"/>
      <c r="BF519" s="262"/>
      <c r="BG519" s="262"/>
    </row>
    <row r="520" spans="1:59" ht="12.75" customHeight="1" x14ac:dyDescent="0.15">
      <c r="A520" s="57"/>
      <c r="B520" s="57"/>
      <c r="C520" s="57"/>
      <c r="D520" s="103"/>
      <c r="E520" s="125"/>
      <c r="F520" s="125"/>
      <c r="G520" s="57"/>
      <c r="H520" s="57"/>
      <c r="I520" s="57"/>
      <c r="J520" s="57"/>
      <c r="K520" s="57"/>
      <c r="L520" s="57"/>
      <c r="M520" s="57"/>
      <c r="N520" s="57"/>
      <c r="O520" s="70"/>
      <c r="P520" s="57"/>
      <c r="Q520" s="24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220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149"/>
      <c r="AP520" s="149"/>
      <c r="AQ520" s="57"/>
      <c r="AR520" s="74"/>
      <c r="AS520" s="149"/>
      <c r="AT520" s="235"/>
      <c r="AU520" s="57"/>
      <c r="AV520" s="57"/>
      <c r="AW520" s="57"/>
      <c r="AX520" s="70"/>
      <c r="AY520" s="149"/>
      <c r="AZ520" s="112"/>
      <c r="BA520" s="236"/>
      <c r="BB520" s="236"/>
      <c r="BC520" s="152"/>
      <c r="BD520" s="152"/>
      <c r="BE520" s="236"/>
      <c r="BF520" s="262"/>
      <c r="BG520" s="262"/>
    </row>
    <row r="521" spans="1:59" ht="12.75" customHeight="1" x14ac:dyDescent="0.15">
      <c r="A521" s="57"/>
      <c r="B521" s="57"/>
      <c r="C521" s="57"/>
      <c r="D521" s="103"/>
      <c r="E521" s="125"/>
      <c r="F521" s="125"/>
      <c r="G521" s="57"/>
      <c r="H521" s="57"/>
      <c r="I521" s="57"/>
      <c r="J521" s="57"/>
      <c r="K521" s="57"/>
      <c r="L521" s="57"/>
      <c r="M521" s="57"/>
      <c r="N521" s="57"/>
      <c r="O521" s="70"/>
      <c r="P521" s="57"/>
      <c r="Q521" s="24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220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149"/>
      <c r="AP521" s="149"/>
      <c r="AQ521" s="57"/>
      <c r="AR521" s="74"/>
      <c r="AS521" s="149"/>
      <c r="AT521" s="235"/>
      <c r="AU521" s="57"/>
      <c r="AV521" s="57"/>
      <c r="AW521" s="57"/>
      <c r="AX521" s="70"/>
      <c r="AY521" s="149"/>
      <c r="AZ521" s="112"/>
      <c r="BA521" s="236"/>
      <c r="BB521" s="236"/>
      <c r="BC521" s="152"/>
      <c r="BD521" s="152"/>
      <c r="BE521" s="236"/>
      <c r="BF521" s="262"/>
      <c r="BG521" s="262"/>
    </row>
    <row r="522" spans="1:59" ht="12.75" customHeight="1" x14ac:dyDescent="0.15">
      <c r="A522" s="57"/>
      <c r="B522" s="57"/>
      <c r="C522" s="57"/>
      <c r="D522" s="103"/>
      <c r="E522" s="125"/>
      <c r="F522" s="125"/>
      <c r="G522" s="57"/>
      <c r="H522" s="57"/>
      <c r="I522" s="57"/>
      <c r="J522" s="57"/>
      <c r="K522" s="57"/>
      <c r="L522" s="57"/>
      <c r="M522" s="57"/>
      <c r="N522" s="57"/>
      <c r="O522" s="70"/>
      <c r="P522" s="57"/>
      <c r="Q522" s="24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220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149"/>
      <c r="AP522" s="149"/>
      <c r="AQ522" s="57"/>
      <c r="AR522" s="74"/>
      <c r="AS522" s="149"/>
      <c r="AT522" s="235"/>
      <c r="AU522" s="57"/>
      <c r="AV522" s="57"/>
      <c r="AW522" s="57"/>
      <c r="AX522" s="70"/>
      <c r="AY522" s="149"/>
      <c r="AZ522" s="112"/>
      <c r="BA522" s="236"/>
      <c r="BB522" s="236"/>
      <c r="BC522" s="152"/>
      <c r="BD522" s="152"/>
      <c r="BE522" s="236"/>
      <c r="BF522" s="262"/>
      <c r="BG522" s="262"/>
    </row>
    <row r="523" spans="1:59" ht="12.75" customHeight="1" x14ac:dyDescent="0.15">
      <c r="A523" s="57"/>
      <c r="B523" s="57"/>
      <c r="C523" s="57"/>
      <c r="D523" s="103"/>
      <c r="E523" s="125"/>
      <c r="F523" s="125"/>
      <c r="G523" s="57"/>
      <c r="H523" s="57"/>
      <c r="I523" s="57"/>
      <c r="J523" s="57"/>
      <c r="K523" s="57"/>
      <c r="L523" s="57"/>
      <c r="M523" s="57"/>
      <c r="N523" s="57"/>
      <c r="O523" s="70"/>
      <c r="P523" s="57"/>
      <c r="Q523" s="24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220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149"/>
      <c r="AP523" s="149"/>
      <c r="AQ523" s="57"/>
      <c r="AR523" s="74"/>
      <c r="AS523" s="149"/>
      <c r="AT523" s="235"/>
      <c r="AU523" s="57"/>
      <c r="AV523" s="57"/>
      <c r="AW523" s="57"/>
      <c r="AX523" s="70"/>
      <c r="AY523" s="149"/>
      <c r="AZ523" s="112"/>
      <c r="BA523" s="236"/>
      <c r="BB523" s="236"/>
      <c r="BC523" s="152"/>
      <c r="BD523" s="152"/>
      <c r="BE523" s="236"/>
      <c r="BF523" s="262"/>
      <c r="BG523" s="262"/>
    </row>
    <row r="524" spans="1:59" ht="12.75" customHeight="1" x14ac:dyDescent="0.15">
      <c r="A524" s="57"/>
      <c r="B524" s="57"/>
      <c r="C524" s="57"/>
      <c r="D524" s="103"/>
      <c r="E524" s="125"/>
      <c r="F524" s="125"/>
      <c r="G524" s="57"/>
      <c r="H524" s="57"/>
      <c r="I524" s="57"/>
      <c r="J524" s="57"/>
      <c r="K524" s="57"/>
      <c r="L524" s="57"/>
      <c r="M524" s="57"/>
      <c r="N524" s="57"/>
      <c r="O524" s="70"/>
      <c r="P524" s="57"/>
      <c r="Q524" s="24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220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149"/>
      <c r="AP524" s="149"/>
      <c r="AQ524" s="57"/>
      <c r="AR524" s="74"/>
      <c r="AS524" s="149"/>
      <c r="AT524" s="235"/>
      <c r="AU524" s="57"/>
      <c r="AV524" s="57"/>
      <c r="AW524" s="57"/>
      <c r="AX524" s="70"/>
      <c r="AY524" s="149"/>
      <c r="AZ524" s="112"/>
      <c r="BA524" s="236"/>
      <c r="BB524" s="236"/>
      <c r="BC524" s="152"/>
      <c r="BD524" s="152"/>
      <c r="BE524" s="236"/>
      <c r="BF524" s="262"/>
      <c r="BG524" s="262"/>
    </row>
    <row r="525" spans="1:59" ht="12.75" customHeight="1" x14ac:dyDescent="0.15">
      <c r="A525" s="57"/>
      <c r="B525" s="57"/>
      <c r="C525" s="57"/>
      <c r="D525" s="103"/>
      <c r="E525" s="125"/>
      <c r="F525" s="125"/>
      <c r="G525" s="57"/>
      <c r="H525" s="57"/>
      <c r="I525" s="57"/>
      <c r="J525" s="57"/>
      <c r="K525" s="57"/>
      <c r="L525" s="57"/>
      <c r="M525" s="57"/>
      <c r="N525" s="57"/>
      <c r="O525" s="70"/>
      <c r="P525" s="57"/>
      <c r="Q525" s="24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220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149"/>
      <c r="AP525" s="149"/>
      <c r="AQ525" s="57"/>
      <c r="AR525" s="74"/>
      <c r="AS525" s="149"/>
      <c r="AT525" s="235"/>
      <c r="AU525" s="57"/>
      <c r="AV525" s="57"/>
      <c r="AW525" s="57"/>
      <c r="AX525" s="70"/>
      <c r="AY525" s="149"/>
      <c r="AZ525" s="112"/>
      <c r="BA525" s="236"/>
      <c r="BB525" s="236"/>
      <c r="BC525" s="152"/>
      <c r="BD525" s="152"/>
      <c r="BE525" s="236"/>
      <c r="BF525" s="262"/>
      <c r="BG525" s="262"/>
    </row>
    <row r="526" spans="1:59" ht="12.75" customHeight="1" x14ac:dyDescent="0.15">
      <c r="A526" s="57"/>
      <c r="B526" s="57"/>
      <c r="C526" s="57"/>
      <c r="D526" s="103"/>
      <c r="E526" s="125"/>
      <c r="F526" s="125"/>
      <c r="G526" s="57"/>
      <c r="H526" s="57"/>
      <c r="I526" s="57"/>
      <c r="J526" s="57"/>
      <c r="K526" s="57"/>
      <c r="L526" s="57"/>
      <c r="M526" s="57"/>
      <c r="N526" s="57"/>
      <c r="O526" s="70"/>
      <c r="P526" s="57"/>
      <c r="Q526" s="24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220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149"/>
      <c r="AP526" s="149"/>
      <c r="AQ526" s="57"/>
      <c r="AR526" s="74"/>
      <c r="AS526" s="149"/>
      <c r="AT526" s="235"/>
      <c r="AU526" s="57"/>
      <c r="AV526" s="57"/>
      <c r="AW526" s="57"/>
      <c r="AX526" s="70"/>
      <c r="AY526" s="149"/>
      <c r="AZ526" s="112"/>
      <c r="BA526" s="236"/>
      <c r="BB526" s="236"/>
      <c r="BC526" s="152"/>
      <c r="BD526" s="152"/>
      <c r="BE526" s="236"/>
      <c r="BF526" s="262"/>
      <c r="BG526" s="262"/>
    </row>
    <row r="527" spans="1:59" ht="12.75" customHeight="1" x14ac:dyDescent="0.15">
      <c r="A527" s="57"/>
      <c r="B527" s="57"/>
      <c r="C527" s="57"/>
      <c r="D527" s="103"/>
      <c r="E527" s="125"/>
      <c r="F527" s="125"/>
      <c r="G527" s="57"/>
      <c r="H527" s="57"/>
      <c r="I527" s="57"/>
      <c r="J527" s="57"/>
      <c r="K527" s="57"/>
      <c r="L527" s="57"/>
      <c r="M527" s="57"/>
      <c r="N527" s="57"/>
      <c r="O527" s="70"/>
      <c r="P527" s="57"/>
      <c r="Q527" s="24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220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149"/>
      <c r="AP527" s="149"/>
      <c r="AQ527" s="57"/>
      <c r="AR527" s="74"/>
      <c r="AS527" s="149"/>
      <c r="AT527" s="235"/>
      <c r="AU527" s="57"/>
      <c r="AV527" s="57"/>
      <c r="AW527" s="57"/>
      <c r="AX527" s="70"/>
      <c r="AY527" s="149"/>
      <c r="AZ527" s="112"/>
      <c r="BA527" s="236"/>
      <c r="BB527" s="236"/>
      <c r="BC527" s="152"/>
      <c r="BD527" s="152"/>
      <c r="BE527" s="236"/>
      <c r="BF527" s="262"/>
      <c r="BG527" s="262"/>
    </row>
    <row r="528" spans="1:59" ht="12.75" customHeight="1" x14ac:dyDescent="0.15">
      <c r="A528" s="57"/>
      <c r="B528" s="57"/>
      <c r="C528" s="57"/>
      <c r="D528" s="103"/>
      <c r="E528" s="125"/>
      <c r="F528" s="125"/>
      <c r="G528" s="57"/>
      <c r="H528" s="57"/>
      <c r="I528" s="57"/>
      <c r="J528" s="57"/>
      <c r="K528" s="57"/>
      <c r="L528" s="57"/>
      <c r="M528" s="57"/>
      <c r="N528" s="57"/>
      <c r="O528" s="70"/>
      <c r="P528" s="57"/>
      <c r="Q528" s="24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220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149"/>
      <c r="AP528" s="149"/>
      <c r="AQ528" s="57"/>
      <c r="AR528" s="74"/>
      <c r="AS528" s="149"/>
      <c r="AT528" s="235"/>
      <c r="AU528" s="57"/>
      <c r="AV528" s="57"/>
      <c r="AW528" s="57"/>
      <c r="AX528" s="70"/>
      <c r="AY528" s="149"/>
      <c r="AZ528" s="112"/>
      <c r="BA528" s="236"/>
      <c r="BB528" s="236"/>
      <c r="BC528" s="152"/>
      <c r="BD528" s="152"/>
      <c r="BE528" s="236"/>
      <c r="BF528" s="262"/>
      <c r="BG528" s="262"/>
    </row>
    <row r="529" spans="1:59" ht="12.75" customHeight="1" x14ac:dyDescent="0.15">
      <c r="A529" s="57"/>
      <c r="B529" s="57"/>
      <c r="C529" s="57"/>
      <c r="D529" s="103"/>
      <c r="E529" s="125"/>
      <c r="F529" s="125"/>
      <c r="G529" s="57"/>
      <c r="H529" s="57"/>
      <c r="I529" s="57"/>
      <c r="J529" s="57"/>
      <c r="K529" s="57"/>
      <c r="L529" s="57"/>
      <c r="M529" s="57"/>
      <c r="N529" s="57"/>
      <c r="O529" s="70"/>
      <c r="P529" s="57"/>
      <c r="Q529" s="24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220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149"/>
      <c r="AP529" s="149"/>
      <c r="AQ529" s="57"/>
      <c r="AR529" s="74"/>
      <c r="AS529" s="149"/>
      <c r="AT529" s="235"/>
      <c r="AU529" s="57"/>
      <c r="AV529" s="57"/>
      <c r="AW529" s="57"/>
      <c r="AX529" s="70"/>
      <c r="AY529" s="149"/>
      <c r="AZ529" s="112"/>
      <c r="BA529" s="236"/>
      <c r="BB529" s="236"/>
      <c r="BC529" s="152"/>
      <c r="BD529" s="152"/>
      <c r="BE529" s="236"/>
      <c r="BF529" s="262"/>
      <c r="BG529" s="262"/>
    </row>
    <row r="530" spans="1:59" ht="12.75" customHeight="1" x14ac:dyDescent="0.15">
      <c r="A530" s="57"/>
      <c r="B530" s="57"/>
      <c r="C530" s="57"/>
      <c r="D530" s="103"/>
      <c r="E530" s="125"/>
      <c r="F530" s="125"/>
      <c r="G530" s="57"/>
      <c r="H530" s="57"/>
      <c r="I530" s="57"/>
      <c r="J530" s="57"/>
      <c r="K530" s="57"/>
      <c r="L530" s="57"/>
      <c r="M530" s="57"/>
      <c r="N530" s="57"/>
      <c r="O530" s="70"/>
      <c r="P530" s="57"/>
      <c r="Q530" s="24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220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149"/>
      <c r="AP530" s="149"/>
      <c r="AQ530" s="57"/>
      <c r="AR530" s="74"/>
      <c r="AS530" s="149"/>
      <c r="AT530" s="235"/>
      <c r="AU530" s="57"/>
      <c r="AV530" s="57"/>
      <c r="AW530" s="57"/>
      <c r="AX530" s="70"/>
      <c r="AY530" s="149"/>
      <c r="AZ530" s="112"/>
      <c r="BA530" s="236"/>
      <c r="BB530" s="236"/>
      <c r="BC530" s="152"/>
      <c r="BD530" s="152"/>
      <c r="BE530" s="236"/>
      <c r="BF530" s="262"/>
      <c r="BG530" s="262"/>
    </row>
    <row r="531" spans="1:59" ht="12.75" customHeight="1" x14ac:dyDescent="0.15">
      <c r="A531" s="57"/>
      <c r="B531" s="57"/>
      <c r="C531" s="57"/>
      <c r="D531" s="103"/>
      <c r="E531" s="125"/>
      <c r="F531" s="125"/>
      <c r="G531" s="57"/>
      <c r="H531" s="57"/>
      <c r="I531" s="57"/>
      <c r="J531" s="57"/>
      <c r="K531" s="57"/>
      <c r="L531" s="57"/>
      <c r="M531" s="57"/>
      <c r="N531" s="57"/>
      <c r="O531" s="70"/>
      <c r="P531" s="57"/>
      <c r="Q531" s="24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220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149"/>
      <c r="AP531" s="149"/>
      <c r="AQ531" s="57"/>
      <c r="AR531" s="74"/>
      <c r="AS531" s="149"/>
      <c r="AT531" s="235"/>
      <c r="AU531" s="57"/>
      <c r="AV531" s="57"/>
      <c r="AW531" s="57"/>
      <c r="AX531" s="70"/>
      <c r="AY531" s="149"/>
      <c r="AZ531" s="112"/>
      <c r="BA531" s="236"/>
      <c r="BB531" s="236"/>
      <c r="BC531" s="152"/>
      <c r="BD531" s="152"/>
      <c r="BE531" s="236"/>
      <c r="BF531" s="262"/>
      <c r="BG531" s="262"/>
    </row>
    <row r="532" spans="1:59" ht="12.75" customHeight="1" x14ac:dyDescent="0.15">
      <c r="A532" s="57"/>
      <c r="B532" s="57"/>
      <c r="C532" s="57"/>
      <c r="D532" s="103"/>
      <c r="E532" s="125"/>
      <c r="F532" s="125"/>
      <c r="G532" s="57"/>
      <c r="H532" s="57"/>
      <c r="I532" s="57"/>
      <c r="J532" s="57"/>
      <c r="K532" s="57"/>
      <c r="L532" s="57"/>
      <c r="M532" s="57"/>
      <c r="N532" s="57"/>
      <c r="O532" s="70"/>
      <c r="P532" s="57"/>
      <c r="Q532" s="24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220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149"/>
      <c r="AP532" s="149"/>
      <c r="AQ532" s="57"/>
      <c r="AR532" s="74"/>
      <c r="AS532" s="149"/>
      <c r="AT532" s="235"/>
      <c r="AU532" s="57"/>
      <c r="AV532" s="57"/>
      <c r="AW532" s="57"/>
      <c r="AX532" s="70"/>
      <c r="AY532" s="149"/>
      <c r="AZ532" s="112"/>
      <c r="BA532" s="236"/>
      <c r="BB532" s="236"/>
      <c r="BC532" s="152"/>
      <c r="BD532" s="152"/>
      <c r="BE532" s="236"/>
      <c r="BF532" s="262"/>
      <c r="BG532" s="262"/>
    </row>
    <row r="533" spans="1:59" ht="12.75" customHeight="1" x14ac:dyDescent="0.15">
      <c r="A533" s="57"/>
      <c r="B533" s="57"/>
      <c r="C533" s="57"/>
      <c r="D533" s="103"/>
      <c r="E533" s="125"/>
      <c r="F533" s="125"/>
      <c r="G533" s="57"/>
      <c r="H533" s="57"/>
      <c r="I533" s="57"/>
      <c r="J533" s="57"/>
      <c r="K533" s="57"/>
      <c r="L533" s="57"/>
      <c r="M533" s="57"/>
      <c r="N533" s="57"/>
      <c r="O533" s="70"/>
      <c r="P533" s="57"/>
      <c r="Q533" s="24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220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149"/>
      <c r="AP533" s="149"/>
      <c r="AQ533" s="57"/>
      <c r="AR533" s="74"/>
      <c r="AS533" s="149"/>
      <c r="AT533" s="235"/>
      <c r="AU533" s="57"/>
      <c r="AV533" s="57"/>
      <c r="AW533" s="57"/>
      <c r="AX533" s="70"/>
      <c r="AY533" s="149"/>
      <c r="AZ533" s="112"/>
      <c r="BA533" s="236"/>
      <c r="BB533" s="236"/>
      <c r="BC533" s="152"/>
      <c r="BD533" s="152"/>
      <c r="BE533" s="236"/>
      <c r="BF533" s="262"/>
      <c r="BG533" s="262"/>
    </row>
    <row r="534" spans="1:59" ht="12.75" customHeight="1" x14ac:dyDescent="0.15">
      <c r="A534" s="57"/>
      <c r="B534" s="57"/>
      <c r="C534" s="57"/>
      <c r="D534" s="103"/>
      <c r="E534" s="125"/>
      <c r="F534" s="125"/>
      <c r="G534" s="57"/>
      <c r="H534" s="57"/>
      <c r="I534" s="57"/>
      <c r="J534" s="57"/>
      <c r="K534" s="57"/>
      <c r="L534" s="57"/>
      <c r="M534" s="57"/>
      <c r="N534" s="57"/>
      <c r="O534" s="70"/>
      <c r="P534" s="57"/>
      <c r="Q534" s="24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220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149"/>
      <c r="AP534" s="149"/>
      <c r="AQ534" s="57"/>
      <c r="AR534" s="74"/>
      <c r="AS534" s="149"/>
      <c r="AT534" s="235"/>
      <c r="AU534" s="57"/>
      <c r="AV534" s="57"/>
      <c r="AW534" s="57"/>
      <c r="AX534" s="70"/>
      <c r="AY534" s="149"/>
      <c r="AZ534" s="112"/>
      <c r="BA534" s="236"/>
      <c r="BB534" s="236"/>
      <c r="BC534" s="152"/>
      <c r="BD534" s="152"/>
      <c r="BE534" s="236"/>
      <c r="BF534" s="262"/>
      <c r="BG534" s="262"/>
    </row>
    <row r="535" spans="1:59" ht="12.75" customHeight="1" x14ac:dyDescent="0.15">
      <c r="A535" s="57"/>
      <c r="B535" s="57"/>
      <c r="C535" s="57"/>
      <c r="D535" s="103"/>
      <c r="E535" s="125"/>
      <c r="F535" s="125"/>
      <c r="G535" s="57"/>
      <c r="H535" s="57"/>
      <c r="I535" s="57"/>
      <c r="J535" s="57"/>
      <c r="K535" s="57"/>
      <c r="L535" s="57"/>
      <c r="M535" s="57"/>
      <c r="N535" s="57"/>
      <c r="O535" s="70"/>
      <c r="P535" s="57"/>
      <c r="Q535" s="24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220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149"/>
      <c r="AP535" s="149"/>
      <c r="AQ535" s="57"/>
      <c r="AR535" s="74"/>
      <c r="AS535" s="149"/>
      <c r="AT535" s="235"/>
      <c r="AU535" s="57"/>
      <c r="AV535" s="57"/>
      <c r="AW535" s="57"/>
      <c r="AX535" s="70"/>
      <c r="AY535" s="149"/>
      <c r="AZ535" s="112"/>
      <c r="BA535" s="236"/>
      <c r="BB535" s="236"/>
      <c r="BC535" s="152"/>
      <c r="BD535" s="152"/>
      <c r="BE535" s="236"/>
      <c r="BF535" s="262"/>
      <c r="BG535" s="262"/>
    </row>
    <row r="536" spans="1:59" ht="12.75" customHeight="1" x14ac:dyDescent="0.15">
      <c r="A536" s="57"/>
      <c r="B536" s="57"/>
      <c r="C536" s="57"/>
      <c r="D536" s="103"/>
      <c r="E536" s="125"/>
      <c r="F536" s="125"/>
      <c r="G536" s="57"/>
      <c r="H536" s="57"/>
      <c r="I536" s="57"/>
      <c r="J536" s="57"/>
      <c r="K536" s="57"/>
      <c r="L536" s="57"/>
      <c r="M536" s="57"/>
      <c r="N536" s="57"/>
      <c r="O536" s="70"/>
      <c r="P536" s="57"/>
      <c r="Q536" s="24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220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149"/>
      <c r="AP536" s="149"/>
      <c r="AQ536" s="57"/>
      <c r="AR536" s="74"/>
      <c r="AS536" s="149"/>
      <c r="AT536" s="235"/>
      <c r="AU536" s="57"/>
      <c r="AV536" s="57"/>
      <c r="AW536" s="57"/>
      <c r="AX536" s="70"/>
      <c r="AY536" s="149"/>
      <c r="AZ536" s="112"/>
      <c r="BA536" s="236"/>
      <c r="BB536" s="236"/>
      <c r="BC536" s="152"/>
      <c r="BD536" s="152"/>
      <c r="BE536" s="236"/>
      <c r="BF536" s="262"/>
      <c r="BG536" s="262"/>
    </row>
    <row r="537" spans="1:59" ht="12.75" customHeight="1" x14ac:dyDescent="0.15">
      <c r="A537" s="57"/>
      <c r="B537" s="57"/>
      <c r="C537" s="57"/>
      <c r="D537" s="103"/>
      <c r="E537" s="125"/>
      <c r="F537" s="125"/>
      <c r="G537" s="57"/>
      <c r="H537" s="57"/>
      <c r="I537" s="57"/>
      <c r="J537" s="57"/>
      <c r="K537" s="57"/>
      <c r="L537" s="57"/>
      <c r="M537" s="57"/>
      <c r="N537" s="57"/>
      <c r="O537" s="70"/>
      <c r="P537" s="57"/>
      <c r="Q537" s="24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220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149"/>
      <c r="AP537" s="149"/>
      <c r="AQ537" s="57"/>
      <c r="AR537" s="74"/>
      <c r="AS537" s="149"/>
      <c r="AT537" s="235"/>
      <c r="AU537" s="57"/>
      <c r="AV537" s="57"/>
      <c r="AW537" s="57"/>
      <c r="AX537" s="70"/>
      <c r="AY537" s="149"/>
      <c r="AZ537" s="112"/>
      <c r="BA537" s="236"/>
      <c r="BB537" s="236"/>
      <c r="BC537" s="152"/>
      <c r="BD537" s="152"/>
      <c r="BE537" s="236"/>
      <c r="BF537" s="262"/>
      <c r="BG537" s="262"/>
    </row>
    <row r="538" spans="1:59" ht="12.75" customHeight="1" x14ac:dyDescent="0.15">
      <c r="A538" s="57"/>
      <c r="B538" s="57"/>
      <c r="C538" s="57"/>
      <c r="D538" s="103"/>
      <c r="E538" s="125"/>
      <c r="F538" s="125"/>
      <c r="G538" s="57"/>
      <c r="H538" s="57"/>
      <c r="I538" s="57"/>
      <c r="J538" s="57"/>
      <c r="K538" s="57"/>
      <c r="L538" s="57"/>
      <c r="M538" s="57"/>
      <c r="N538" s="57"/>
      <c r="O538" s="70"/>
      <c r="P538" s="57"/>
      <c r="Q538" s="24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220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149"/>
      <c r="AP538" s="149"/>
      <c r="AQ538" s="57"/>
      <c r="AR538" s="74"/>
      <c r="AS538" s="149"/>
      <c r="AT538" s="235"/>
      <c r="AU538" s="57"/>
      <c r="AV538" s="57"/>
      <c r="AW538" s="57"/>
      <c r="AX538" s="70"/>
      <c r="AY538" s="149"/>
      <c r="AZ538" s="112"/>
      <c r="BA538" s="236"/>
      <c r="BB538" s="236"/>
      <c r="BC538" s="152"/>
      <c r="BD538" s="152"/>
      <c r="BE538" s="236"/>
      <c r="BF538" s="262"/>
      <c r="BG538" s="262"/>
    </row>
    <row r="539" spans="1:59" ht="12.75" customHeight="1" x14ac:dyDescent="0.15">
      <c r="A539" s="57"/>
      <c r="B539" s="57"/>
      <c r="C539" s="57"/>
      <c r="D539" s="103"/>
      <c r="E539" s="125"/>
      <c r="F539" s="125"/>
      <c r="G539" s="57"/>
      <c r="H539" s="57"/>
      <c r="I539" s="57"/>
      <c r="J539" s="57"/>
      <c r="K539" s="57"/>
      <c r="L539" s="57"/>
      <c r="M539" s="57"/>
      <c r="N539" s="57"/>
      <c r="O539" s="70"/>
      <c r="P539" s="57"/>
      <c r="Q539" s="24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220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149"/>
      <c r="AP539" s="149"/>
      <c r="AQ539" s="57"/>
      <c r="AR539" s="74"/>
      <c r="AS539" s="149"/>
      <c r="AT539" s="235"/>
      <c r="AU539" s="57"/>
      <c r="AV539" s="57"/>
      <c r="AW539" s="57"/>
      <c r="AX539" s="70"/>
      <c r="AY539" s="149"/>
      <c r="AZ539" s="112"/>
      <c r="BA539" s="236"/>
      <c r="BB539" s="236"/>
      <c r="BC539" s="152"/>
      <c r="BD539" s="152"/>
      <c r="BE539" s="236"/>
      <c r="BF539" s="262"/>
      <c r="BG539" s="262"/>
    </row>
    <row r="540" spans="1:59" ht="12.75" customHeight="1" x14ac:dyDescent="0.15">
      <c r="A540" s="57"/>
      <c r="B540" s="57"/>
      <c r="C540" s="57"/>
      <c r="D540" s="103"/>
      <c r="E540" s="125"/>
      <c r="F540" s="125"/>
      <c r="G540" s="57"/>
      <c r="H540" s="57"/>
      <c r="I540" s="57"/>
      <c r="J540" s="57"/>
      <c r="K540" s="57"/>
      <c r="L540" s="57"/>
      <c r="M540" s="57"/>
      <c r="N540" s="57"/>
      <c r="O540" s="70"/>
      <c r="P540" s="57"/>
      <c r="Q540" s="24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220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149"/>
      <c r="AP540" s="149"/>
      <c r="AQ540" s="57"/>
      <c r="AR540" s="74"/>
      <c r="AS540" s="149"/>
      <c r="AT540" s="235"/>
      <c r="AU540" s="57"/>
      <c r="AV540" s="57"/>
      <c r="AW540" s="57"/>
      <c r="AX540" s="70"/>
      <c r="AY540" s="149"/>
      <c r="AZ540" s="112"/>
      <c r="BA540" s="236"/>
      <c r="BB540" s="236"/>
      <c r="BC540" s="152"/>
      <c r="BD540" s="152"/>
      <c r="BE540" s="236"/>
      <c r="BF540" s="262"/>
      <c r="BG540" s="262"/>
    </row>
    <row r="541" spans="1:59" ht="12.75" customHeight="1" x14ac:dyDescent="0.15">
      <c r="A541" s="57"/>
      <c r="B541" s="57"/>
      <c r="C541" s="57"/>
      <c r="D541" s="103"/>
      <c r="E541" s="125"/>
      <c r="F541" s="125"/>
      <c r="G541" s="57"/>
      <c r="H541" s="57"/>
      <c r="I541" s="57"/>
      <c r="J541" s="57"/>
      <c r="K541" s="57"/>
      <c r="L541" s="57"/>
      <c r="M541" s="57"/>
      <c r="N541" s="57"/>
      <c r="O541" s="70"/>
      <c r="P541" s="57"/>
      <c r="Q541" s="24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220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149"/>
      <c r="AP541" s="149"/>
      <c r="AQ541" s="57"/>
      <c r="AR541" s="74"/>
      <c r="AS541" s="149"/>
      <c r="AT541" s="235"/>
      <c r="AU541" s="57"/>
      <c r="AV541" s="57"/>
      <c r="AW541" s="57"/>
      <c r="AX541" s="70"/>
      <c r="AY541" s="149"/>
      <c r="AZ541" s="112"/>
      <c r="BA541" s="236"/>
      <c r="BB541" s="236"/>
      <c r="BC541" s="152"/>
      <c r="BD541" s="152"/>
      <c r="BE541" s="236"/>
      <c r="BF541" s="262"/>
      <c r="BG541" s="262"/>
    </row>
    <row r="542" spans="1:59" ht="12.75" customHeight="1" x14ac:dyDescent="0.15">
      <c r="A542" s="57"/>
      <c r="B542" s="57"/>
      <c r="C542" s="57"/>
      <c r="D542" s="103"/>
      <c r="E542" s="125"/>
      <c r="F542" s="125"/>
      <c r="G542" s="57"/>
      <c r="H542" s="57"/>
      <c r="I542" s="57"/>
      <c r="J542" s="57"/>
      <c r="K542" s="57"/>
      <c r="L542" s="57"/>
      <c r="M542" s="57"/>
      <c r="N542" s="57"/>
      <c r="O542" s="70"/>
      <c r="P542" s="57"/>
      <c r="Q542" s="24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220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149"/>
      <c r="AP542" s="149"/>
      <c r="AQ542" s="57"/>
      <c r="AR542" s="74"/>
      <c r="AS542" s="149"/>
      <c r="AT542" s="235"/>
      <c r="AU542" s="57"/>
      <c r="AV542" s="57"/>
      <c r="AW542" s="57"/>
      <c r="AX542" s="70"/>
      <c r="AY542" s="149"/>
      <c r="AZ542" s="112"/>
      <c r="BA542" s="236"/>
      <c r="BB542" s="236"/>
      <c r="BC542" s="152"/>
      <c r="BD542" s="152"/>
      <c r="BE542" s="236"/>
      <c r="BF542" s="262"/>
      <c r="BG542" s="262"/>
    </row>
    <row r="543" spans="1:59" ht="12.75" customHeight="1" x14ac:dyDescent="0.15">
      <c r="A543" s="57"/>
      <c r="B543" s="57"/>
      <c r="C543" s="57"/>
      <c r="D543" s="103"/>
      <c r="E543" s="125"/>
      <c r="F543" s="125"/>
      <c r="G543" s="57"/>
      <c r="H543" s="57"/>
      <c r="I543" s="57"/>
      <c r="J543" s="57"/>
      <c r="K543" s="57"/>
      <c r="L543" s="57"/>
      <c r="M543" s="57"/>
      <c r="N543" s="57"/>
      <c r="O543" s="70"/>
      <c r="P543" s="57"/>
      <c r="Q543" s="24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220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149"/>
      <c r="AP543" s="149"/>
      <c r="AQ543" s="57"/>
      <c r="AR543" s="74"/>
      <c r="AS543" s="149"/>
      <c r="AT543" s="235"/>
      <c r="AU543" s="57"/>
      <c r="AV543" s="57"/>
      <c r="AW543" s="57"/>
      <c r="AX543" s="70"/>
      <c r="AY543" s="149"/>
      <c r="AZ543" s="112"/>
      <c r="BA543" s="236"/>
      <c r="BB543" s="236"/>
      <c r="BC543" s="152"/>
      <c r="BD543" s="152"/>
      <c r="BE543" s="236"/>
      <c r="BF543" s="262"/>
      <c r="BG543" s="262"/>
    </row>
    <row r="544" spans="1:59" ht="12.75" customHeight="1" x14ac:dyDescent="0.15">
      <c r="A544" s="57"/>
      <c r="B544" s="57"/>
      <c r="C544" s="57"/>
      <c r="D544" s="103"/>
      <c r="E544" s="125"/>
      <c r="F544" s="125"/>
      <c r="G544" s="57"/>
      <c r="H544" s="57"/>
      <c r="I544" s="57"/>
      <c r="J544" s="57"/>
      <c r="K544" s="57"/>
      <c r="L544" s="57"/>
      <c r="M544" s="57"/>
      <c r="N544" s="57"/>
      <c r="O544" s="70"/>
      <c r="P544" s="57"/>
      <c r="Q544" s="24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220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149"/>
      <c r="AP544" s="149"/>
      <c r="AQ544" s="57"/>
      <c r="AR544" s="74"/>
      <c r="AS544" s="149"/>
      <c r="AT544" s="235"/>
      <c r="AU544" s="57"/>
      <c r="AV544" s="57"/>
      <c r="AW544" s="57"/>
      <c r="AX544" s="70"/>
      <c r="AY544" s="149"/>
      <c r="AZ544" s="112"/>
      <c r="BA544" s="236"/>
      <c r="BB544" s="236"/>
      <c r="BC544" s="152"/>
      <c r="BD544" s="152"/>
      <c r="BE544" s="236"/>
      <c r="BF544" s="262"/>
      <c r="BG544" s="262"/>
    </row>
    <row r="545" spans="1:59" ht="12.75" customHeight="1" x14ac:dyDescent="0.15">
      <c r="A545" s="57"/>
      <c r="B545" s="57"/>
      <c r="C545" s="57"/>
      <c r="D545" s="103"/>
      <c r="E545" s="125"/>
      <c r="F545" s="125"/>
      <c r="G545" s="57"/>
      <c r="H545" s="57"/>
      <c r="I545" s="57"/>
      <c r="J545" s="57"/>
      <c r="K545" s="57"/>
      <c r="L545" s="57"/>
      <c r="M545" s="57"/>
      <c r="N545" s="57"/>
      <c r="O545" s="70"/>
      <c r="P545" s="57"/>
      <c r="Q545" s="24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220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149"/>
      <c r="AP545" s="149"/>
      <c r="AQ545" s="57"/>
      <c r="AR545" s="74"/>
      <c r="AS545" s="149"/>
      <c r="AT545" s="235"/>
      <c r="AU545" s="57"/>
      <c r="AV545" s="57"/>
      <c r="AW545" s="57"/>
      <c r="AX545" s="70"/>
      <c r="AY545" s="149"/>
      <c r="AZ545" s="112"/>
      <c r="BA545" s="236"/>
      <c r="BB545" s="236"/>
      <c r="BC545" s="152"/>
      <c r="BD545" s="152"/>
      <c r="BE545" s="236"/>
      <c r="BF545" s="262"/>
      <c r="BG545" s="262"/>
    </row>
    <row r="546" spans="1:59" ht="12.75" customHeight="1" x14ac:dyDescent="0.15">
      <c r="A546" s="57"/>
      <c r="B546" s="57"/>
      <c r="C546" s="57"/>
      <c r="D546" s="103"/>
      <c r="E546" s="125"/>
      <c r="F546" s="125"/>
      <c r="G546" s="57"/>
      <c r="H546" s="57"/>
      <c r="I546" s="57"/>
      <c r="J546" s="57"/>
      <c r="K546" s="57"/>
      <c r="L546" s="57"/>
      <c r="M546" s="57"/>
      <c r="N546" s="57"/>
      <c r="O546" s="70"/>
      <c r="P546" s="57"/>
      <c r="Q546" s="24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220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149"/>
      <c r="AP546" s="149"/>
      <c r="AQ546" s="57"/>
      <c r="AR546" s="74"/>
      <c r="AS546" s="149"/>
      <c r="AT546" s="235"/>
      <c r="AU546" s="57"/>
      <c r="AV546" s="57"/>
      <c r="AW546" s="57"/>
      <c r="AX546" s="70"/>
      <c r="AY546" s="149"/>
      <c r="AZ546" s="112"/>
      <c r="BA546" s="236"/>
      <c r="BB546" s="236"/>
      <c r="BC546" s="152"/>
      <c r="BD546" s="152"/>
      <c r="BE546" s="236"/>
      <c r="BF546" s="262"/>
      <c r="BG546" s="262"/>
    </row>
    <row r="547" spans="1:59" ht="12.75" customHeight="1" x14ac:dyDescent="0.15">
      <c r="A547" s="57"/>
      <c r="B547" s="57"/>
      <c r="C547" s="57"/>
      <c r="D547" s="103"/>
      <c r="E547" s="125"/>
      <c r="F547" s="125"/>
      <c r="G547" s="57"/>
      <c r="H547" s="57"/>
      <c r="I547" s="57"/>
      <c r="J547" s="57"/>
      <c r="K547" s="57"/>
      <c r="L547" s="57"/>
      <c r="M547" s="57"/>
      <c r="N547" s="57"/>
      <c r="O547" s="70"/>
      <c r="P547" s="57"/>
      <c r="Q547" s="24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220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149"/>
      <c r="AP547" s="149"/>
      <c r="AQ547" s="57"/>
      <c r="AR547" s="74"/>
      <c r="AS547" s="149"/>
      <c r="AT547" s="235"/>
      <c r="AU547" s="57"/>
      <c r="AV547" s="57"/>
      <c r="AW547" s="57"/>
      <c r="AX547" s="70"/>
      <c r="AY547" s="149"/>
      <c r="AZ547" s="112"/>
      <c r="BA547" s="236"/>
      <c r="BB547" s="236"/>
      <c r="BC547" s="152"/>
      <c r="BD547" s="152"/>
      <c r="BE547" s="236"/>
      <c r="BF547" s="262"/>
      <c r="BG547" s="262"/>
    </row>
    <row r="548" spans="1:59" ht="12.75" customHeight="1" x14ac:dyDescent="0.15">
      <c r="A548" s="57"/>
      <c r="B548" s="57"/>
      <c r="C548" s="57"/>
      <c r="D548" s="103"/>
      <c r="E548" s="125"/>
      <c r="F548" s="125"/>
      <c r="G548" s="57"/>
      <c r="H548" s="57"/>
      <c r="I548" s="57"/>
      <c r="J548" s="57"/>
      <c r="K548" s="57"/>
      <c r="L548" s="57"/>
      <c r="M548" s="57"/>
      <c r="N548" s="57"/>
      <c r="O548" s="70"/>
      <c r="P548" s="57"/>
      <c r="Q548" s="24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220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149"/>
      <c r="AP548" s="149"/>
      <c r="AQ548" s="57"/>
      <c r="AR548" s="74"/>
      <c r="AS548" s="149"/>
      <c r="AT548" s="235"/>
      <c r="AU548" s="57"/>
      <c r="AV548" s="57"/>
      <c r="AW548" s="57"/>
      <c r="AX548" s="70"/>
      <c r="AY548" s="149"/>
      <c r="AZ548" s="112"/>
      <c r="BA548" s="236"/>
      <c r="BB548" s="236"/>
      <c r="BC548" s="152"/>
      <c r="BD548" s="152"/>
      <c r="BE548" s="236"/>
      <c r="BF548" s="262"/>
      <c r="BG548" s="262"/>
    </row>
    <row r="549" spans="1:59" ht="12.75" customHeight="1" x14ac:dyDescent="0.15">
      <c r="A549" s="57"/>
      <c r="B549" s="57"/>
      <c r="C549" s="57"/>
      <c r="D549" s="103"/>
      <c r="E549" s="125"/>
      <c r="F549" s="125"/>
      <c r="G549" s="57"/>
      <c r="H549" s="57"/>
      <c r="I549" s="57"/>
      <c r="J549" s="57"/>
      <c r="K549" s="57"/>
      <c r="L549" s="57"/>
      <c r="M549" s="57"/>
      <c r="N549" s="57"/>
      <c r="O549" s="70"/>
      <c r="P549" s="57"/>
      <c r="Q549" s="24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220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149"/>
      <c r="AP549" s="149"/>
      <c r="AQ549" s="57"/>
      <c r="AR549" s="74"/>
      <c r="AS549" s="149"/>
      <c r="AT549" s="235"/>
      <c r="AU549" s="57"/>
      <c r="AV549" s="57"/>
      <c r="AW549" s="57"/>
      <c r="AX549" s="70"/>
      <c r="AY549" s="149"/>
      <c r="AZ549" s="112"/>
      <c r="BA549" s="236"/>
      <c r="BB549" s="236"/>
      <c r="BC549" s="152"/>
      <c r="BD549" s="152"/>
      <c r="BE549" s="236"/>
      <c r="BF549" s="262"/>
      <c r="BG549" s="262"/>
    </row>
    <row r="550" spans="1:59" ht="12.75" customHeight="1" x14ac:dyDescent="0.15">
      <c r="A550" s="57"/>
      <c r="B550" s="57"/>
      <c r="C550" s="57"/>
      <c r="D550" s="103"/>
      <c r="E550" s="125"/>
      <c r="F550" s="125"/>
      <c r="G550" s="57"/>
      <c r="H550" s="57"/>
      <c r="I550" s="57"/>
      <c r="J550" s="57"/>
      <c r="K550" s="57"/>
      <c r="L550" s="57"/>
      <c r="M550" s="57"/>
      <c r="N550" s="57"/>
      <c r="O550" s="70"/>
      <c r="P550" s="57"/>
      <c r="Q550" s="24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220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149"/>
      <c r="AP550" s="149"/>
      <c r="AQ550" s="57"/>
      <c r="AR550" s="74"/>
      <c r="AS550" s="149"/>
      <c r="AT550" s="235"/>
      <c r="AU550" s="57"/>
      <c r="AV550" s="57"/>
      <c r="AW550" s="57"/>
      <c r="AX550" s="70"/>
      <c r="AY550" s="149"/>
      <c r="AZ550" s="112"/>
      <c r="BA550" s="236"/>
      <c r="BB550" s="236"/>
      <c r="BC550" s="152"/>
      <c r="BD550" s="152"/>
      <c r="BE550" s="236"/>
      <c r="BF550" s="262"/>
      <c r="BG550" s="262"/>
    </row>
    <row r="551" spans="1:59" ht="12.75" customHeight="1" x14ac:dyDescent="0.15">
      <c r="A551" s="57"/>
      <c r="B551" s="57"/>
      <c r="C551" s="57"/>
      <c r="D551" s="103"/>
      <c r="E551" s="125"/>
      <c r="F551" s="125"/>
      <c r="G551" s="57"/>
      <c r="H551" s="57"/>
      <c r="I551" s="57"/>
      <c r="J551" s="57"/>
      <c r="K551" s="57"/>
      <c r="L551" s="57"/>
      <c r="M551" s="57"/>
      <c r="N551" s="57"/>
      <c r="O551" s="70"/>
      <c r="P551" s="57"/>
      <c r="Q551" s="24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220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149"/>
      <c r="AP551" s="149"/>
      <c r="AQ551" s="57"/>
      <c r="AR551" s="74"/>
      <c r="AS551" s="149"/>
      <c r="AT551" s="235"/>
      <c r="AU551" s="57"/>
      <c r="AV551" s="57"/>
      <c r="AW551" s="57"/>
      <c r="AX551" s="70"/>
      <c r="AY551" s="149"/>
      <c r="AZ551" s="112"/>
      <c r="BA551" s="236"/>
      <c r="BB551" s="236"/>
      <c r="BC551" s="152"/>
      <c r="BD551" s="152"/>
      <c r="BE551" s="236"/>
      <c r="BF551" s="262"/>
      <c r="BG551" s="262"/>
    </row>
    <row r="552" spans="1:59" ht="12.75" customHeight="1" x14ac:dyDescent="0.15">
      <c r="A552" s="57"/>
      <c r="B552" s="57"/>
      <c r="C552" s="57"/>
      <c r="D552" s="103"/>
      <c r="E552" s="125"/>
      <c r="F552" s="125"/>
      <c r="G552" s="57"/>
      <c r="H552" s="57"/>
      <c r="I552" s="57"/>
      <c r="J552" s="57"/>
      <c r="K552" s="57"/>
      <c r="L552" s="57"/>
      <c r="M552" s="57"/>
      <c r="N552" s="57"/>
      <c r="O552" s="70"/>
      <c r="P552" s="57"/>
      <c r="Q552" s="24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220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149"/>
      <c r="AP552" s="149"/>
      <c r="AQ552" s="57"/>
      <c r="AR552" s="74"/>
      <c r="AS552" s="149"/>
      <c r="AT552" s="235"/>
      <c r="AU552" s="57"/>
      <c r="AV552" s="57"/>
      <c r="AW552" s="57"/>
      <c r="AX552" s="70"/>
      <c r="AY552" s="149"/>
      <c r="AZ552" s="112"/>
      <c r="BA552" s="236"/>
      <c r="BB552" s="236"/>
      <c r="BC552" s="152"/>
      <c r="BD552" s="152"/>
      <c r="BE552" s="236"/>
      <c r="BF552" s="262"/>
      <c r="BG552" s="262"/>
    </row>
    <row r="553" spans="1:59" ht="12.75" customHeight="1" x14ac:dyDescent="0.15">
      <c r="A553" s="57"/>
      <c r="B553" s="57"/>
      <c r="C553" s="57"/>
      <c r="D553" s="103"/>
      <c r="E553" s="125"/>
      <c r="F553" s="125"/>
      <c r="G553" s="57"/>
      <c r="H553" s="57"/>
      <c r="I553" s="57"/>
      <c r="J553" s="57"/>
      <c r="K553" s="57"/>
      <c r="L553" s="57"/>
      <c r="M553" s="57"/>
      <c r="N553" s="57"/>
      <c r="O553" s="70"/>
      <c r="P553" s="57"/>
      <c r="Q553" s="24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220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149"/>
      <c r="AP553" s="149"/>
      <c r="AQ553" s="57"/>
      <c r="AR553" s="74"/>
      <c r="AS553" s="149"/>
      <c r="AT553" s="235"/>
      <c r="AU553" s="57"/>
      <c r="AV553" s="57"/>
      <c r="AW553" s="57"/>
      <c r="AX553" s="70"/>
      <c r="AY553" s="149"/>
      <c r="AZ553" s="112"/>
      <c r="BA553" s="236"/>
      <c r="BB553" s="236"/>
      <c r="BC553" s="152"/>
      <c r="BD553" s="152"/>
      <c r="BE553" s="236"/>
      <c r="BF553" s="262"/>
      <c r="BG553" s="262"/>
    </row>
    <row r="554" spans="1:59" ht="12.75" customHeight="1" x14ac:dyDescent="0.15">
      <c r="A554" s="57"/>
      <c r="B554" s="57"/>
      <c r="C554" s="57"/>
      <c r="D554" s="103"/>
      <c r="E554" s="125"/>
      <c r="F554" s="125"/>
      <c r="G554" s="57"/>
      <c r="H554" s="57"/>
      <c r="I554" s="57"/>
      <c r="J554" s="57"/>
      <c r="K554" s="57"/>
      <c r="L554" s="57"/>
      <c r="M554" s="57"/>
      <c r="N554" s="57"/>
      <c r="O554" s="70"/>
      <c r="P554" s="57"/>
      <c r="Q554" s="24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220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149"/>
      <c r="AP554" s="149"/>
      <c r="AQ554" s="57"/>
      <c r="AR554" s="74"/>
      <c r="AS554" s="149"/>
      <c r="AT554" s="235"/>
      <c r="AU554" s="57"/>
      <c r="AV554" s="57"/>
      <c r="AW554" s="57"/>
      <c r="AX554" s="70"/>
      <c r="AY554" s="149"/>
      <c r="AZ554" s="112"/>
      <c r="BA554" s="236"/>
      <c r="BB554" s="236"/>
      <c r="BC554" s="152"/>
      <c r="BD554" s="152"/>
      <c r="BE554" s="236"/>
      <c r="BF554" s="262"/>
      <c r="BG554" s="262"/>
    </row>
    <row r="555" spans="1:59" ht="12.75" customHeight="1" x14ac:dyDescent="0.15">
      <c r="A555" s="57"/>
      <c r="B555" s="57"/>
      <c r="C555" s="57"/>
      <c r="D555" s="103"/>
      <c r="E555" s="125"/>
      <c r="F555" s="125"/>
      <c r="G555" s="57"/>
      <c r="H555" s="57"/>
      <c r="I555" s="57"/>
      <c r="J555" s="57"/>
      <c r="K555" s="57"/>
      <c r="L555" s="57"/>
      <c r="M555" s="57"/>
      <c r="N555" s="57"/>
      <c r="O555" s="70"/>
      <c r="P555" s="57"/>
      <c r="Q555" s="24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220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149"/>
      <c r="AP555" s="149"/>
      <c r="AQ555" s="57"/>
      <c r="AR555" s="74"/>
      <c r="AS555" s="149"/>
      <c r="AT555" s="235"/>
      <c r="AU555" s="57"/>
      <c r="AV555" s="57"/>
      <c r="AW555" s="57"/>
      <c r="AX555" s="70"/>
      <c r="AY555" s="149"/>
      <c r="AZ555" s="112"/>
      <c r="BA555" s="236"/>
      <c r="BB555" s="236"/>
      <c r="BC555" s="152"/>
      <c r="BD555" s="152"/>
      <c r="BE555" s="236"/>
      <c r="BF555" s="262"/>
      <c r="BG555" s="262"/>
    </row>
    <row r="556" spans="1:59" ht="12.75" customHeight="1" x14ac:dyDescent="0.15">
      <c r="A556" s="57"/>
      <c r="B556" s="57"/>
      <c r="C556" s="57"/>
      <c r="D556" s="103"/>
      <c r="E556" s="125"/>
      <c r="F556" s="125"/>
      <c r="G556" s="57"/>
      <c r="H556" s="57"/>
      <c r="I556" s="57"/>
      <c r="J556" s="57"/>
      <c r="K556" s="57"/>
      <c r="L556" s="57"/>
      <c r="M556" s="57"/>
      <c r="N556" s="57"/>
      <c r="O556" s="70"/>
      <c r="P556" s="57"/>
      <c r="Q556" s="24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220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149"/>
      <c r="AP556" s="149"/>
      <c r="AQ556" s="57"/>
      <c r="AR556" s="74"/>
      <c r="AS556" s="149"/>
      <c r="AT556" s="235"/>
      <c r="AU556" s="57"/>
      <c r="AV556" s="57"/>
      <c r="AW556" s="57"/>
      <c r="AX556" s="70"/>
      <c r="AY556" s="149"/>
      <c r="AZ556" s="112"/>
      <c r="BA556" s="236"/>
      <c r="BB556" s="236"/>
      <c r="BC556" s="152"/>
      <c r="BD556" s="152"/>
      <c r="BE556" s="236"/>
      <c r="BF556" s="262"/>
      <c r="BG556" s="262"/>
    </row>
    <row r="557" spans="1:59" ht="12.75" customHeight="1" x14ac:dyDescent="0.15">
      <c r="A557" s="57"/>
      <c r="B557" s="57"/>
      <c r="C557" s="57"/>
      <c r="D557" s="103"/>
      <c r="E557" s="125"/>
      <c r="F557" s="125"/>
      <c r="G557" s="57"/>
      <c r="H557" s="57"/>
      <c r="I557" s="57"/>
      <c r="J557" s="57"/>
      <c r="K557" s="57"/>
      <c r="L557" s="57"/>
      <c r="M557" s="57"/>
      <c r="N557" s="57"/>
      <c r="O557" s="70"/>
      <c r="P557" s="57"/>
      <c r="Q557" s="24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220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149"/>
      <c r="AP557" s="149"/>
      <c r="AQ557" s="57"/>
      <c r="AR557" s="74"/>
      <c r="AS557" s="149"/>
      <c r="AT557" s="235"/>
      <c r="AU557" s="57"/>
      <c r="AV557" s="57"/>
      <c r="AW557" s="57"/>
      <c r="AX557" s="70"/>
      <c r="AY557" s="149"/>
      <c r="AZ557" s="112"/>
      <c r="BA557" s="236"/>
      <c r="BB557" s="236"/>
      <c r="BC557" s="152"/>
      <c r="BD557" s="152"/>
      <c r="BE557" s="236"/>
      <c r="BF557" s="262"/>
      <c r="BG557" s="262"/>
    </row>
    <row r="558" spans="1:59" ht="12.75" customHeight="1" x14ac:dyDescent="0.15">
      <c r="A558" s="57"/>
      <c r="B558" s="57"/>
      <c r="C558" s="57"/>
      <c r="D558" s="103"/>
      <c r="E558" s="125"/>
      <c r="F558" s="125"/>
      <c r="G558" s="57"/>
      <c r="H558" s="57"/>
      <c r="I558" s="57"/>
      <c r="J558" s="57"/>
      <c r="K558" s="57"/>
      <c r="L558" s="57"/>
      <c r="M558" s="57"/>
      <c r="N558" s="57"/>
      <c r="O558" s="70"/>
      <c r="P558" s="57"/>
      <c r="Q558" s="24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220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149"/>
      <c r="AP558" s="149"/>
      <c r="AQ558" s="57"/>
      <c r="AR558" s="74"/>
      <c r="AS558" s="149"/>
      <c r="AT558" s="235"/>
      <c r="AU558" s="57"/>
      <c r="AV558" s="57"/>
      <c r="AW558" s="57"/>
      <c r="AX558" s="70"/>
      <c r="AY558" s="149"/>
      <c r="AZ558" s="112"/>
      <c r="BA558" s="236"/>
      <c r="BB558" s="236"/>
      <c r="BC558" s="152"/>
      <c r="BD558" s="152"/>
      <c r="BE558" s="236"/>
      <c r="BF558" s="262"/>
      <c r="BG558" s="262"/>
    </row>
    <row r="559" spans="1:59" ht="12.75" customHeight="1" x14ac:dyDescent="0.15">
      <c r="A559" s="57"/>
      <c r="B559" s="57"/>
      <c r="C559" s="57"/>
      <c r="D559" s="103"/>
      <c r="E559" s="125"/>
      <c r="F559" s="125"/>
      <c r="G559" s="57"/>
      <c r="H559" s="57"/>
      <c r="I559" s="57"/>
      <c r="J559" s="57"/>
      <c r="K559" s="57"/>
      <c r="L559" s="57"/>
      <c r="M559" s="57"/>
      <c r="N559" s="57"/>
      <c r="O559" s="70"/>
      <c r="P559" s="57"/>
      <c r="Q559" s="24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220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149"/>
      <c r="AP559" s="149"/>
      <c r="AQ559" s="57"/>
      <c r="AR559" s="74"/>
      <c r="AS559" s="149"/>
      <c r="AT559" s="235"/>
      <c r="AU559" s="57"/>
      <c r="AV559" s="57"/>
      <c r="AW559" s="57"/>
      <c r="AX559" s="70"/>
      <c r="AY559" s="149"/>
      <c r="AZ559" s="112"/>
      <c r="BA559" s="236"/>
      <c r="BB559" s="236"/>
      <c r="BC559" s="152"/>
      <c r="BD559" s="152"/>
      <c r="BE559" s="236"/>
      <c r="BF559" s="262"/>
      <c r="BG559" s="262"/>
    </row>
    <row r="560" spans="1:59" ht="12.75" customHeight="1" x14ac:dyDescent="0.15">
      <c r="A560" s="57"/>
      <c r="B560" s="57"/>
      <c r="C560" s="57"/>
      <c r="D560" s="103"/>
      <c r="E560" s="125"/>
      <c r="F560" s="125"/>
      <c r="G560" s="57"/>
      <c r="H560" s="57"/>
      <c r="I560" s="57"/>
      <c r="J560" s="57"/>
      <c r="K560" s="57"/>
      <c r="L560" s="57"/>
      <c r="M560" s="57"/>
      <c r="N560" s="57"/>
      <c r="O560" s="70"/>
      <c r="P560" s="57"/>
      <c r="Q560" s="24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220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149"/>
      <c r="AP560" s="149"/>
      <c r="AQ560" s="57"/>
      <c r="AR560" s="74"/>
      <c r="AS560" s="149"/>
      <c r="AT560" s="235"/>
      <c r="AU560" s="57"/>
      <c r="AV560" s="57"/>
      <c r="AW560" s="57"/>
      <c r="AX560" s="70"/>
      <c r="AY560" s="149"/>
      <c r="AZ560" s="112"/>
      <c r="BA560" s="236"/>
      <c r="BB560" s="236"/>
      <c r="BC560" s="152"/>
      <c r="BD560" s="152"/>
      <c r="BE560" s="236"/>
      <c r="BF560" s="262"/>
      <c r="BG560" s="262"/>
    </row>
    <row r="561" spans="1:59" ht="12.75" customHeight="1" x14ac:dyDescent="0.15">
      <c r="A561" s="57"/>
      <c r="B561" s="57"/>
      <c r="C561" s="57"/>
      <c r="D561" s="103"/>
      <c r="E561" s="125"/>
      <c r="F561" s="125"/>
      <c r="G561" s="57"/>
      <c r="H561" s="57"/>
      <c r="I561" s="57"/>
      <c r="J561" s="57"/>
      <c r="K561" s="57"/>
      <c r="L561" s="57"/>
      <c r="M561" s="57"/>
      <c r="N561" s="57"/>
      <c r="O561" s="70"/>
      <c r="P561" s="57"/>
      <c r="Q561" s="24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220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149"/>
      <c r="AP561" s="149"/>
      <c r="AQ561" s="57"/>
      <c r="AR561" s="74"/>
      <c r="AS561" s="149"/>
      <c r="AT561" s="235"/>
      <c r="AU561" s="57"/>
      <c r="AV561" s="57"/>
      <c r="AW561" s="57"/>
      <c r="AX561" s="70"/>
      <c r="AY561" s="149"/>
      <c r="AZ561" s="112"/>
      <c r="BA561" s="236"/>
      <c r="BB561" s="236"/>
      <c r="BC561" s="152"/>
      <c r="BD561" s="152"/>
      <c r="BE561" s="236"/>
      <c r="BF561" s="262"/>
      <c r="BG561" s="262"/>
    </row>
    <row r="562" spans="1:59" ht="12.75" customHeight="1" x14ac:dyDescent="0.15">
      <c r="A562" s="57"/>
      <c r="B562" s="57"/>
      <c r="C562" s="57"/>
      <c r="D562" s="103"/>
      <c r="E562" s="125"/>
      <c r="F562" s="125"/>
      <c r="G562" s="57"/>
      <c r="H562" s="57"/>
      <c r="I562" s="57"/>
      <c r="J562" s="57"/>
      <c r="K562" s="57"/>
      <c r="L562" s="57"/>
      <c r="M562" s="57"/>
      <c r="N562" s="57"/>
      <c r="O562" s="70"/>
      <c r="P562" s="57"/>
      <c r="Q562" s="24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220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149"/>
      <c r="AP562" s="149"/>
      <c r="AQ562" s="57"/>
      <c r="AR562" s="74"/>
      <c r="AS562" s="149"/>
      <c r="AT562" s="235"/>
      <c r="AU562" s="57"/>
      <c r="AV562" s="57"/>
      <c r="AW562" s="57"/>
      <c r="AX562" s="70"/>
      <c r="AY562" s="149"/>
      <c r="AZ562" s="112"/>
      <c r="BA562" s="236"/>
      <c r="BB562" s="236"/>
      <c r="BC562" s="152"/>
      <c r="BD562" s="152"/>
      <c r="BE562" s="236"/>
      <c r="BF562" s="262"/>
      <c r="BG562" s="262"/>
    </row>
    <row r="563" spans="1:59" ht="12.75" customHeight="1" x14ac:dyDescent="0.15">
      <c r="A563" s="57"/>
      <c r="B563" s="57"/>
      <c r="C563" s="57"/>
      <c r="D563" s="103"/>
      <c r="E563" s="125"/>
      <c r="F563" s="125"/>
      <c r="G563" s="57"/>
      <c r="H563" s="57"/>
      <c r="I563" s="57"/>
      <c r="J563" s="57"/>
      <c r="K563" s="57"/>
      <c r="L563" s="57"/>
      <c r="M563" s="57"/>
      <c r="N563" s="57"/>
      <c r="O563" s="70"/>
      <c r="P563" s="57"/>
      <c r="Q563" s="24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220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149"/>
      <c r="AP563" s="149"/>
      <c r="AQ563" s="57"/>
      <c r="AR563" s="74"/>
      <c r="AS563" s="149"/>
      <c r="AT563" s="235"/>
      <c r="AU563" s="57"/>
      <c r="AV563" s="57"/>
      <c r="AW563" s="57"/>
      <c r="AX563" s="70"/>
      <c r="AY563" s="149"/>
      <c r="AZ563" s="112"/>
      <c r="BA563" s="236"/>
      <c r="BB563" s="236"/>
      <c r="BC563" s="152"/>
      <c r="BD563" s="152"/>
      <c r="BE563" s="236"/>
      <c r="BF563" s="262"/>
      <c r="BG563" s="262"/>
    </row>
    <row r="564" spans="1:59" ht="12.75" customHeight="1" x14ac:dyDescent="0.15">
      <c r="A564" s="57"/>
      <c r="B564" s="57"/>
      <c r="C564" s="57"/>
      <c r="D564" s="103"/>
      <c r="E564" s="125"/>
      <c r="F564" s="125"/>
      <c r="G564" s="57"/>
      <c r="H564" s="57"/>
      <c r="I564" s="57"/>
      <c r="J564" s="57"/>
      <c r="K564" s="57"/>
      <c r="L564" s="57"/>
      <c r="M564" s="57"/>
      <c r="N564" s="57"/>
      <c r="O564" s="70"/>
      <c r="P564" s="57"/>
      <c r="Q564" s="24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220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149"/>
      <c r="AP564" s="149"/>
      <c r="AQ564" s="57"/>
      <c r="AR564" s="74"/>
      <c r="AS564" s="149"/>
      <c r="AT564" s="235"/>
      <c r="AU564" s="57"/>
      <c r="AV564" s="57"/>
      <c r="AW564" s="57"/>
      <c r="AX564" s="70"/>
      <c r="AY564" s="149"/>
      <c r="AZ564" s="112"/>
      <c r="BA564" s="236"/>
      <c r="BB564" s="236"/>
      <c r="BC564" s="152"/>
      <c r="BD564" s="152"/>
      <c r="BE564" s="236"/>
      <c r="BF564" s="262"/>
      <c r="BG564" s="262"/>
    </row>
    <row r="565" spans="1:59" ht="12.75" customHeight="1" x14ac:dyDescent="0.15">
      <c r="A565" s="57"/>
      <c r="B565" s="57"/>
      <c r="C565" s="57"/>
      <c r="D565" s="103"/>
      <c r="E565" s="125"/>
      <c r="F565" s="125"/>
      <c r="G565" s="57"/>
      <c r="H565" s="57"/>
      <c r="I565" s="57"/>
      <c r="J565" s="57"/>
      <c r="K565" s="57"/>
      <c r="L565" s="57"/>
      <c r="M565" s="57"/>
      <c r="N565" s="57"/>
      <c r="O565" s="70"/>
      <c r="P565" s="57"/>
      <c r="Q565" s="24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220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149"/>
      <c r="AP565" s="149"/>
      <c r="AQ565" s="57"/>
      <c r="AR565" s="74"/>
      <c r="AS565" s="149"/>
      <c r="AT565" s="235"/>
      <c r="AU565" s="57"/>
      <c r="AV565" s="57"/>
      <c r="AW565" s="57"/>
      <c r="AX565" s="70"/>
      <c r="AY565" s="149"/>
      <c r="AZ565" s="112"/>
      <c r="BA565" s="236"/>
      <c r="BB565" s="236"/>
      <c r="BC565" s="152"/>
      <c r="BD565" s="152"/>
      <c r="BE565" s="236"/>
      <c r="BF565" s="262"/>
      <c r="BG565" s="262"/>
    </row>
    <row r="566" spans="1:59" ht="12.75" customHeight="1" x14ac:dyDescent="0.15">
      <c r="A566" s="57"/>
      <c r="B566" s="57"/>
      <c r="C566" s="57"/>
      <c r="D566" s="103"/>
      <c r="E566" s="125"/>
      <c r="F566" s="125"/>
      <c r="G566" s="57"/>
      <c r="H566" s="57"/>
      <c r="I566" s="57"/>
      <c r="J566" s="57"/>
      <c r="K566" s="57"/>
      <c r="L566" s="57"/>
      <c r="M566" s="57"/>
      <c r="N566" s="57"/>
      <c r="O566" s="70"/>
      <c r="P566" s="57"/>
      <c r="Q566" s="24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220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149"/>
      <c r="AP566" s="149"/>
      <c r="AQ566" s="57"/>
      <c r="AR566" s="74"/>
      <c r="AS566" s="149"/>
      <c r="AT566" s="235"/>
      <c r="AU566" s="57"/>
      <c r="AV566" s="57"/>
      <c r="AW566" s="57"/>
      <c r="AX566" s="70"/>
      <c r="AY566" s="149"/>
      <c r="AZ566" s="112"/>
      <c r="BA566" s="236"/>
      <c r="BB566" s="236"/>
      <c r="BC566" s="152"/>
      <c r="BD566" s="152"/>
      <c r="BE566" s="236"/>
      <c r="BF566" s="262"/>
      <c r="BG566" s="262"/>
    </row>
    <row r="567" spans="1:59" ht="12.75" customHeight="1" x14ac:dyDescent="0.15">
      <c r="A567" s="57"/>
      <c r="B567" s="57"/>
      <c r="C567" s="57"/>
      <c r="D567" s="103"/>
      <c r="E567" s="125"/>
      <c r="F567" s="125"/>
      <c r="G567" s="57"/>
      <c r="H567" s="57"/>
      <c r="I567" s="57"/>
      <c r="J567" s="57"/>
      <c r="K567" s="57"/>
      <c r="L567" s="57"/>
      <c r="M567" s="57"/>
      <c r="N567" s="57"/>
      <c r="O567" s="70"/>
      <c r="P567" s="57"/>
      <c r="Q567" s="24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220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149"/>
      <c r="AP567" s="149"/>
      <c r="AQ567" s="57"/>
      <c r="AR567" s="74"/>
      <c r="AS567" s="149"/>
      <c r="AT567" s="235"/>
      <c r="AU567" s="57"/>
      <c r="AV567" s="57"/>
      <c r="AW567" s="57"/>
      <c r="AX567" s="70"/>
      <c r="AY567" s="149"/>
      <c r="AZ567" s="112"/>
      <c r="BA567" s="236"/>
      <c r="BB567" s="236"/>
      <c r="BC567" s="152"/>
      <c r="BD567" s="152"/>
      <c r="BE567" s="236"/>
      <c r="BF567" s="262"/>
      <c r="BG567" s="262"/>
    </row>
    <row r="568" spans="1:59" ht="12.75" customHeight="1" x14ac:dyDescent="0.15">
      <c r="A568" s="57"/>
      <c r="B568" s="57"/>
      <c r="C568" s="57"/>
      <c r="D568" s="103"/>
      <c r="E568" s="125"/>
      <c r="F568" s="125"/>
      <c r="G568" s="57"/>
      <c r="H568" s="57"/>
      <c r="I568" s="57"/>
      <c r="J568" s="57"/>
      <c r="K568" s="57"/>
      <c r="L568" s="57"/>
      <c r="M568" s="57"/>
      <c r="N568" s="57"/>
      <c r="O568" s="70"/>
      <c r="P568" s="57"/>
      <c r="Q568" s="24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220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149"/>
      <c r="AP568" s="149"/>
      <c r="AQ568" s="57"/>
      <c r="AR568" s="74"/>
      <c r="AS568" s="149"/>
      <c r="AT568" s="235"/>
      <c r="AU568" s="57"/>
      <c r="AV568" s="57"/>
      <c r="AW568" s="57"/>
      <c r="AX568" s="70"/>
      <c r="AY568" s="149"/>
      <c r="AZ568" s="112"/>
      <c r="BA568" s="236"/>
      <c r="BB568" s="236"/>
      <c r="BC568" s="152"/>
      <c r="BD568" s="152"/>
      <c r="BE568" s="236"/>
      <c r="BF568" s="262"/>
      <c r="BG568" s="262"/>
    </row>
    <row r="569" spans="1:59" ht="12.75" customHeight="1" x14ac:dyDescent="0.15">
      <c r="A569" s="57"/>
      <c r="B569" s="57"/>
      <c r="C569" s="57"/>
      <c r="D569" s="103"/>
      <c r="E569" s="125"/>
      <c r="F569" s="125"/>
      <c r="G569" s="57"/>
      <c r="H569" s="57"/>
      <c r="I569" s="57"/>
      <c r="J569" s="57"/>
      <c r="K569" s="57"/>
      <c r="L569" s="57"/>
      <c r="M569" s="57"/>
      <c r="N569" s="57"/>
      <c r="O569" s="70"/>
      <c r="P569" s="57"/>
      <c r="Q569" s="24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220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149"/>
      <c r="AP569" s="149"/>
      <c r="AQ569" s="57"/>
      <c r="AR569" s="74"/>
      <c r="AS569" s="149"/>
      <c r="AT569" s="235"/>
      <c r="AU569" s="57"/>
      <c r="AV569" s="57"/>
      <c r="AW569" s="57"/>
      <c r="AX569" s="70"/>
      <c r="AY569" s="149"/>
      <c r="AZ569" s="112"/>
      <c r="BA569" s="236"/>
      <c r="BB569" s="236"/>
      <c r="BC569" s="152"/>
      <c r="BD569" s="152"/>
      <c r="BE569" s="236"/>
      <c r="BF569" s="262"/>
      <c r="BG569" s="262"/>
    </row>
    <row r="570" spans="1:59" ht="12.75" customHeight="1" x14ac:dyDescent="0.15">
      <c r="A570" s="57"/>
      <c r="B570" s="57"/>
      <c r="C570" s="57"/>
      <c r="D570" s="103"/>
      <c r="E570" s="125"/>
      <c r="F570" s="125"/>
      <c r="G570" s="57"/>
      <c r="H570" s="57"/>
      <c r="I570" s="57"/>
      <c r="J570" s="57"/>
      <c r="K570" s="57"/>
      <c r="L570" s="57"/>
      <c r="M570" s="57"/>
      <c r="N570" s="57"/>
      <c r="O570" s="70"/>
      <c r="P570" s="57"/>
      <c r="Q570" s="24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220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149"/>
      <c r="AP570" s="149"/>
      <c r="AQ570" s="57"/>
      <c r="AR570" s="74"/>
      <c r="AS570" s="149"/>
      <c r="AT570" s="235"/>
      <c r="AU570" s="57"/>
      <c r="AV570" s="57"/>
      <c r="AW570" s="57"/>
      <c r="AX570" s="70"/>
      <c r="AY570" s="149"/>
      <c r="AZ570" s="112"/>
      <c r="BA570" s="236"/>
      <c r="BB570" s="236"/>
      <c r="BC570" s="152"/>
      <c r="BD570" s="152"/>
      <c r="BE570" s="236"/>
      <c r="BF570" s="262"/>
      <c r="BG570" s="262"/>
    </row>
    <row r="571" spans="1:59" ht="12.75" customHeight="1" x14ac:dyDescent="0.15">
      <c r="A571" s="57"/>
      <c r="B571" s="57"/>
      <c r="C571" s="57"/>
      <c r="D571" s="103"/>
      <c r="E571" s="125"/>
      <c r="F571" s="125"/>
      <c r="G571" s="57"/>
      <c r="H571" s="57"/>
      <c r="I571" s="57"/>
      <c r="J571" s="57"/>
      <c r="K571" s="57"/>
      <c r="L571" s="57"/>
      <c r="M571" s="57"/>
      <c r="N571" s="57"/>
      <c r="O571" s="70"/>
      <c r="P571" s="57"/>
      <c r="Q571" s="24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220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149"/>
      <c r="AP571" s="149"/>
      <c r="AQ571" s="57"/>
      <c r="AR571" s="74"/>
      <c r="AS571" s="149"/>
      <c r="AT571" s="235"/>
      <c r="AU571" s="57"/>
      <c r="AV571" s="57"/>
      <c r="AW571" s="57"/>
      <c r="AX571" s="70"/>
      <c r="AY571" s="149"/>
      <c r="AZ571" s="112"/>
      <c r="BA571" s="236"/>
      <c r="BB571" s="236"/>
      <c r="BC571" s="152"/>
      <c r="BD571" s="152"/>
      <c r="BE571" s="236"/>
      <c r="BF571" s="262"/>
      <c r="BG571" s="262"/>
    </row>
    <row r="572" spans="1:59" ht="12.75" customHeight="1" x14ac:dyDescent="0.15">
      <c r="A572" s="57"/>
      <c r="B572" s="57"/>
      <c r="C572" s="57"/>
      <c r="D572" s="103"/>
      <c r="E572" s="125"/>
      <c r="F572" s="125"/>
      <c r="G572" s="57"/>
      <c r="H572" s="57"/>
      <c r="I572" s="57"/>
      <c r="J572" s="57"/>
      <c r="K572" s="57"/>
      <c r="L572" s="57"/>
      <c r="M572" s="57"/>
      <c r="N572" s="57"/>
      <c r="O572" s="70"/>
      <c r="P572" s="57"/>
      <c r="Q572" s="24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220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149"/>
      <c r="AP572" s="149"/>
      <c r="AQ572" s="57"/>
      <c r="AR572" s="74"/>
      <c r="AS572" s="149"/>
      <c r="AT572" s="235"/>
      <c r="AU572" s="57"/>
      <c r="AV572" s="57"/>
      <c r="AW572" s="57"/>
      <c r="AX572" s="70"/>
      <c r="AY572" s="149"/>
      <c r="AZ572" s="112"/>
      <c r="BA572" s="236"/>
      <c r="BB572" s="236"/>
      <c r="BC572" s="152"/>
      <c r="BD572" s="152"/>
      <c r="BE572" s="236"/>
      <c r="BF572" s="262"/>
      <c r="BG572" s="262"/>
    </row>
    <row r="573" spans="1:59" ht="12.75" customHeight="1" x14ac:dyDescent="0.15">
      <c r="A573" s="57"/>
      <c r="B573" s="57"/>
      <c r="C573" s="57"/>
      <c r="D573" s="103"/>
      <c r="E573" s="125"/>
      <c r="F573" s="125"/>
      <c r="G573" s="57"/>
      <c r="H573" s="57"/>
      <c r="I573" s="57"/>
      <c r="J573" s="57"/>
      <c r="K573" s="57"/>
      <c r="L573" s="57"/>
      <c r="M573" s="57"/>
      <c r="N573" s="57"/>
      <c r="O573" s="70"/>
      <c r="P573" s="57"/>
      <c r="Q573" s="24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220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149"/>
      <c r="AP573" s="149"/>
      <c r="AQ573" s="57"/>
      <c r="AR573" s="74"/>
      <c r="AS573" s="149"/>
      <c r="AT573" s="235"/>
      <c r="AU573" s="57"/>
      <c r="AV573" s="57"/>
      <c r="AW573" s="57"/>
      <c r="AX573" s="70"/>
      <c r="AY573" s="149"/>
      <c r="AZ573" s="112"/>
      <c r="BA573" s="236"/>
      <c r="BB573" s="236"/>
      <c r="BC573" s="152"/>
      <c r="BD573" s="152"/>
      <c r="BE573" s="236"/>
      <c r="BF573" s="262"/>
      <c r="BG573" s="262"/>
    </row>
    <row r="574" spans="1:59" ht="12.75" customHeight="1" x14ac:dyDescent="0.15">
      <c r="A574" s="57"/>
      <c r="B574" s="57"/>
      <c r="C574" s="57"/>
      <c r="D574" s="103"/>
      <c r="E574" s="125"/>
      <c r="F574" s="125"/>
      <c r="G574" s="57"/>
      <c r="H574" s="57"/>
      <c r="I574" s="57"/>
      <c r="J574" s="57"/>
      <c r="K574" s="57"/>
      <c r="L574" s="57"/>
      <c r="M574" s="57"/>
      <c r="N574" s="57"/>
      <c r="O574" s="70"/>
      <c r="P574" s="57"/>
      <c r="Q574" s="24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220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149"/>
      <c r="AP574" s="149"/>
      <c r="AQ574" s="57"/>
      <c r="AR574" s="74"/>
      <c r="AS574" s="149"/>
      <c r="AT574" s="235"/>
      <c r="AU574" s="57"/>
      <c r="AV574" s="57"/>
      <c r="AW574" s="57"/>
      <c r="AX574" s="70"/>
      <c r="AY574" s="149"/>
      <c r="AZ574" s="112"/>
      <c r="BA574" s="236"/>
      <c r="BB574" s="236"/>
      <c r="BC574" s="152"/>
      <c r="BD574" s="152"/>
      <c r="BE574" s="236"/>
      <c r="BF574" s="262"/>
      <c r="BG574" s="262"/>
    </row>
    <row r="575" spans="1:59" ht="12.75" customHeight="1" x14ac:dyDescent="0.15">
      <c r="A575" s="57"/>
      <c r="B575" s="57"/>
      <c r="C575" s="57"/>
      <c r="D575" s="103"/>
      <c r="E575" s="125"/>
      <c r="F575" s="125"/>
      <c r="G575" s="57"/>
      <c r="H575" s="57"/>
      <c r="I575" s="57"/>
      <c r="J575" s="57"/>
      <c r="K575" s="57"/>
      <c r="L575" s="57"/>
      <c r="M575" s="57"/>
      <c r="N575" s="57"/>
      <c r="O575" s="70"/>
      <c r="P575" s="57"/>
      <c r="Q575" s="24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220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149"/>
      <c r="AP575" s="149"/>
      <c r="AQ575" s="57"/>
      <c r="AR575" s="74"/>
      <c r="AS575" s="149"/>
      <c r="AT575" s="235"/>
      <c r="AU575" s="57"/>
      <c r="AV575" s="57"/>
      <c r="AW575" s="57"/>
      <c r="AX575" s="70"/>
      <c r="AY575" s="149"/>
      <c r="AZ575" s="112"/>
      <c r="BA575" s="236"/>
      <c r="BB575" s="236"/>
      <c r="BC575" s="152"/>
      <c r="BD575" s="152"/>
      <c r="BE575" s="236"/>
      <c r="BF575" s="262"/>
      <c r="BG575" s="262"/>
    </row>
    <row r="576" spans="1:59" ht="12.75" customHeight="1" x14ac:dyDescent="0.15">
      <c r="A576" s="57"/>
      <c r="B576" s="57"/>
      <c r="C576" s="57"/>
      <c r="D576" s="103"/>
      <c r="E576" s="125"/>
      <c r="F576" s="125"/>
      <c r="G576" s="57"/>
      <c r="H576" s="57"/>
      <c r="I576" s="57"/>
      <c r="J576" s="57"/>
      <c r="K576" s="57"/>
      <c r="L576" s="57"/>
      <c r="M576" s="57"/>
      <c r="N576" s="57"/>
      <c r="O576" s="70"/>
      <c r="P576" s="57"/>
      <c r="Q576" s="24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220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149"/>
      <c r="AP576" s="149"/>
      <c r="AQ576" s="57"/>
      <c r="AR576" s="74"/>
      <c r="AS576" s="149"/>
      <c r="AT576" s="235"/>
      <c r="AU576" s="57"/>
      <c r="AV576" s="57"/>
      <c r="AW576" s="57"/>
      <c r="AX576" s="70"/>
      <c r="AY576" s="149"/>
      <c r="AZ576" s="112"/>
      <c r="BA576" s="236"/>
      <c r="BB576" s="236"/>
      <c r="BC576" s="152"/>
      <c r="BD576" s="152"/>
      <c r="BE576" s="236"/>
      <c r="BF576" s="262"/>
      <c r="BG576" s="262"/>
    </row>
    <row r="577" spans="1:59" ht="12.75" customHeight="1" x14ac:dyDescent="0.15">
      <c r="A577" s="57"/>
      <c r="B577" s="57"/>
      <c r="C577" s="57"/>
      <c r="D577" s="103"/>
      <c r="E577" s="125"/>
      <c r="F577" s="125"/>
      <c r="G577" s="57"/>
      <c r="H577" s="57"/>
      <c r="I577" s="57"/>
      <c r="J577" s="57"/>
      <c r="K577" s="57"/>
      <c r="L577" s="57"/>
      <c r="M577" s="57"/>
      <c r="N577" s="57"/>
      <c r="O577" s="70"/>
      <c r="P577" s="57"/>
      <c r="Q577" s="24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220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149"/>
      <c r="AP577" s="149"/>
      <c r="AQ577" s="57"/>
      <c r="AR577" s="74"/>
      <c r="AS577" s="149"/>
      <c r="AT577" s="235"/>
      <c r="AU577" s="57"/>
      <c r="AV577" s="57"/>
      <c r="AW577" s="57"/>
      <c r="AX577" s="70"/>
      <c r="AY577" s="149"/>
      <c r="AZ577" s="112"/>
      <c r="BA577" s="236"/>
      <c r="BB577" s="236"/>
      <c r="BC577" s="152"/>
      <c r="BD577" s="152"/>
      <c r="BE577" s="236"/>
      <c r="BF577" s="262"/>
      <c r="BG577" s="262"/>
    </row>
    <row r="578" spans="1:59" ht="12.75" customHeight="1" x14ac:dyDescent="0.15">
      <c r="A578" s="57"/>
      <c r="B578" s="57"/>
      <c r="C578" s="57"/>
      <c r="D578" s="103"/>
      <c r="E578" s="125"/>
      <c r="F578" s="125"/>
      <c r="G578" s="57"/>
      <c r="H578" s="57"/>
      <c r="I578" s="57"/>
      <c r="J578" s="57"/>
      <c r="K578" s="57"/>
      <c r="L578" s="57"/>
      <c r="M578" s="57"/>
      <c r="N578" s="57"/>
      <c r="O578" s="70"/>
      <c r="P578" s="57"/>
      <c r="Q578" s="24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220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149"/>
      <c r="AP578" s="149"/>
      <c r="AQ578" s="57"/>
      <c r="AR578" s="74"/>
      <c r="AS578" s="149"/>
      <c r="AT578" s="235"/>
      <c r="AU578" s="57"/>
      <c r="AV578" s="57"/>
      <c r="AW578" s="57"/>
      <c r="AX578" s="70"/>
      <c r="AY578" s="149"/>
      <c r="AZ578" s="112"/>
      <c r="BA578" s="236"/>
      <c r="BB578" s="236"/>
      <c r="BC578" s="152"/>
      <c r="BD578" s="152"/>
      <c r="BE578" s="236"/>
      <c r="BF578" s="262"/>
      <c r="BG578" s="262"/>
    </row>
    <row r="579" spans="1:59" ht="12.75" customHeight="1" x14ac:dyDescent="0.15">
      <c r="A579" s="57"/>
      <c r="B579" s="57"/>
      <c r="C579" s="57"/>
      <c r="D579" s="103"/>
      <c r="E579" s="125"/>
      <c r="F579" s="125"/>
      <c r="G579" s="57"/>
      <c r="H579" s="57"/>
      <c r="I579" s="57"/>
      <c r="J579" s="57"/>
      <c r="K579" s="57"/>
      <c r="L579" s="57"/>
      <c r="M579" s="57"/>
      <c r="N579" s="57"/>
      <c r="O579" s="70"/>
      <c r="P579" s="57"/>
      <c r="Q579" s="24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220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149"/>
      <c r="AP579" s="149"/>
      <c r="AQ579" s="57"/>
      <c r="AR579" s="74"/>
      <c r="AS579" s="149"/>
      <c r="AT579" s="235"/>
      <c r="AU579" s="57"/>
      <c r="AV579" s="57"/>
      <c r="AW579" s="57"/>
      <c r="AX579" s="70"/>
      <c r="AY579" s="149"/>
      <c r="AZ579" s="112"/>
      <c r="BA579" s="236"/>
      <c r="BB579" s="236"/>
      <c r="BC579" s="152"/>
      <c r="BD579" s="152"/>
      <c r="BE579" s="236"/>
      <c r="BF579" s="262"/>
      <c r="BG579" s="262"/>
    </row>
    <row r="580" spans="1:59" ht="12.75" customHeight="1" x14ac:dyDescent="0.15">
      <c r="A580" s="57"/>
      <c r="B580" s="57"/>
      <c r="C580" s="57"/>
      <c r="D580" s="103"/>
      <c r="E580" s="125"/>
      <c r="F580" s="125"/>
      <c r="G580" s="57"/>
      <c r="H580" s="57"/>
      <c r="I580" s="57"/>
      <c r="J580" s="57"/>
      <c r="K580" s="57"/>
      <c r="L580" s="57"/>
      <c r="M580" s="57"/>
      <c r="N580" s="57"/>
      <c r="O580" s="70"/>
      <c r="P580" s="57"/>
      <c r="Q580" s="24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220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149"/>
      <c r="AP580" s="149"/>
      <c r="AQ580" s="57"/>
      <c r="AR580" s="74"/>
      <c r="AS580" s="149"/>
      <c r="AT580" s="235"/>
      <c r="AU580" s="57"/>
      <c r="AV580" s="57"/>
      <c r="AW580" s="57"/>
      <c r="AX580" s="70"/>
      <c r="AY580" s="149"/>
      <c r="AZ580" s="112"/>
      <c r="BA580" s="236"/>
      <c r="BB580" s="236"/>
      <c r="BC580" s="152"/>
      <c r="BD580" s="152"/>
      <c r="BE580" s="236"/>
      <c r="BF580" s="262"/>
      <c r="BG580" s="262"/>
    </row>
    <row r="581" spans="1:59" ht="12.75" customHeight="1" x14ac:dyDescent="0.15">
      <c r="A581" s="57"/>
      <c r="B581" s="57"/>
      <c r="C581" s="57"/>
      <c r="D581" s="103"/>
      <c r="E581" s="125"/>
      <c r="F581" s="125"/>
      <c r="G581" s="57"/>
      <c r="H581" s="57"/>
      <c r="I581" s="57"/>
      <c r="J581" s="57"/>
      <c r="K581" s="57"/>
      <c r="L581" s="57"/>
      <c r="M581" s="57"/>
      <c r="N581" s="57"/>
      <c r="O581" s="70"/>
      <c r="P581" s="57"/>
      <c r="Q581" s="24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220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149"/>
      <c r="AP581" s="149"/>
      <c r="AQ581" s="57"/>
      <c r="AR581" s="74"/>
      <c r="AS581" s="149"/>
      <c r="AT581" s="235"/>
      <c r="AU581" s="57"/>
      <c r="AV581" s="57"/>
      <c r="AW581" s="57"/>
      <c r="AX581" s="70"/>
      <c r="AY581" s="149"/>
      <c r="AZ581" s="112"/>
      <c r="BA581" s="236"/>
      <c r="BB581" s="236"/>
      <c r="BC581" s="152"/>
      <c r="BD581" s="152"/>
      <c r="BE581" s="236"/>
      <c r="BF581" s="262"/>
      <c r="BG581" s="262"/>
    </row>
    <row r="582" spans="1:59" ht="12.75" customHeight="1" x14ac:dyDescent="0.15">
      <c r="A582" s="57"/>
      <c r="B582" s="57"/>
      <c r="C582" s="57"/>
      <c r="D582" s="103"/>
      <c r="E582" s="125"/>
      <c r="F582" s="125"/>
      <c r="G582" s="57"/>
      <c r="H582" s="57"/>
      <c r="I582" s="57"/>
      <c r="J582" s="57"/>
      <c r="K582" s="57"/>
      <c r="L582" s="57"/>
      <c r="M582" s="57"/>
      <c r="N582" s="57"/>
      <c r="O582" s="70"/>
      <c r="P582" s="57"/>
      <c r="Q582" s="24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220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149"/>
      <c r="AP582" s="149"/>
      <c r="AQ582" s="57"/>
      <c r="AR582" s="74"/>
      <c r="AS582" s="149"/>
      <c r="AT582" s="235"/>
      <c r="AU582" s="57"/>
      <c r="AV582" s="57"/>
      <c r="AW582" s="57"/>
      <c r="AX582" s="70"/>
      <c r="AY582" s="149"/>
      <c r="AZ582" s="112"/>
      <c r="BA582" s="236"/>
      <c r="BB582" s="236"/>
      <c r="BC582" s="152"/>
      <c r="BD582" s="152"/>
      <c r="BE582" s="236"/>
      <c r="BF582" s="262"/>
      <c r="BG582" s="262"/>
    </row>
    <row r="583" spans="1:59" ht="12.75" customHeight="1" x14ac:dyDescent="0.15">
      <c r="A583" s="57"/>
      <c r="B583" s="57"/>
      <c r="C583" s="57"/>
      <c r="D583" s="103"/>
      <c r="E583" s="125"/>
      <c r="F583" s="125"/>
      <c r="G583" s="57"/>
      <c r="H583" s="57"/>
      <c r="I583" s="57"/>
      <c r="J583" s="57"/>
      <c r="K583" s="57"/>
      <c r="L583" s="57"/>
      <c r="M583" s="57"/>
      <c r="N583" s="57"/>
      <c r="O583" s="70"/>
      <c r="P583" s="57"/>
      <c r="Q583" s="24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220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149"/>
      <c r="AP583" s="149"/>
      <c r="AQ583" s="57"/>
      <c r="AR583" s="74"/>
      <c r="AS583" s="149"/>
      <c r="AT583" s="235"/>
      <c r="AU583" s="57"/>
      <c r="AV583" s="57"/>
      <c r="AW583" s="57"/>
      <c r="AX583" s="70"/>
      <c r="AY583" s="149"/>
      <c r="AZ583" s="112"/>
      <c r="BA583" s="236"/>
      <c r="BB583" s="236"/>
      <c r="BC583" s="152"/>
      <c r="BD583" s="152"/>
      <c r="BE583" s="236"/>
      <c r="BF583" s="262"/>
      <c r="BG583" s="262"/>
    </row>
    <row r="584" spans="1:59" ht="12.75" customHeight="1" x14ac:dyDescent="0.15">
      <c r="A584" s="57"/>
      <c r="B584" s="57"/>
      <c r="C584" s="57"/>
      <c r="D584" s="103"/>
      <c r="E584" s="125"/>
      <c r="F584" s="125"/>
      <c r="G584" s="57"/>
      <c r="H584" s="57"/>
      <c r="I584" s="57"/>
      <c r="J584" s="57"/>
      <c r="K584" s="57"/>
      <c r="L584" s="57"/>
      <c r="M584" s="57"/>
      <c r="N584" s="57"/>
      <c r="O584" s="70"/>
      <c r="P584" s="57"/>
      <c r="Q584" s="24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220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149"/>
      <c r="AP584" s="149"/>
      <c r="AQ584" s="57"/>
      <c r="AR584" s="74"/>
      <c r="AS584" s="149"/>
      <c r="AT584" s="235"/>
      <c r="AU584" s="57"/>
      <c r="AV584" s="57"/>
      <c r="AW584" s="57"/>
      <c r="AX584" s="70"/>
      <c r="AY584" s="149"/>
      <c r="AZ584" s="112"/>
      <c r="BA584" s="236"/>
      <c r="BB584" s="236"/>
      <c r="BC584" s="152"/>
      <c r="BD584" s="152"/>
      <c r="BE584" s="236"/>
      <c r="BF584" s="262"/>
      <c r="BG584" s="262"/>
    </row>
    <row r="585" spans="1:59" ht="12.75" customHeight="1" x14ac:dyDescent="0.15">
      <c r="A585" s="57"/>
      <c r="B585" s="57"/>
      <c r="C585" s="57"/>
      <c r="D585" s="103"/>
      <c r="E585" s="125"/>
      <c r="F585" s="125"/>
      <c r="G585" s="57"/>
      <c r="H585" s="57"/>
      <c r="I585" s="57"/>
      <c r="J585" s="57"/>
      <c r="K585" s="57"/>
      <c r="L585" s="57"/>
      <c r="M585" s="57"/>
      <c r="N585" s="57"/>
      <c r="O585" s="70"/>
      <c r="P585" s="57"/>
      <c r="Q585" s="24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220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149"/>
      <c r="AP585" s="149"/>
      <c r="AQ585" s="57"/>
      <c r="AR585" s="74"/>
      <c r="AS585" s="149"/>
      <c r="AT585" s="235"/>
      <c r="AU585" s="57"/>
      <c r="AV585" s="57"/>
      <c r="AW585" s="57"/>
      <c r="AX585" s="70"/>
      <c r="AY585" s="149"/>
      <c r="AZ585" s="112"/>
      <c r="BA585" s="236"/>
      <c r="BB585" s="236"/>
      <c r="BC585" s="152"/>
      <c r="BD585" s="152"/>
      <c r="BE585" s="236"/>
      <c r="BF585" s="262"/>
      <c r="BG585" s="262"/>
    </row>
    <row r="586" spans="1:59" ht="12.75" customHeight="1" x14ac:dyDescent="0.15">
      <c r="A586" s="57"/>
      <c r="B586" s="57"/>
      <c r="C586" s="57"/>
      <c r="D586" s="103"/>
      <c r="E586" s="125"/>
      <c r="F586" s="125"/>
      <c r="G586" s="57"/>
      <c r="H586" s="57"/>
      <c r="I586" s="57"/>
      <c r="J586" s="57"/>
      <c r="K586" s="57"/>
      <c r="L586" s="57"/>
      <c r="M586" s="57"/>
      <c r="N586" s="57"/>
      <c r="O586" s="70"/>
      <c r="P586" s="57"/>
      <c r="Q586" s="24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220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149"/>
      <c r="AP586" s="149"/>
      <c r="AQ586" s="57"/>
      <c r="AR586" s="74"/>
      <c r="AS586" s="149"/>
      <c r="AT586" s="235"/>
      <c r="AU586" s="57"/>
      <c r="AV586" s="57"/>
      <c r="AW586" s="57"/>
      <c r="AX586" s="70"/>
      <c r="AY586" s="149"/>
      <c r="AZ586" s="112"/>
      <c r="BA586" s="236"/>
      <c r="BB586" s="236"/>
      <c r="BC586" s="152"/>
      <c r="BD586" s="152"/>
      <c r="BE586" s="236"/>
      <c r="BF586" s="262"/>
      <c r="BG586" s="262"/>
    </row>
    <row r="587" spans="1:59" ht="12.75" customHeight="1" x14ac:dyDescent="0.15">
      <c r="A587" s="57"/>
      <c r="B587" s="57"/>
      <c r="C587" s="57"/>
      <c r="D587" s="103"/>
      <c r="E587" s="125"/>
      <c r="F587" s="125"/>
      <c r="G587" s="57"/>
      <c r="H587" s="57"/>
      <c r="I587" s="57"/>
      <c r="J587" s="57"/>
      <c r="K587" s="57"/>
      <c r="L587" s="57"/>
      <c r="M587" s="57"/>
      <c r="N587" s="57"/>
      <c r="O587" s="70"/>
      <c r="P587" s="57"/>
      <c r="Q587" s="24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220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149"/>
      <c r="AP587" s="149"/>
      <c r="AQ587" s="57"/>
      <c r="AR587" s="74"/>
      <c r="AS587" s="149"/>
      <c r="AT587" s="235"/>
      <c r="AU587" s="57"/>
      <c r="AV587" s="57"/>
      <c r="AW587" s="57"/>
      <c r="AX587" s="70"/>
      <c r="AY587" s="149"/>
      <c r="AZ587" s="112"/>
      <c r="BA587" s="236"/>
      <c r="BB587" s="236"/>
      <c r="BC587" s="152"/>
      <c r="BD587" s="152"/>
      <c r="BE587" s="236"/>
      <c r="BF587" s="262"/>
      <c r="BG587" s="262"/>
    </row>
    <row r="588" spans="1:59" ht="12.75" customHeight="1" x14ac:dyDescent="0.15">
      <c r="A588" s="57"/>
      <c r="B588" s="57"/>
      <c r="C588" s="57"/>
      <c r="D588" s="103"/>
      <c r="E588" s="125"/>
      <c r="F588" s="125"/>
      <c r="G588" s="57"/>
      <c r="H588" s="57"/>
      <c r="I588" s="57"/>
      <c r="J588" s="57"/>
      <c r="K588" s="57"/>
      <c r="L588" s="57"/>
      <c r="M588" s="57"/>
      <c r="N588" s="57"/>
      <c r="O588" s="70"/>
      <c r="P588" s="57"/>
      <c r="Q588" s="24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220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149"/>
      <c r="AP588" s="149"/>
      <c r="AQ588" s="57"/>
      <c r="AR588" s="74"/>
      <c r="AS588" s="149"/>
      <c r="AT588" s="235"/>
      <c r="AU588" s="57"/>
      <c r="AV588" s="57"/>
      <c r="AW588" s="57"/>
      <c r="AX588" s="70"/>
      <c r="AY588" s="149"/>
      <c r="AZ588" s="112"/>
      <c r="BA588" s="236"/>
      <c r="BB588" s="236"/>
      <c r="BC588" s="152"/>
      <c r="BD588" s="152"/>
      <c r="BE588" s="236"/>
      <c r="BF588" s="262"/>
      <c r="BG588" s="262"/>
    </row>
    <row r="589" spans="1:59" ht="12.75" customHeight="1" x14ac:dyDescent="0.15">
      <c r="A589" s="57"/>
      <c r="B589" s="57"/>
      <c r="C589" s="57"/>
      <c r="D589" s="103"/>
      <c r="E589" s="125"/>
      <c r="F589" s="125"/>
      <c r="G589" s="57"/>
      <c r="H589" s="57"/>
      <c r="I589" s="57"/>
      <c r="J589" s="57"/>
      <c r="K589" s="57"/>
      <c r="L589" s="57"/>
      <c r="M589" s="57"/>
      <c r="N589" s="57"/>
      <c r="O589" s="70"/>
      <c r="P589" s="57"/>
      <c r="Q589" s="24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220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149"/>
      <c r="AP589" s="149"/>
      <c r="AQ589" s="57"/>
      <c r="AR589" s="74"/>
      <c r="AS589" s="149"/>
      <c r="AT589" s="235"/>
      <c r="AU589" s="57"/>
      <c r="AV589" s="57"/>
      <c r="AW589" s="57"/>
      <c r="AX589" s="70"/>
      <c r="AY589" s="149"/>
      <c r="AZ589" s="112"/>
      <c r="BA589" s="236"/>
      <c r="BB589" s="236"/>
      <c r="BC589" s="152"/>
      <c r="BD589" s="152"/>
      <c r="BE589" s="236"/>
      <c r="BF589" s="262"/>
      <c r="BG589" s="262"/>
    </row>
    <row r="590" spans="1:59" ht="12.75" customHeight="1" x14ac:dyDescent="0.15">
      <c r="A590" s="57"/>
      <c r="B590" s="57"/>
      <c r="C590" s="57"/>
      <c r="D590" s="103"/>
      <c r="E590" s="125"/>
      <c r="F590" s="125"/>
      <c r="G590" s="57"/>
      <c r="H590" s="57"/>
      <c r="I590" s="57"/>
      <c r="J590" s="57"/>
      <c r="K590" s="57"/>
      <c r="L590" s="57"/>
      <c r="M590" s="57"/>
      <c r="N590" s="57"/>
      <c r="O590" s="70"/>
      <c r="P590" s="57"/>
      <c r="Q590" s="24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220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149"/>
      <c r="AP590" s="149"/>
      <c r="AQ590" s="57"/>
      <c r="AR590" s="74"/>
      <c r="AS590" s="149"/>
      <c r="AT590" s="235"/>
      <c r="AU590" s="57"/>
      <c r="AV590" s="57"/>
      <c r="AW590" s="57"/>
      <c r="AX590" s="70"/>
      <c r="AY590" s="149"/>
      <c r="AZ590" s="112"/>
      <c r="BA590" s="236"/>
      <c r="BB590" s="236"/>
      <c r="BC590" s="152"/>
      <c r="BD590" s="152"/>
      <c r="BE590" s="236"/>
      <c r="BF590" s="262"/>
      <c r="BG590" s="262"/>
    </row>
    <row r="591" spans="1:59" ht="12.75" customHeight="1" x14ac:dyDescent="0.15">
      <c r="A591" s="57"/>
      <c r="B591" s="57"/>
      <c r="C591" s="57"/>
      <c r="D591" s="103"/>
      <c r="E591" s="125"/>
      <c r="F591" s="125"/>
      <c r="G591" s="57"/>
      <c r="H591" s="57"/>
      <c r="I591" s="57"/>
      <c r="J591" s="57"/>
      <c r="K591" s="57"/>
      <c r="L591" s="57"/>
      <c r="M591" s="57"/>
      <c r="N591" s="57"/>
      <c r="O591" s="70"/>
      <c r="P591" s="57"/>
      <c r="Q591" s="24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220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149"/>
      <c r="AP591" s="149"/>
      <c r="AQ591" s="57"/>
      <c r="AR591" s="74"/>
      <c r="AS591" s="149"/>
      <c r="AT591" s="235"/>
      <c r="AU591" s="57"/>
      <c r="AV591" s="57"/>
      <c r="AW591" s="57"/>
      <c r="AX591" s="70"/>
      <c r="AY591" s="149"/>
      <c r="AZ591" s="112"/>
      <c r="BA591" s="236"/>
      <c r="BB591" s="236"/>
      <c r="BC591" s="152"/>
      <c r="BD591" s="152"/>
      <c r="BE591" s="236"/>
      <c r="BF591" s="262"/>
      <c r="BG591" s="262"/>
    </row>
    <row r="592" spans="1:59" ht="12.75" customHeight="1" x14ac:dyDescent="0.15">
      <c r="A592" s="57"/>
      <c r="B592" s="57"/>
      <c r="C592" s="57"/>
      <c r="D592" s="103"/>
      <c r="E592" s="125"/>
      <c r="F592" s="125"/>
      <c r="G592" s="57"/>
      <c r="H592" s="57"/>
      <c r="I592" s="57"/>
      <c r="J592" s="57"/>
      <c r="K592" s="57"/>
      <c r="L592" s="57"/>
      <c r="M592" s="57"/>
      <c r="N592" s="57"/>
      <c r="O592" s="70"/>
      <c r="P592" s="57"/>
      <c r="Q592" s="24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220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149"/>
      <c r="AP592" s="149"/>
      <c r="AQ592" s="57"/>
      <c r="AR592" s="74"/>
      <c r="AS592" s="149"/>
      <c r="AT592" s="235"/>
      <c r="AU592" s="57"/>
      <c r="AV592" s="57"/>
      <c r="AW592" s="57"/>
      <c r="AX592" s="70"/>
      <c r="AY592" s="149"/>
      <c r="AZ592" s="112"/>
      <c r="BA592" s="236"/>
      <c r="BB592" s="236"/>
      <c r="BC592" s="152"/>
      <c r="BD592" s="152"/>
      <c r="BE592" s="236"/>
      <c r="BF592" s="262"/>
      <c r="BG592" s="262"/>
    </row>
    <row r="593" spans="1:59" ht="12.75" customHeight="1" x14ac:dyDescent="0.15">
      <c r="A593" s="57"/>
      <c r="B593" s="57"/>
      <c r="C593" s="57"/>
      <c r="D593" s="103"/>
      <c r="E593" s="125"/>
      <c r="F593" s="125"/>
      <c r="G593" s="57"/>
      <c r="H593" s="57"/>
      <c r="I593" s="57"/>
      <c r="J593" s="57"/>
      <c r="K593" s="57"/>
      <c r="L593" s="57"/>
      <c r="M593" s="57"/>
      <c r="N593" s="57"/>
      <c r="O593" s="70"/>
      <c r="P593" s="57"/>
      <c r="Q593" s="24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220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149"/>
      <c r="AP593" s="149"/>
      <c r="AQ593" s="57"/>
      <c r="AR593" s="74"/>
      <c r="AS593" s="149"/>
      <c r="AT593" s="235"/>
      <c r="AU593" s="57"/>
      <c r="AV593" s="57"/>
      <c r="AW593" s="57"/>
      <c r="AX593" s="70"/>
      <c r="AY593" s="149"/>
      <c r="AZ593" s="112"/>
      <c r="BA593" s="236"/>
      <c r="BB593" s="236"/>
      <c r="BC593" s="152"/>
      <c r="BD593" s="152"/>
      <c r="BE593" s="236"/>
      <c r="BF593" s="262"/>
      <c r="BG593" s="262"/>
    </row>
    <row r="594" spans="1:59" ht="12.75" customHeight="1" x14ac:dyDescent="0.15">
      <c r="A594" s="57"/>
      <c r="B594" s="57"/>
      <c r="C594" s="57"/>
      <c r="D594" s="103"/>
      <c r="E594" s="125"/>
      <c r="F594" s="125"/>
      <c r="G594" s="57"/>
      <c r="H594" s="57"/>
      <c r="I594" s="57"/>
      <c r="J594" s="57"/>
      <c r="K594" s="57"/>
      <c r="L594" s="57"/>
      <c r="M594" s="57"/>
      <c r="N594" s="57"/>
      <c r="O594" s="70"/>
      <c r="P594" s="57"/>
      <c r="Q594" s="24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220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149"/>
      <c r="AP594" s="149"/>
      <c r="AQ594" s="57"/>
      <c r="AR594" s="74"/>
      <c r="AS594" s="149"/>
      <c r="AT594" s="235"/>
      <c r="AU594" s="57"/>
      <c r="AV594" s="57"/>
      <c r="AW594" s="57"/>
      <c r="AX594" s="70"/>
      <c r="AY594" s="149"/>
      <c r="AZ594" s="112"/>
      <c r="BA594" s="236"/>
      <c r="BB594" s="236"/>
      <c r="BC594" s="152"/>
      <c r="BD594" s="152"/>
      <c r="BE594" s="236"/>
      <c r="BF594" s="262"/>
      <c r="BG594" s="262"/>
    </row>
    <row r="595" spans="1:59" ht="12.75" customHeight="1" x14ac:dyDescent="0.15">
      <c r="A595" s="57"/>
      <c r="B595" s="57"/>
      <c r="C595" s="57"/>
      <c r="D595" s="103"/>
      <c r="E595" s="125"/>
      <c r="F595" s="125"/>
      <c r="G595" s="57"/>
      <c r="H595" s="57"/>
      <c r="I595" s="57"/>
      <c r="J595" s="57"/>
      <c r="K595" s="57"/>
      <c r="L595" s="57"/>
      <c r="M595" s="57"/>
      <c r="N595" s="57"/>
      <c r="O595" s="70"/>
      <c r="P595" s="57"/>
      <c r="Q595" s="24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220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149"/>
      <c r="AP595" s="149"/>
      <c r="AQ595" s="57"/>
      <c r="AR595" s="74"/>
      <c r="AS595" s="149"/>
      <c r="AT595" s="235"/>
      <c r="AU595" s="57"/>
      <c r="AV595" s="57"/>
      <c r="AW595" s="57"/>
      <c r="AX595" s="70"/>
      <c r="AY595" s="149"/>
      <c r="AZ595" s="112"/>
      <c r="BA595" s="236"/>
      <c r="BB595" s="236"/>
      <c r="BC595" s="152"/>
      <c r="BD595" s="152"/>
      <c r="BE595" s="236"/>
      <c r="BF595" s="262"/>
      <c r="BG595" s="262"/>
    </row>
    <row r="596" spans="1:59" ht="12.75" customHeight="1" x14ac:dyDescent="0.15">
      <c r="A596" s="57"/>
      <c r="B596" s="57"/>
      <c r="C596" s="57"/>
      <c r="D596" s="103"/>
      <c r="E596" s="125"/>
      <c r="F596" s="125"/>
      <c r="G596" s="57"/>
      <c r="H596" s="57"/>
      <c r="I596" s="57"/>
      <c r="J596" s="57"/>
      <c r="K596" s="57"/>
      <c r="L596" s="57"/>
      <c r="M596" s="57"/>
      <c r="N596" s="57"/>
      <c r="O596" s="70"/>
      <c r="P596" s="57"/>
      <c r="Q596" s="24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220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149"/>
      <c r="AP596" s="149"/>
      <c r="AQ596" s="57"/>
      <c r="AR596" s="74"/>
      <c r="AS596" s="149"/>
      <c r="AT596" s="235"/>
      <c r="AU596" s="57"/>
      <c r="AV596" s="57"/>
      <c r="AW596" s="57"/>
      <c r="AX596" s="70"/>
      <c r="AY596" s="149"/>
      <c r="AZ596" s="112"/>
      <c r="BA596" s="236"/>
      <c r="BB596" s="236"/>
      <c r="BC596" s="152"/>
      <c r="BD596" s="152"/>
      <c r="BE596" s="236"/>
      <c r="BF596" s="262"/>
      <c r="BG596" s="262"/>
    </row>
    <row r="597" spans="1:59" ht="12.75" customHeight="1" x14ac:dyDescent="0.15">
      <c r="A597" s="57"/>
      <c r="B597" s="57"/>
      <c r="C597" s="57"/>
      <c r="D597" s="103"/>
      <c r="E597" s="125"/>
      <c r="F597" s="125"/>
      <c r="G597" s="57"/>
      <c r="H597" s="57"/>
      <c r="I597" s="57"/>
      <c r="J597" s="57"/>
      <c r="K597" s="57"/>
      <c r="L597" s="57"/>
      <c r="M597" s="57"/>
      <c r="N597" s="57"/>
      <c r="O597" s="70"/>
      <c r="P597" s="57"/>
      <c r="Q597" s="24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220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149"/>
      <c r="AP597" s="149"/>
      <c r="AQ597" s="57"/>
      <c r="AR597" s="74"/>
      <c r="AS597" s="149"/>
      <c r="AT597" s="235"/>
      <c r="AU597" s="57"/>
      <c r="AV597" s="57"/>
      <c r="AW597" s="57"/>
      <c r="AX597" s="70"/>
      <c r="AY597" s="149"/>
      <c r="AZ597" s="112"/>
      <c r="BA597" s="236"/>
      <c r="BB597" s="236"/>
      <c r="BC597" s="152"/>
      <c r="BD597" s="152"/>
      <c r="BE597" s="236"/>
      <c r="BF597" s="262"/>
      <c r="BG597" s="262"/>
    </row>
    <row r="598" spans="1:59" ht="12.75" customHeight="1" x14ac:dyDescent="0.15">
      <c r="A598" s="57"/>
      <c r="B598" s="57"/>
      <c r="C598" s="57"/>
      <c r="D598" s="103"/>
      <c r="E598" s="125"/>
      <c r="F598" s="125"/>
      <c r="G598" s="57"/>
      <c r="H598" s="57"/>
      <c r="I598" s="57"/>
      <c r="J598" s="57"/>
      <c r="K598" s="57"/>
      <c r="L598" s="57"/>
      <c r="M598" s="57"/>
      <c r="N598" s="57"/>
      <c r="O598" s="70"/>
      <c r="P598" s="57"/>
      <c r="Q598" s="24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220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149"/>
      <c r="AP598" s="149"/>
      <c r="AQ598" s="57"/>
      <c r="AR598" s="74"/>
      <c r="AS598" s="149"/>
      <c r="AT598" s="235"/>
      <c r="AU598" s="57"/>
      <c r="AV598" s="57"/>
      <c r="AW598" s="57"/>
      <c r="AX598" s="70"/>
      <c r="AY598" s="149"/>
      <c r="AZ598" s="112"/>
      <c r="BA598" s="236"/>
      <c r="BB598" s="236"/>
      <c r="BC598" s="152"/>
      <c r="BD598" s="152"/>
      <c r="BE598" s="236"/>
      <c r="BF598" s="262"/>
      <c r="BG598" s="262"/>
    </row>
    <row r="599" spans="1:59" ht="12.75" customHeight="1" x14ac:dyDescent="0.15">
      <c r="A599" s="57"/>
      <c r="B599" s="57"/>
      <c r="C599" s="57"/>
      <c r="D599" s="103"/>
      <c r="E599" s="125"/>
      <c r="F599" s="125"/>
      <c r="G599" s="57"/>
      <c r="H599" s="57"/>
      <c r="I599" s="57"/>
      <c r="J599" s="57"/>
      <c r="K599" s="57"/>
      <c r="L599" s="57"/>
      <c r="M599" s="57"/>
      <c r="N599" s="57"/>
      <c r="O599" s="70"/>
      <c r="P599" s="57"/>
      <c r="Q599" s="24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220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149"/>
      <c r="AP599" s="149"/>
      <c r="AQ599" s="57"/>
      <c r="AR599" s="74"/>
      <c r="AS599" s="149"/>
      <c r="AT599" s="235"/>
      <c r="AU599" s="57"/>
      <c r="AV599" s="57"/>
      <c r="AW599" s="57"/>
      <c r="AX599" s="70"/>
      <c r="AY599" s="149"/>
      <c r="AZ599" s="112"/>
      <c r="BA599" s="236"/>
      <c r="BB599" s="236"/>
      <c r="BC599" s="152"/>
      <c r="BD599" s="152"/>
      <c r="BE599" s="236"/>
      <c r="BF599" s="262"/>
      <c r="BG599" s="262"/>
    </row>
    <row r="600" spans="1:59" ht="12.75" customHeight="1" x14ac:dyDescent="0.15">
      <c r="A600" s="57"/>
      <c r="B600" s="57"/>
      <c r="C600" s="57"/>
      <c r="D600" s="103"/>
      <c r="E600" s="125"/>
      <c r="F600" s="125"/>
      <c r="G600" s="57"/>
      <c r="H600" s="57"/>
      <c r="I600" s="57"/>
      <c r="J600" s="57"/>
      <c r="K600" s="57"/>
      <c r="L600" s="57"/>
      <c r="M600" s="57"/>
      <c r="N600" s="57"/>
      <c r="O600" s="70"/>
      <c r="P600" s="57"/>
      <c r="Q600" s="24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220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149"/>
      <c r="AP600" s="149"/>
      <c r="AQ600" s="57"/>
      <c r="AR600" s="74"/>
      <c r="AS600" s="149"/>
      <c r="AT600" s="235"/>
      <c r="AU600" s="57"/>
      <c r="AV600" s="57"/>
      <c r="AW600" s="57"/>
      <c r="AX600" s="70"/>
      <c r="AY600" s="149"/>
      <c r="AZ600" s="112"/>
      <c r="BA600" s="236"/>
      <c r="BB600" s="236"/>
      <c r="BC600" s="152"/>
      <c r="BD600" s="152"/>
      <c r="BE600" s="236"/>
      <c r="BF600" s="262"/>
      <c r="BG600" s="262"/>
    </row>
    <row r="601" spans="1:59" ht="12.75" customHeight="1" x14ac:dyDescent="0.15">
      <c r="A601" s="57"/>
      <c r="B601" s="57"/>
      <c r="C601" s="57"/>
      <c r="D601" s="103"/>
      <c r="E601" s="125"/>
      <c r="F601" s="125"/>
      <c r="G601" s="57"/>
      <c r="H601" s="57"/>
      <c r="I601" s="57"/>
      <c r="J601" s="57"/>
      <c r="K601" s="57"/>
      <c r="L601" s="57"/>
      <c r="M601" s="57"/>
      <c r="N601" s="57"/>
      <c r="O601" s="70"/>
      <c r="P601" s="57"/>
      <c r="Q601" s="24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220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149"/>
      <c r="AP601" s="149"/>
      <c r="AQ601" s="57"/>
      <c r="AR601" s="74"/>
      <c r="AS601" s="149"/>
      <c r="AT601" s="235"/>
      <c r="AU601" s="57"/>
      <c r="AV601" s="57"/>
      <c r="AW601" s="57"/>
      <c r="AX601" s="70"/>
      <c r="AY601" s="149"/>
      <c r="AZ601" s="112"/>
      <c r="BA601" s="236"/>
      <c r="BB601" s="236"/>
      <c r="BC601" s="152"/>
      <c r="BD601" s="152"/>
      <c r="BE601" s="236"/>
      <c r="BF601" s="262"/>
      <c r="BG601" s="262"/>
    </row>
    <row r="602" spans="1:59" ht="12.75" customHeight="1" x14ac:dyDescent="0.15">
      <c r="A602" s="57"/>
      <c r="B602" s="57"/>
      <c r="C602" s="57"/>
      <c r="D602" s="103"/>
      <c r="E602" s="125"/>
      <c r="F602" s="125"/>
      <c r="G602" s="57"/>
      <c r="H602" s="57"/>
      <c r="I602" s="57"/>
      <c r="J602" s="57"/>
      <c r="K602" s="57"/>
      <c r="L602" s="57"/>
      <c r="M602" s="57"/>
      <c r="N602" s="57"/>
      <c r="O602" s="70"/>
      <c r="P602" s="57"/>
      <c r="Q602" s="24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220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149"/>
      <c r="AP602" s="149"/>
      <c r="AQ602" s="57"/>
      <c r="AR602" s="74"/>
      <c r="AS602" s="149"/>
      <c r="AT602" s="235"/>
      <c r="AU602" s="57"/>
      <c r="AV602" s="57"/>
      <c r="AW602" s="57"/>
      <c r="AX602" s="70"/>
      <c r="AY602" s="149"/>
      <c r="AZ602" s="112"/>
      <c r="BA602" s="236"/>
      <c r="BB602" s="236"/>
      <c r="BC602" s="152"/>
      <c r="BD602" s="152"/>
      <c r="BE602" s="236"/>
      <c r="BF602" s="262"/>
      <c r="BG602" s="262"/>
    </row>
    <row r="603" spans="1:59" ht="12.75" customHeight="1" x14ac:dyDescent="0.15">
      <c r="A603" s="57"/>
      <c r="B603" s="57"/>
      <c r="C603" s="57"/>
      <c r="D603" s="103"/>
      <c r="E603" s="125"/>
      <c r="F603" s="125"/>
      <c r="G603" s="57"/>
      <c r="H603" s="57"/>
      <c r="I603" s="57"/>
      <c r="J603" s="57"/>
      <c r="K603" s="57"/>
      <c r="L603" s="57"/>
      <c r="M603" s="57"/>
      <c r="N603" s="57"/>
      <c r="O603" s="70"/>
      <c r="P603" s="57"/>
      <c r="Q603" s="24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220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149"/>
      <c r="AP603" s="149"/>
      <c r="AQ603" s="57"/>
      <c r="AR603" s="74"/>
      <c r="AS603" s="149"/>
      <c r="AT603" s="235"/>
      <c r="AU603" s="57"/>
      <c r="AV603" s="57"/>
      <c r="AW603" s="57"/>
      <c r="AX603" s="70"/>
      <c r="AY603" s="149"/>
      <c r="AZ603" s="112"/>
      <c r="BA603" s="236"/>
      <c r="BB603" s="236"/>
      <c r="BC603" s="152"/>
      <c r="BD603" s="152"/>
      <c r="BE603" s="236"/>
      <c r="BF603" s="262"/>
      <c r="BG603" s="262"/>
    </row>
    <row r="604" spans="1:59" ht="12.75" customHeight="1" x14ac:dyDescent="0.15">
      <c r="A604" s="57"/>
      <c r="B604" s="57"/>
      <c r="C604" s="57"/>
      <c r="D604" s="103"/>
      <c r="E604" s="125"/>
      <c r="F604" s="125"/>
      <c r="G604" s="57"/>
      <c r="H604" s="57"/>
      <c r="I604" s="57"/>
      <c r="J604" s="57"/>
      <c r="K604" s="57"/>
      <c r="L604" s="57"/>
      <c r="M604" s="57"/>
      <c r="N604" s="57"/>
      <c r="O604" s="70"/>
      <c r="P604" s="57"/>
      <c r="Q604" s="24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220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149"/>
      <c r="AP604" s="149"/>
      <c r="AQ604" s="57"/>
      <c r="AR604" s="74"/>
      <c r="AS604" s="149"/>
      <c r="AT604" s="235"/>
      <c r="AU604" s="57"/>
      <c r="AV604" s="57"/>
      <c r="AW604" s="57"/>
      <c r="AX604" s="70"/>
      <c r="AY604" s="149"/>
      <c r="AZ604" s="112"/>
      <c r="BA604" s="236"/>
      <c r="BB604" s="236"/>
      <c r="BC604" s="152"/>
      <c r="BD604" s="152"/>
      <c r="BE604" s="236"/>
      <c r="BF604" s="262"/>
      <c r="BG604" s="262"/>
    </row>
    <row r="605" spans="1:59" ht="12.75" customHeight="1" x14ac:dyDescent="0.15">
      <c r="A605" s="57"/>
      <c r="B605" s="57"/>
      <c r="C605" s="57"/>
      <c r="D605" s="103"/>
      <c r="E605" s="125"/>
      <c r="F605" s="125"/>
      <c r="G605" s="57"/>
      <c r="H605" s="57"/>
      <c r="I605" s="57"/>
      <c r="J605" s="57"/>
      <c r="K605" s="57"/>
      <c r="L605" s="57"/>
      <c r="M605" s="57"/>
      <c r="N605" s="57"/>
      <c r="O605" s="70"/>
      <c r="P605" s="57"/>
      <c r="Q605" s="24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220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149"/>
      <c r="AP605" s="149"/>
      <c r="AQ605" s="57"/>
      <c r="AR605" s="74"/>
      <c r="AS605" s="149"/>
      <c r="AT605" s="235"/>
      <c r="AU605" s="57"/>
      <c r="AV605" s="57"/>
      <c r="AW605" s="57"/>
      <c r="AX605" s="70"/>
      <c r="AY605" s="149"/>
      <c r="AZ605" s="112"/>
      <c r="BA605" s="236"/>
      <c r="BB605" s="236"/>
      <c r="BC605" s="152"/>
      <c r="BD605" s="152"/>
      <c r="BE605" s="236"/>
      <c r="BF605" s="262"/>
      <c r="BG605" s="262"/>
    </row>
    <row r="606" spans="1:59" ht="12.75" customHeight="1" x14ac:dyDescent="0.15">
      <c r="A606" s="57"/>
      <c r="B606" s="57"/>
      <c r="C606" s="57"/>
      <c r="D606" s="103"/>
      <c r="E606" s="125"/>
      <c r="F606" s="125"/>
      <c r="G606" s="57"/>
      <c r="H606" s="57"/>
      <c r="I606" s="57"/>
      <c r="J606" s="57"/>
      <c r="K606" s="57"/>
      <c r="L606" s="57"/>
      <c r="M606" s="57"/>
      <c r="N606" s="57"/>
      <c r="O606" s="70"/>
      <c r="P606" s="57"/>
      <c r="Q606" s="24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220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149"/>
      <c r="AP606" s="149"/>
      <c r="AQ606" s="57"/>
      <c r="AR606" s="74"/>
      <c r="AS606" s="149"/>
      <c r="AT606" s="235"/>
      <c r="AU606" s="57"/>
      <c r="AV606" s="57"/>
      <c r="AW606" s="57"/>
      <c r="AX606" s="70"/>
      <c r="AY606" s="149"/>
      <c r="AZ606" s="112"/>
      <c r="BA606" s="236"/>
      <c r="BB606" s="236"/>
      <c r="BC606" s="152"/>
      <c r="BD606" s="152"/>
      <c r="BE606" s="236"/>
      <c r="BF606" s="262"/>
      <c r="BG606" s="262"/>
    </row>
    <row r="607" spans="1:59" ht="12.75" customHeight="1" x14ac:dyDescent="0.15">
      <c r="A607" s="57"/>
      <c r="B607" s="57"/>
      <c r="C607" s="57"/>
      <c r="D607" s="103"/>
      <c r="E607" s="125"/>
      <c r="F607" s="125"/>
      <c r="G607" s="57"/>
      <c r="H607" s="57"/>
      <c r="I607" s="57"/>
      <c r="J607" s="57"/>
      <c r="K607" s="57"/>
      <c r="L607" s="57"/>
      <c r="M607" s="57"/>
      <c r="N607" s="57"/>
      <c r="O607" s="70"/>
      <c r="P607" s="57"/>
      <c r="Q607" s="24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220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149"/>
      <c r="AP607" s="149"/>
      <c r="AQ607" s="57"/>
      <c r="AR607" s="74"/>
      <c r="AS607" s="149"/>
      <c r="AT607" s="235"/>
      <c r="AU607" s="57"/>
      <c r="AV607" s="57"/>
      <c r="AW607" s="57"/>
      <c r="AX607" s="70"/>
      <c r="AY607" s="149"/>
      <c r="AZ607" s="112"/>
      <c r="BA607" s="236"/>
      <c r="BB607" s="236"/>
      <c r="BC607" s="152"/>
      <c r="BD607" s="152"/>
      <c r="BE607" s="236"/>
      <c r="BF607" s="262"/>
      <c r="BG607" s="262"/>
    </row>
    <row r="608" spans="1:59" ht="12.75" customHeight="1" x14ac:dyDescent="0.15">
      <c r="A608" s="57"/>
      <c r="B608" s="57"/>
      <c r="C608" s="57"/>
      <c r="D608" s="103"/>
      <c r="E608" s="125"/>
      <c r="F608" s="125"/>
      <c r="G608" s="57"/>
      <c r="H608" s="57"/>
      <c r="I608" s="57"/>
      <c r="J608" s="57"/>
      <c r="K608" s="57"/>
      <c r="L608" s="57"/>
      <c r="M608" s="57"/>
      <c r="N608" s="57"/>
      <c r="O608" s="70"/>
      <c r="P608" s="57"/>
      <c r="Q608" s="24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220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149"/>
      <c r="AP608" s="149"/>
      <c r="AQ608" s="57"/>
      <c r="AR608" s="74"/>
      <c r="AS608" s="149"/>
      <c r="AT608" s="235"/>
      <c r="AU608" s="57"/>
      <c r="AV608" s="57"/>
      <c r="AW608" s="57"/>
      <c r="AX608" s="70"/>
      <c r="AY608" s="149"/>
      <c r="AZ608" s="112"/>
      <c r="BA608" s="236"/>
      <c r="BB608" s="236"/>
      <c r="BC608" s="152"/>
      <c r="BD608" s="152"/>
      <c r="BE608" s="236"/>
      <c r="BF608" s="262"/>
      <c r="BG608" s="262"/>
    </row>
    <row r="609" spans="1:59" ht="12.75" customHeight="1" x14ac:dyDescent="0.15">
      <c r="A609" s="57"/>
      <c r="B609" s="57"/>
      <c r="C609" s="57"/>
      <c r="D609" s="103"/>
      <c r="E609" s="125"/>
      <c r="F609" s="125"/>
      <c r="G609" s="57"/>
      <c r="H609" s="57"/>
      <c r="I609" s="57"/>
      <c r="J609" s="57"/>
      <c r="K609" s="57"/>
      <c r="L609" s="57"/>
      <c r="M609" s="57"/>
      <c r="N609" s="57"/>
      <c r="O609" s="70"/>
      <c r="P609" s="57"/>
      <c r="Q609" s="24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220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149"/>
      <c r="AP609" s="149"/>
      <c r="AQ609" s="57"/>
      <c r="AR609" s="74"/>
      <c r="AS609" s="149"/>
      <c r="AT609" s="235"/>
      <c r="AU609" s="57"/>
      <c r="AV609" s="57"/>
      <c r="AW609" s="57"/>
      <c r="AX609" s="70"/>
      <c r="AY609" s="149"/>
      <c r="AZ609" s="112"/>
      <c r="BA609" s="236"/>
      <c r="BB609" s="236"/>
      <c r="BC609" s="152"/>
      <c r="BD609" s="152"/>
      <c r="BE609" s="236"/>
      <c r="BF609" s="262"/>
      <c r="BG609" s="262"/>
    </row>
    <row r="610" spans="1:59" ht="12.75" customHeight="1" x14ac:dyDescent="0.15">
      <c r="A610" s="57"/>
      <c r="B610" s="57"/>
      <c r="C610" s="57"/>
      <c r="D610" s="103"/>
      <c r="E610" s="125"/>
      <c r="F610" s="125"/>
      <c r="G610" s="57"/>
      <c r="H610" s="57"/>
      <c r="I610" s="57"/>
      <c r="J610" s="57"/>
      <c r="K610" s="57"/>
      <c r="L610" s="57"/>
      <c r="M610" s="57"/>
      <c r="N610" s="57"/>
      <c r="O610" s="70"/>
      <c r="P610" s="57"/>
      <c r="Q610" s="24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220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149"/>
      <c r="AP610" s="149"/>
      <c r="AQ610" s="57"/>
      <c r="AR610" s="74"/>
      <c r="AS610" s="149"/>
      <c r="AT610" s="235"/>
      <c r="AU610" s="57"/>
      <c r="AV610" s="57"/>
      <c r="AW610" s="57"/>
      <c r="AX610" s="70"/>
      <c r="AY610" s="149"/>
      <c r="AZ610" s="112"/>
      <c r="BA610" s="236"/>
      <c r="BB610" s="236"/>
      <c r="BC610" s="152"/>
      <c r="BD610" s="152"/>
      <c r="BE610" s="236"/>
      <c r="BF610" s="262"/>
      <c r="BG610" s="262"/>
    </row>
    <row r="611" spans="1:59" ht="12.75" customHeight="1" x14ac:dyDescent="0.15">
      <c r="A611" s="57"/>
      <c r="B611" s="57"/>
      <c r="C611" s="57"/>
      <c r="D611" s="103"/>
      <c r="E611" s="125"/>
      <c r="F611" s="125"/>
      <c r="G611" s="57"/>
      <c r="H611" s="57"/>
      <c r="I611" s="57"/>
      <c r="J611" s="57"/>
      <c r="K611" s="57"/>
      <c r="L611" s="57"/>
      <c r="M611" s="57"/>
      <c r="N611" s="57"/>
      <c r="O611" s="70"/>
      <c r="P611" s="57"/>
      <c r="Q611" s="24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220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149"/>
      <c r="AP611" s="149"/>
      <c r="AQ611" s="57"/>
      <c r="AR611" s="74"/>
      <c r="AS611" s="149"/>
      <c r="AT611" s="235"/>
      <c r="AU611" s="57"/>
      <c r="AV611" s="57"/>
      <c r="AW611" s="57"/>
      <c r="AX611" s="70"/>
      <c r="AY611" s="149"/>
      <c r="AZ611" s="112"/>
      <c r="BA611" s="236"/>
      <c r="BB611" s="236"/>
      <c r="BC611" s="152"/>
      <c r="BD611" s="152"/>
      <c r="BE611" s="236"/>
      <c r="BF611" s="262"/>
      <c r="BG611" s="262"/>
    </row>
    <row r="612" spans="1:59" ht="12.75" customHeight="1" x14ac:dyDescent="0.15">
      <c r="A612" s="57"/>
      <c r="B612" s="57"/>
      <c r="C612" s="57"/>
      <c r="D612" s="103"/>
      <c r="E612" s="125"/>
      <c r="F612" s="125"/>
      <c r="G612" s="57"/>
      <c r="H612" s="57"/>
      <c r="I612" s="57"/>
      <c r="J612" s="57"/>
      <c r="K612" s="57"/>
      <c r="L612" s="57"/>
      <c r="M612" s="57"/>
      <c r="N612" s="57"/>
      <c r="O612" s="70"/>
      <c r="P612" s="57"/>
      <c r="Q612" s="24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220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149"/>
      <c r="AP612" s="149"/>
      <c r="AQ612" s="57"/>
      <c r="AR612" s="74"/>
      <c r="AS612" s="149"/>
      <c r="AT612" s="235"/>
      <c r="AU612" s="57"/>
      <c r="AV612" s="57"/>
      <c r="AW612" s="57"/>
      <c r="AX612" s="70"/>
      <c r="AY612" s="149"/>
      <c r="AZ612" s="112"/>
      <c r="BA612" s="236"/>
      <c r="BB612" s="236"/>
      <c r="BC612" s="152"/>
      <c r="BD612" s="152"/>
      <c r="BE612" s="236"/>
      <c r="BF612" s="262"/>
      <c r="BG612" s="262"/>
    </row>
    <row r="613" spans="1:59" ht="12.75" customHeight="1" x14ac:dyDescent="0.15">
      <c r="A613" s="57"/>
      <c r="B613" s="57"/>
      <c r="C613" s="57"/>
      <c r="D613" s="103"/>
      <c r="E613" s="125"/>
      <c r="F613" s="125"/>
      <c r="G613" s="57"/>
      <c r="H613" s="57"/>
      <c r="I613" s="57"/>
      <c r="J613" s="57"/>
      <c r="K613" s="57"/>
      <c r="L613" s="57"/>
      <c r="M613" s="57"/>
      <c r="N613" s="57"/>
      <c r="O613" s="70"/>
      <c r="P613" s="57"/>
      <c r="Q613" s="24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220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149"/>
      <c r="AP613" s="149"/>
      <c r="AQ613" s="57"/>
      <c r="AR613" s="74"/>
      <c r="AS613" s="149"/>
      <c r="AT613" s="235"/>
      <c r="AU613" s="57"/>
      <c r="AV613" s="57"/>
      <c r="AW613" s="57"/>
      <c r="AX613" s="70"/>
      <c r="AY613" s="149"/>
      <c r="AZ613" s="112"/>
      <c r="BA613" s="236"/>
      <c r="BB613" s="236"/>
      <c r="BC613" s="152"/>
      <c r="BD613" s="152"/>
      <c r="BE613" s="236"/>
      <c r="BF613" s="262"/>
      <c r="BG613" s="262"/>
    </row>
    <row r="614" spans="1:59" ht="12.75" customHeight="1" x14ac:dyDescent="0.15">
      <c r="A614" s="57"/>
      <c r="B614" s="57"/>
      <c r="C614" s="57"/>
      <c r="D614" s="103"/>
      <c r="E614" s="125"/>
      <c r="F614" s="125"/>
      <c r="G614" s="57"/>
      <c r="H614" s="57"/>
      <c r="I614" s="57"/>
      <c r="J614" s="57"/>
      <c r="K614" s="57"/>
      <c r="L614" s="57"/>
      <c r="M614" s="57"/>
      <c r="N614" s="57"/>
      <c r="O614" s="70"/>
      <c r="P614" s="57"/>
      <c r="Q614" s="24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220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149"/>
      <c r="AP614" s="149"/>
      <c r="AQ614" s="57"/>
      <c r="AR614" s="74"/>
      <c r="AS614" s="149"/>
      <c r="AT614" s="235"/>
      <c r="AU614" s="57"/>
      <c r="AV614" s="57"/>
      <c r="AW614" s="57"/>
      <c r="AX614" s="70"/>
      <c r="AY614" s="149"/>
      <c r="AZ614" s="112"/>
      <c r="BA614" s="236"/>
      <c r="BB614" s="236"/>
      <c r="BC614" s="152"/>
      <c r="BD614" s="152"/>
      <c r="BE614" s="236"/>
      <c r="BF614" s="262"/>
      <c r="BG614" s="262"/>
    </row>
    <row r="615" spans="1:59" ht="12.75" customHeight="1" x14ac:dyDescent="0.15">
      <c r="A615" s="57"/>
      <c r="B615" s="57"/>
      <c r="C615" s="57"/>
      <c r="D615" s="103"/>
      <c r="E615" s="125"/>
      <c r="F615" s="125"/>
      <c r="G615" s="57"/>
      <c r="H615" s="57"/>
      <c r="I615" s="57"/>
      <c r="J615" s="57"/>
      <c r="K615" s="57"/>
      <c r="L615" s="57"/>
      <c r="M615" s="57"/>
      <c r="N615" s="57"/>
      <c r="O615" s="70"/>
      <c r="P615" s="57"/>
      <c r="Q615" s="24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220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149"/>
      <c r="AP615" s="149"/>
      <c r="AQ615" s="57"/>
      <c r="AR615" s="74"/>
      <c r="AS615" s="149"/>
      <c r="AT615" s="235"/>
      <c r="AU615" s="57"/>
      <c r="AV615" s="57"/>
      <c r="AW615" s="57"/>
      <c r="AX615" s="70"/>
      <c r="AY615" s="149"/>
      <c r="AZ615" s="112"/>
      <c r="BA615" s="236"/>
      <c r="BB615" s="236"/>
      <c r="BC615" s="152"/>
      <c r="BD615" s="152"/>
      <c r="BE615" s="236"/>
      <c r="BF615" s="262"/>
      <c r="BG615" s="262"/>
    </row>
    <row r="616" spans="1:59" ht="12.75" customHeight="1" x14ac:dyDescent="0.15">
      <c r="A616" s="57"/>
      <c r="B616" s="57"/>
      <c r="C616" s="57"/>
      <c r="D616" s="103"/>
      <c r="E616" s="125"/>
      <c r="F616" s="125"/>
      <c r="G616" s="57"/>
      <c r="H616" s="57"/>
      <c r="I616" s="57"/>
      <c r="J616" s="57"/>
      <c r="K616" s="57"/>
      <c r="L616" s="57"/>
      <c r="M616" s="57"/>
      <c r="N616" s="57"/>
      <c r="O616" s="70"/>
      <c r="P616" s="57"/>
      <c r="Q616" s="24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220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149"/>
      <c r="AP616" s="149"/>
      <c r="AQ616" s="57"/>
      <c r="AR616" s="74"/>
      <c r="AS616" s="149"/>
      <c r="AT616" s="235"/>
      <c r="AU616" s="57"/>
      <c r="AV616" s="57"/>
      <c r="AW616" s="57"/>
      <c r="AX616" s="70"/>
      <c r="AY616" s="149"/>
      <c r="AZ616" s="112"/>
      <c r="BA616" s="236"/>
      <c r="BB616" s="236"/>
      <c r="BC616" s="152"/>
      <c r="BD616" s="152"/>
      <c r="BE616" s="236"/>
      <c r="BF616" s="262"/>
      <c r="BG616" s="262"/>
    </row>
    <row r="617" spans="1:59" ht="12.75" customHeight="1" x14ac:dyDescent="0.15">
      <c r="A617" s="57"/>
      <c r="B617" s="57"/>
      <c r="C617" s="57"/>
      <c r="D617" s="103"/>
      <c r="E617" s="125"/>
      <c r="F617" s="125"/>
      <c r="G617" s="57"/>
      <c r="H617" s="57"/>
      <c r="I617" s="57"/>
      <c r="J617" s="57"/>
      <c r="K617" s="57"/>
      <c r="L617" s="57"/>
      <c r="M617" s="57"/>
      <c r="N617" s="57"/>
      <c r="O617" s="70"/>
      <c r="P617" s="57"/>
      <c r="Q617" s="24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220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149"/>
      <c r="AP617" s="149"/>
      <c r="AQ617" s="57"/>
      <c r="AR617" s="74"/>
      <c r="AS617" s="149"/>
      <c r="AT617" s="235"/>
      <c r="AU617" s="57"/>
      <c r="AV617" s="57"/>
      <c r="AW617" s="57"/>
      <c r="AX617" s="70"/>
      <c r="AY617" s="149"/>
      <c r="AZ617" s="112"/>
      <c r="BA617" s="236"/>
      <c r="BB617" s="236"/>
      <c r="BC617" s="152"/>
      <c r="BD617" s="152"/>
      <c r="BE617" s="236"/>
      <c r="BF617" s="262"/>
      <c r="BG617" s="262"/>
    </row>
    <row r="618" spans="1:59" ht="12.75" customHeight="1" x14ac:dyDescent="0.15">
      <c r="A618" s="57"/>
      <c r="B618" s="57"/>
      <c r="C618" s="57"/>
      <c r="D618" s="103"/>
      <c r="E618" s="125"/>
      <c r="F618" s="125"/>
      <c r="G618" s="57"/>
      <c r="H618" s="57"/>
      <c r="I618" s="57"/>
      <c r="J618" s="57"/>
      <c r="K618" s="57"/>
      <c r="L618" s="57"/>
      <c r="M618" s="57"/>
      <c r="N618" s="57"/>
      <c r="O618" s="70"/>
      <c r="P618" s="57"/>
      <c r="Q618" s="24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220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149"/>
      <c r="AP618" s="149"/>
      <c r="AQ618" s="57"/>
      <c r="AR618" s="74"/>
      <c r="AS618" s="149"/>
      <c r="AT618" s="235"/>
      <c r="AU618" s="57"/>
      <c r="AV618" s="57"/>
      <c r="AW618" s="57"/>
      <c r="AX618" s="70"/>
      <c r="AY618" s="149"/>
      <c r="AZ618" s="112"/>
      <c r="BA618" s="236"/>
      <c r="BB618" s="236"/>
      <c r="BC618" s="152"/>
      <c r="BD618" s="152"/>
      <c r="BE618" s="236"/>
      <c r="BF618" s="262"/>
      <c r="BG618" s="262"/>
    </row>
    <row r="619" spans="1:59" ht="12.75" customHeight="1" x14ac:dyDescent="0.15">
      <c r="A619" s="57"/>
      <c r="B619" s="57"/>
      <c r="C619" s="57"/>
      <c r="D619" s="103"/>
      <c r="E619" s="125"/>
      <c r="F619" s="125"/>
      <c r="G619" s="57"/>
      <c r="H619" s="57"/>
      <c r="I619" s="57"/>
      <c r="J619" s="57"/>
      <c r="K619" s="57"/>
      <c r="L619" s="57"/>
      <c r="M619" s="57"/>
      <c r="N619" s="57"/>
      <c r="O619" s="70"/>
      <c r="P619" s="57"/>
      <c r="Q619" s="24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220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149"/>
      <c r="AP619" s="149"/>
      <c r="AQ619" s="57"/>
      <c r="AR619" s="74"/>
      <c r="AS619" s="149"/>
      <c r="AT619" s="235"/>
      <c r="AU619" s="57"/>
      <c r="AV619" s="57"/>
      <c r="AW619" s="57"/>
      <c r="AX619" s="70"/>
      <c r="AY619" s="149"/>
      <c r="AZ619" s="112"/>
      <c r="BA619" s="236"/>
      <c r="BB619" s="236"/>
      <c r="BC619" s="152"/>
      <c r="BD619" s="152"/>
      <c r="BE619" s="236"/>
      <c r="BF619" s="262"/>
      <c r="BG619" s="262"/>
    </row>
    <row r="620" spans="1:59" ht="12.75" customHeight="1" x14ac:dyDescent="0.15">
      <c r="A620" s="57"/>
      <c r="B620" s="57"/>
      <c r="C620" s="57"/>
      <c r="D620" s="103"/>
      <c r="E620" s="125"/>
      <c r="F620" s="125"/>
      <c r="G620" s="57"/>
      <c r="H620" s="57"/>
      <c r="I620" s="57"/>
      <c r="J620" s="57"/>
      <c r="K620" s="57"/>
      <c r="L620" s="57"/>
      <c r="M620" s="57"/>
      <c r="N620" s="57"/>
      <c r="O620" s="70"/>
      <c r="P620" s="57"/>
      <c r="Q620" s="24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220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149"/>
      <c r="AP620" s="149"/>
      <c r="AQ620" s="57"/>
      <c r="AR620" s="74"/>
      <c r="AS620" s="149"/>
      <c r="AT620" s="235"/>
      <c r="AU620" s="57"/>
      <c r="AV620" s="57"/>
      <c r="AW620" s="57"/>
      <c r="AX620" s="70"/>
      <c r="AY620" s="149"/>
      <c r="AZ620" s="112"/>
      <c r="BA620" s="236"/>
      <c r="BB620" s="236"/>
      <c r="BC620" s="152"/>
      <c r="BD620" s="152"/>
      <c r="BE620" s="236"/>
      <c r="BF620" s="262"/>
      <c r="BG620" s="262"/>
    </row>
    <row r="621" spans="1:59" ht="12.75" customHeight="1" x14ac:dyDescent="0.15">
      <c r="A621" s="57"/>
      <c r="B621" s="57"/>
      <c r="C621" s="57"/>
      <c r="D621" s="103"/>
      <c r="E621" s="125"/>
      <c r="F621" s="125"/>
      <c r="G621" s="57"/>
      <c r="H621" s="57"/>
      <c r="I621" s="57"/>
      <c r="J621" s="57"/>
      <c r="K621" s="57"/>
      <c r="L621" s="57"/>
      <c r="M621" s="57"/>
      <c r="N621" s="57"/>
      <c r="O621" s="70"/>
      <c r="P621" s="57"/>
      <c r="Q621" s="24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220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149"/>
      <c r="AP621" s="149"/>
      <c r="AQ621" s="57"/>
      <c r="AR621" s="74"/>
      <c r="AS621" s="149"/>
      <c r="AT621" s="235"/>
      <c r="AU621" s="57"/>
      <c r="AV621" s="57"/>
      <c r="AW621" s="57"/>
      <c r="AX621" s="70"/>
      <c r="AY621" s="149"/>
      <c r="AZ621" s="112"/>
      <c r="BA621" s="236"/>
      <c r="BB621" s="236"/>
      <c r="BC621" s="152"/>
      <c r="BD621" s="152"/>
      <c r="BE621" s="236"/>
      <c r="BF621" s="262"/>
      <c r="BG621" s="262"/>
    </row>
    <row r="622" spans="1:59" ht="12.75" customHeight="1" x14ac:dyDescent="0.15">
      <c r="A622" s="57"/>
      <c r="B622" s="57"/>
      <c r="C622" s="57"/>
      <c r="D622" s="103"/>
      <c r="E622" s="125"/>
      <c r="F622" s="125"/>
      <c r="G622" s="57"/>
      <c r="H622" s="57"/>
      <c r="I622" s="57"/>
      <c r="J622" s="57"/>
      <c r="K622" s="57"/>
      <c r="L622" s="57"/>
      <c r="M622" s="57"/>
      <c r="N622" s="57"/>
      <c r="O622" s="70"/>
      <c r="P622" s="57"/>
      <c r="Q622" s="24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220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149"/>
      <c r="AP622" s="149"/>
      <c r="AQ622" s="57"/>
      <c r="AR622" s="74"/>
      <c r="AS622" s="149"/>
      <c r="AT622" s="235"/>
      <c r="AU622" s="57"/>
      <c r="AV622" s="57"/>
      <c r="AW622" s="57"/>
      <c r="AX622" s="70"/>
      <c r="AY622" s="149"/>
      <c r="AZ622" s="112"/>
      <c r="BA622" s="236"/>
      <c r="BB622" s="236"/>
      <c r="BC622" s="152"/>
      <c r="BD622" s="152"/>
      <c r="BE622" s="236"/>
      <c r="BF622" s="262"/>
      <c r="BG622" s="262"/>
    </row>
    <row r="623" spans="1:59" ht="12.75" customHeight="1" x14ac:dyDescent="0.15">
      <c r="A623" s="57"/>
      <c r="B623" s="57"/>
      <c r="C623" s="57"/>
      <c r="D623" s="103"/>
      <c r="E623" s="125"/>
      <c r="F623" s="125"/>
      <c r="G623" s="57"/>
      <c r="H623" s="57"/>
      <c r="I623" s="57"/>
      <c r="J623" s="57"/>
      <c r="K623" s="57"/>
      <c r="L623" s="57"/>
      <c r="M623" s="57"/>
      <c r="N623" s="57"/>
      <c r="O623" s="70"/>
      <c r="P623" s="57"/>
      <c r="Q623" s="24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220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149"/>
      <c r="AP623" s="149"/>
      <c r="AQ623" s="57"/>
      <c r="AR623" s="74"/>
      <c r="AS623" s="149"/>
      <c r="AT623" s="235"/>
      <c r="AU623" s="57"/>
      <c r="AV623" s="57"/>
      <c r="AW623" s="57"/>
      <c r="AX623" s="70"/>
      <c r="AY623" s="149"/>
      <c r="AZ623" s="112"/>
      <c r="BA623" s="236"/>
      <c r="BB623" s="236"/>
      <c r="BC623" s="152"/>
      <c r="BD623" s="152"/>
      <c r="BE623" s="236"/>
      <c r="BF623" s="262"/>
      <c r="BG623" s="262"/>
    </row>
    <row r="624" spans="1:59" ht="12.75" customHeight="1" x14ac:dyDescent="0.15">
      <c r="A624" s="57"/>
      <c r="B624" s="57"/>
      <c r="C624" s="57"/>
      <c r="D624" s="103"/>
      <c r="E624" s="125"/>
      <c r="F624" s="125"/>
      <c r="G624" s="57"/>
      <c r="H624" s="57"/>
      <c r="I624" s="57"/>
      <c r="J624" s="57"/>
      <c r="K624" s="57"/>
      <c r="L624" s="57"/>
      <c r="M624" s="57"/>
      <c r="N624" s="57"/>
      <c r="O624" s="70"/>
      <c r="P624" s="57"/>
      <c r="Q624" s="24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220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149"/>
      <c r="AP624" s="149"/>
      <c r="AQ624" s="57"/>
      <c r="AR624" s="74"/>
      <c r="AS624" s="149"/>
      <c r="AT624" s="235"/>
      <c r="AU624" s="57"/>
      <c r="AV624" s="57"/>
      <c r="AW624" s="57"/>
      <c r="AX624" s="70"/>
      <c r="AY624" s="149"/>
      <c r="AZ624" s="112"/>
      <c r="BA624" s="236"/>
      <c r="BB624" s="236"/>
      <c r="BC624" s="152"/>
      <c r="BD624" s="152"/>
      <c r="BE624" s="236"/>
      <c r="BF624" s="262"/>
      <c r="BG624" s="262"/>
    </row>
    <row r="625" spans="1:59" ht="12.75" customHeight="1" x14ac:dyDescent="0.15">
      <c r="A625" s="57"/>
      <c r="B625" s="57"/>
      <c r="C625" s="57"/>
      <c r="D625" s="103"/>
      <c r="E625" s="125"/>
      <c r="F625" s="125"/>
      <c r="G625" s="57"/>
      <c r="H625" s="57"/>
      <c r="I625" s="57"/>
      <c r="J625" s="57"/>
      <c r="K625" s="57"/>
      <c r="L625" s="57"/>
      <c r="M625" s="57"/>
      <c r="N625" s="57"/>
      <c r="O625" s="70"/>
      <c r="P625" s="57"/>
      <c r="Q625" s="24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220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149"/>
      <c r="AP625" s="149"/>
      <c r="AQ625" s="57"/>
      <c r="AR625" s="74"/>
      <c r="AS625" s="149"/>
      <c r="AT625" s="235"/>
      <c r="AU625" s="57"/>
      <c r="AV625" s="57"/>
      <c r="AW625" s="57"/>
      <c r="AX625" s="70"/>
      <c r="AY625" s="149"/>
      <c r="AZ625" s="112"/>
      <c r="BA625" s="236"/>
      <c r="BB625" s="236"/>
      <c r="BC625" s="152"/>
      <c r="BD625" s="152"/>
      <c r="BE625" s="236"/>
      <c r="BF625" s="262"/>
      <c r="BG625" s="262"/>
    </row>
    <row r="626" spans="1:59" ht="12.75" customHeight="1" x14ac:dyDescent="0.15">
      <c r="A626" s="57"/>
      <c r="B626" s="57"/>
      <c r="C626" s="57"/>
      <c r="D626" s="103"/>
      <c r="E626" s="125"/>
      <c r="F626" s="125"/>
      <c r="G626" s="57"/>
      <c r="H626" s="57"/>
      <c r="I626" s="57"/>
      <c r="J626" s="57"/>
      <c r="K626" s="57"/>
      <c r="L626" s="57"/>
      <c r="M626" s="57"/>
      <c r="N626" s="57"/>
      <c r="O626" s="70"/>
      <c r="P626" s="57"/>
      <c r="Q626" s="24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220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149"/>
      <c r="AP626" s="149"/>
      <c r="AQ626" s="57"/>
      <c r="AR626" s="74"/>
      <c r="AS626" s="149"/>
      <c r="AT626" s="235"/>
      <c r="AU626" s="57"/>
      <c r="AV626" s="57"/>
      <c r="AW626" s="57"/>
      <c r="AX626" s="70"/>
      <c r="AY626" s="149"/>
      <c r="AZ626" s="112"/>
      <c r="BA626" s="236"/>
      <c r="BB626" s="236"/>
      <c r="BC626" s="152"/>
      <c r="BD626" s="152"/>
      <c r="BE626" s="236"/>
      <c r="BF626" s="262"/>
      <c r="BG626" s="262"/>
    </row>
    <row r="627" spans="1:59" ht="12.75" customHeight="1" x14ac:dyDescent="0.15">
      <c r="A627" s="57"/>
      <c r="B627" s="57"/>
      <c r="C627" s="57"/>
      <c r="D627" s="103"/>
      <c r="E627" s="125"/>
      <c r="F627" s="125"/>
      <c r="G627" s="57"/>
      <c r="H627" s="57"/>
      <c r="I627" s="57"/>
      <c r="J627" s="57"/>
      <c r="K627" s="57"/>
      <c r="L627" s="57"/>
      <c r="M627" s="57"/>
      <c r="N627" s="57"/>
      <c r="O627" s="70"/>
      <c r="P627" s="57"/>
      <c r="Q627" s="24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220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149"/>
      <c r="AP627" s="149"/>
      <c r="AQ627" s="57"/>
      <c r="AR627" s="74"/>
      <c r="AS627" s="149"/>
      <c r="AT627" s="235"/>
      <c r="AU627" s="57"/>
      <c r="AV627" s="57"/>
      <c r="AW627" s="57"/>
      <c r="AX627" s="70"/>
      <c r="AY627" s="149"/>
      <c r="AZ627" s="112"/>
      <c r="BA627" s="236"/>
      <c r="BB627" s="236"/>
      <c r="BC627" s="152"/>
      <c r="BD627" s="152"/>
      <c r="BE627" s="236"/>
      <c r="BF627" s="262"/>
      <c r="BG627" s="262"/>
    </row>
    <row r="628" spans="1:59" ht="12.75" customHeight="1" x14ac:dyDescent="0.15">
      <c r="A628" s="57"/>
      <c r="B628" s="57"/>
      <c r="C628" s="57"/>
      <c r="D628" s="103"/>
      <c r="E628" s="125"/>
      <c r="F628" s="125"/>
      <c r="G628" s="57"/>
      <c r="H628" s="57"/>
      <c r="I628" s="57"/>
      <c r="J628" s="57"/>
      <c r="K628" s="57"/>
      <c r="L628" s="57"/>
      <c r="M628" s="57"/>
      <c r="N628" s="57"/>
      <c r="O628" s="70"/>
      <c r="P628" s="57"/>
      <c r="Q628" s="24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220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149"/>
      <c r="AP628" s="149"/>
      <c r="AQ628" s="57"/>
      <c r="AR628" s="74"/>
      <c r="AS628" s="149"/>
      <c r="AT628" s="235"/>
      <c r="AU628" s="57"/>
      <c r="AV628" s="57"/>
      <c r="AW628" s="57"/>
      <c r="AX628" s="70"/>
      <c r="AY628" s="149"/>
      <c r="AZ628" s="112"/>
      <c r="BA628" s="236"/>
      <c r="BB628" s="236"/>
      <c r="BC628" s="152"/>
      <c r="BD628" s="152"/>
      <c r="BE628" s="236"/>
      <c r="BF628" s="262"/>
      <c r="BG628" s="262"/>
    </row>
    <row r="629" spans="1:59" ht="12.75" customHeight="1" x14ac:dyDescent="0.15">
      <c r="A629" s="57"/>
      <c r="B629" s="57"/>
      <c r="C629" s="57"/>
      <c r="D629" s="103"/>
      <c r="E629" s="125"/>
      <c r="F629" s="125"/>
      <c r="G629" s="57"/>
      <c r="H629" s="57"/>
      <c r="I629" s="57"/>
      <c r="J629" s="57"/>
      <c r="K629" s="57"/>
      <c r="L629" s="57"/>
      <c r="M629" s="57"/>
      <c r="N629" s="57"/>
      <c r="O629" s="70"/>
      <c r="P629" s="57"/>
      <c r="Q629" s="24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220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149"/>
      <c r="AP629" s="149"/>
      <c r="AQ629" s="57"/>
      <c r="AR629" s="74"/>
      <c r="AS629" s="149"/>
      <c r="AT629" s="235"/>
      <c r="AU629" s="57"/>
      <c r="AV629" s="57"/>
      <c r="AW629" s="57"/>
      <c r="AX629" s="70"/>
      <c r="AY629" s="149"/>
      <c r="AZ629" s="112"/>
      <c r="BA629" s="236"/>
      <c r="BB629" s="236"/>
      <c r="BC629" s="152"/>
      <c r="BD629" s="152"/>
      <c r="BE629" s="236"/>
      <c r="BF629" s="262"/>
      <c r="BG629" s="262"/>
    </row>
    <row r="630" spans="1:59" ht="12.75" customHeight="1" x14ac:dyDescent="0.15">
      <c r="A630" s="57"/>
      <c r="B630" s="57"/>
      <c r="C630" s="57"/>
      <c r="D630" s="103"/>
      <c r="E630" s="125"/>
      <c r="F630" s="125"/>
      <c r="G630" s="57"/>
      <c r="H630" s="57"/>
      <c r="I630" s="57"/>
      <c r="J630" s="57"/>
      <c r="K630" s="57"/>
      <c r="L630" s="57"/>
      <c r="M630" s="57"/>
      <c r="N630" s="57"/>
      <c r="O630" s="70"/>
      <c r="P630" s="57"/>
      <c r="Q630" s="24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220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149"/>
      <c r="AP630" s="149"/>
      <c r="AQ630" s="57"/>
      <c r="AR630" s="74"/>
      <c r="AS630" s="149"/>
      <c r="AT630" s="235"/>
      <c r="AU630" s="57"/>
      <c r="AV630" s="57"/>
      <c r="AW630" s="57"/>
      <c r="AX630" s="70"/>
      <c r="AY630" s="149"/>
      <c r="AZ630" s="112"/>
      <c r="BA630" s="236"/>
      <c r="BB630" s="236"/>
      <c r="BC630" s="152"/>
      <c r="BD630" s="152"/>
      <c r="BE630" s="236"/>
      <c r="BF630" s="262"/>
      <c r="BG630" s="262"/>
    </row>
    <row r="631" spans="1:59" ht="12.75" customHeight="1" x14ac:dyDescent="0.15">
      <c r="A631" s="57"/>
      <c r="B631" s="57"/>
      <c r="C631" s="57"/>
      <c r="D631" s="103"/>
      <c r="E631" s="125"/>
      <c r="F631" s="125"/>
      <c r="G631" s="57"/>
      <c r="H631" s="57"/>
      <c r="I631" s="57"/>
      <c r="J631" s="57"/>
      <c r="K631" s="57"/>
      <c r="L631" s="57"/>
      <c r="M631" s="57"/>
      <c r="N631" s="57"/>
      <c r="O631" s="70"/>
      <c r="P631" s="57"/>
      <c r="Q631" s="24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220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149"/>
      <c r="AP631" s="149"/>
      <c r="AQ631" s="57"/>
      <c r="AR631" s="74"/>
      <c r="AS631" s="149"/>
      <c r="AT631" s="235"/>
      <c r="AU631" s="57"/>
      <c r="AV631" s="57"/>
      <c r="AW631" s="57"/>
      <c r="AX631" s="70"/>
      <c r="AY631" s="149"/>
      <c r="AZ631" s="112"/>
      <c r="BA631" s="236"/>
      <c r="BB631" s="236"/>
      <c r="BC631" s="152"/>
      <c r="BD631" s="152"/>
      <c r="BE631" s="236"/>
      <c r="BF631" s="262"/>
      <c r="BG631" s="262"/>
    </row>
    <row r="632" spans="1:59" ht="12.75" customHeight="1" x14ac:dyDescent="0.15">
      <c r="A632" s="57"/>
      <c r="B632" s="57"/>
      <c r="C632" s="57"/>
      <c r="D632" s="103"/>
      <c r="E632" s="125"/>
      <c r="F632" s="125"/>
      <c r="G632" s="57"/>
      <c r="H632" s="57"/>
      <c r="I632" s="57"/>
      <c r="J632" s="57"/>
      <c r="K632" s="57"/>
      <c r="L632" s="57"/>
      <c r="M632" s="57"/>
      <c r="N632" s="57"/>
      <c r="O632" s="70"/>
      <c r="P632" s="57"/>
      <c r="Q632" s="24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220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149"/>
      <c r="AP632" s="149"/>
      <c r="AQ632" s="57"/>
      <c r="AR632" s="74"/>
      <c r="AS632" s="149"/>
      <c r="AT632" s="235"/>
      <c r="AU632" s="57"/>
      <c r="AV632" s="57"/>
      <c r="AW632" s="57"/>
      <c r="AX632" s="70"/>
      <c r="AY632" s="149"/>
      <c r="AZ632" s="112"/>
      <c r="BA632" s="236"/>
      <c r="BB632" s="236"/>
      <c r="BC632" s="152"/>
      <c r="BD632" s="152"/>
      <c r="BE632" s="236"/>
      <c r="BF632" s="262"/>
      <c r="BG632" s="262"/>
    </row>
    <row r="633" spans="1:59" ht="12.75" customHeight="1" x14ac:dyDescent="0.15">
      <c r="A633" s="57"/>
      <c r="B633" s="57"/>
      <c r="C633" s="57"/>
      <c r="D633" s="103"/>
      <c r="E633" s="125"/>
      <c r="F633" s="125"/>
      <c r="G633" s="57"/>
      <c r="H633" s="57"/>
      <c r="I633" s="57"/>
      <c r="J633" s="57"/>
      <c r="K633" s="57"/>
      <c r="L633" s="57"/>
      <c r="M633" s="57"/>
      <c r="N633" s="57"/>
      <c r="O633" s="70"/>
      <c r="P633" s="57"/>
      <c r="Q633" s="24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220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149"/>
      <c r="AP633" s="149"/>
      <c r="AQ633" s="57"/>
      <c r="AR633" s="74"/>
      <c r="AS633" s="149"/>
      <c r="AT633" s="235"/>
      <c r="AU633" s="57"/>
      <c r="AV633" s="57"/>
      <c r="AW633" s="57"/>
      <c r="AX633" s="70"/>
      <c r="AY633" s="149"/>
      <c r="AZ633" s="112"/>
      <c r="BA633" s="236"/>
      <c r="BB633" s="236"/>
      <c r="BC633" s="152"/>
      <c r="BD633" s="152"/>
      <c r="BE633" s="236"/>
      <c r="BF633" s="262"/>
      <c r="BG633" s="262"/>
    </row>
    <row r="634" spans="1:59" ht="12.75" customHeight="1" x14ac:dyDescent="0.15">
      <c r="A634" s="57"/>
      <c r="B634" s="57"/>
      <c r="C634" s="57"/>
      <c r="D634" s="103"/>
      <c r="E634" s="125"/>
      <c r="F634" s="125"/>
      <c r="G634" s="57"/>
      <c r="H634" s="57"/>
      <c r="I634" s="57"/>
      <c r="J634" s="57"/>
      <c r="K634" s="57"/>
      <c r="L634" s="57"/>
      <c r="M634" s="57"/>
      <c r="N634" s="57"/>
      <c r="O634" s="70"/>
      <c r="P634" s="57"/>
      <c r="Q634" s="24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220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149"/>
      <c r="AP634" s="149"/>
      <c r="AQ634" s="57"/>
      <c r="AR634" s="74"/>
      <c r="AS634" s="149"/>
      <c r="AT634" s="235"/>
      <c r="AU634" s="57"/>
      <c r="AV634" s="57"/>
      <c r="AW634" s="57"/>
      <c r="AX634" s="70"/>
      <c r="AY634" s="149"/>
      <c r="AZ634" s="112"/>
      <c r="BA634" s="236"/>
      <c r="BB634" s="236"/>
      <c r="BC634" s="152"/>
      <c r="BD634" s="152"/>
      <c r="BE634" s="236"/>
      <c r="BF634" s="262"/>
      <c r="BG634" s="262"/>
    </row>
    <row r="635" spans="1:59" ht="12.75" customHeight="1" x14ac:dyDescent="0.15">
      <c r="A635" s="57"/>
      <c r="B635" s="57"/>
      <c r="C635" s="57"/>
      <c r="D635" s="103"/>
      <c r="E635" s="125"/>
      <c r="F635" s="125"/>
      <c r="G635" s="57"/>
      <c r="H635" s="57"/>
      <c r="I635" s="57"/>
      <c r="J635" s="57"/>
      <c r="K635" s="57"/>
      <c r="L635" s="57"/>
      <c r="M635" s="57"/>
      <c r="N635" s="57"/>
      <c r="O635" s="70"/>
      <c r="P635" s="57"/>
      <c r="Q635" s="24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220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149"/>
      <c r="AP635" s="149"/>
      <c r="AQ635" s="57"/>
      <c r="AR635" s="74"/>
      <c r="AS635" s="149"/>
      <c r="AT635" s="235"/>
      <c r="AU635" s="57"/>
      <c r="AV635" s="57"/>
      <c r="AW635" s="57"/>
      <c r="AX635" s="70"/>
      <c r="AY635" s="149"/>
      <c r="AZ635" s="112"/>
      <c r="BA635" s="236"/>
      <c r="BB635" s="236"/>
      <c r="BC635" s="152"/>
      <c r="BD635" s="152"/>
      <c r="BE635" s="236"/>
      <c r="BF635" s="262"/>
      <c r="BG635" s="262"/>
    </row>
    <row r="636" spans="1:59" ht="12.75" customHeight="1" x14ac:dyDescent="0.15">
      <c r="A636" s="57"/>
      <c r="B636" s="57"/>
      <c r="C636" s="57"/>
      <c r="D636" s="103"/>
      <c r="E636" s="125"/>
      <c r="F636" s="125"/>
      <c r="G636" s="57"/>
      <c r="H636" s="57"/>
      <c r="I636" s="57"/>
      <c r="J636" s="57"/>
      <c r="K636" s="57"/>
      <c r="L636" s="57"/>
      <c r="M636" s="57"/>
      <c r="N636" s="57"/>
      <c r="O636" s="70"/>
      <c r="P636" s="57"/>
      <c r="Q636" s="24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220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149"/>
      <c r="AP636" s="149"/>
      <c r="AQ636" s="57"/>
      <c r="AR636" s="74"/>
      <c r="AS636" s="149"/>
      <c r="AT636" s="235"/>
      <c r="AU636" s="57"/>
      <c r="AV636" s="57"/>
      <c r="AW636" s="57"/>
      <c r="AX636" s="70"/>
      <c r="AY636" s="149"/>
      <c r="AZ636" s="112"/>
      <c r="BA636" s="236"/>
      <c r="BB636" s="236"/>
      <c r="BC636" s="152"/>
      <c r="BD636" s="152"/>
      <c r="BE636" s="236"/>
      <c r="BF636" s="262"/>
      <c r="BG636" s="262"/>
    </row>
    <row r="637" spans="1:59" ht="12.75" customHeight="1" x14ac:dyDescent="0.15">
      <c r="A637" s="57"/>
      <c r="B637" s="57"/>
      <c r="C637" s="57"/>
      <c r="D637" s="103"/>
      <c r="E637" s="125"/>
      <c r="F637" s="125"/>
      <c r="G637" s="57"/>
      <c r="H637" s="57"/>
      <c r="I637" s="57"/>
      <c r="J637" s="57"/>
      <c r="K637" s="57"/>
      <c r="L637" s="57"/>
      <c r="M637" s="57"/>
      <c r="N637" s="57"/>
      <c r="O637" s="70"/>
      <c r="P637" s="57"/>
      <c r="Q637" s="24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220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149"/>
      <c r="AP637" s="149"/>
      <c r="AQ637" s="57"/>
      <c r="AR637" s="74"/>
      <c r="AS637" s="149"/>
      <c r="AT637" s="235"/>
      <c r="AU637" s="57"/>
      <c r="AV637" s="57"/>
      <c r="AW637" s="57"/>
      <c r="AX637" s="70"/>
      <c r="AY637" s="149"/>
      <c r="AZ637" s="112"/>
      <c r="BA637" s="236"/>
      <c r="BB637" s="236"/>
      <c r="BC637" s="152"/>
      <c r="BD637" s="152"/>
      <c r="BE637" s="236"/>
      <c r="BF637" s="262"/>
      <c r="BG637" s="262"/>
    </row>
    <row r="638" spans="1:59" ht="12.75" customHeight="1" x14ac:dyDescent="0.15">
      <c r="A638" s="57"/>
      <c r="B638" s="57"/>
      <c r="C638" s="57"/>
      <c r="D638" s="103"/>
      <c r="E638" s="125"/>
      <c r="F638" s="125"/>
      <c r="G638" s="57"/>
      <c r="H638" s="57"/>
      <c r="I638" s="57"/>
      <c r="J638" s="57"/>
      <c r="K638" s="57"/>
      <c r="L638" s="57"/>
      <c r="M638" s="57"/>
      <c r="N638" s="57"/>
      <c r="O638" s="70"/>
      <c r="P638" s="57"/>
      <c r="Q638" s="24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220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149"/>
      <c r="AP638" s="149"/>
      <c r="AQ638" s="57"/>
      <c r="AR638" s="74"/>
      <c r="AS638" s="149"/>
      <c r="AT638" s="235"/>
      <c r="AU638" s="57"/>
      <c r="AV638" s="57"/>
      <c r="AW638" s="57"/>
      <c r="AX638" s="70"/>
      <c r="AY638" s="149"/>
      <c r="AZ638" s="112"/>
      <c r="BA638" s="236"/>
      <c r="BB638" s="236"/>
      <c r="BC638" s="152"/>
      <c r="BD638" s="152"/>
      <c r="BE638" s="236"/>
      <c r="BF638" s="262"/>
      <c r="BG638" s="262"/>
    </row>
    <row r="639" spans="1:59" ht="12.75" customHeight="1" x14ac:dyDescent="0.15">
      <c r="A639" s="57"/>
      <c r="B639" s="57"/>
      <c r="C639" s="57"/>
      <c r="D639" s="103"/>
      <c r="E639" s="125"/>
      <c r="F639" s="125"/>
      <c r="G639" s="57"/>
      <c r="H639" s="57"/>
      <c r="I639" s="57"/>
      <c r="J639" s="57"/>
      <c r="K639" s="57"/>
      <c r="L639" s="57"/>
      <c r="M639" s="57"/>
      <c r="N639" s="57"/>
      <c r="O639" s="70"/>
      <c r="P639" s="57"/>
      <c r="Q639" s="24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220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149"/>
      <c r="AP639" s="149"/>
      <c r="AQ639" s="57"/>
      <c r="AR639" s="74"/>
      <c r="AS639" s="149"/>
      <c r="AT639" s="235"/>
      <c r="AU639" s="57"/>
      <c r="AV639" s="57"/>
      <c r="AW639" s="57"/>
      <c r="AX639" s="70"/>
      <c r="AY639" s="149"/>
      <c r="AZ639" s="112"/>
      <c r="BA639" s="236"/>
      <c r="BB639" s="236"/>
      <c r="BC639" s="152"/>
      <c r="BD639" s="152"/>
      <c r="BE639" s="236"/>
      <c r="BF639" s="262"/>
      <c r="BG639" s="262"/>
    </row>
    <row r="640" spans="1:59" ht="12.75" customHeight="1" x14ac:dyDescent="0.15">
      <c r="A640" s="57"/>
      <c r="B640" s="57"/>
      <c r="C640" s="57"/>
      <c r="D640" s="103"/>
      <c r="E640" s="125"/>
      <c r="F640" s="125"/>
      <c r="G640" s="57"/>
      <c r="H640" s="57"/>
      <c r="I640" s="57"/>
      <c r="J640" s="57"/>
      <c r="K640" s="57"/>
      <c r="L640" s="57"/>
      <c r="M640" s="57"/>
      <c r="N640" s="57"/>
      <c r="O640" s="70"/>
      <c r="P640" s="57"/>
      <c r="Q640" s="24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220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149"/>
      <c r="AP640" s="149"/>
      <c r="AQ640" s="57"/>
      <c r="AR640" s="74"/>
      <c r="AS640" s="149"/>
      <c r="AT640" s="235"/>
      <c r="AU640" s="57"/>
      <c r="AV640" s="57"/>
      <c r="AW640" s="57"/>
      <c r="AX640" s="70"/>
      <c r="AY640" s="149"/>
      <c r="AZ640" s="112"/>
      <c r="BA640" s="236"/>
      <c r="BB640" s="236"/>
      <c r="BC640" s="152"/>
      <c r="BD640" s="152"/>
      <c r="BE640" s="236"/>
      <c r="BF640" s="262"/>
      <c r="BG640" s="262"/>
    </row>
    <row r="641" spans="1:59" ht="12.75" customHeight="1" x14ac:dyDescent="0.15">
      <c r="A641" s="57"/>
      <c r="B641" s="57"/>
      <c r="C641" s="57"/>
      <c r="D641" s="103"/>
      <c r="E641" s="125"/>
      <c r="F641" s="125"/>
      <c r="G641" s="57"/>
      <c r="H641" s="57"/>
      <c r="I641" s="57"/>
      <c r="J641" s="57"/>
      <c r="K641" s="57"/>
      <c r="L641" s="57"/>
      <c r="M641" s="57"/>
      <c r="N641" s="57"/>
      <c r="O641" s="70"/>
      <c r="P641" s="57"/>
      <c r="Q641" s="24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220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149"/>
      <c r="AP641" s="149"/>
      <c r="AQ641" s="57"/>
      <c r="AR641" s="74"/>
      <c r="AS641" s="149"/>
      <c r="AT641" s="235"/>
      <c r="AU641" s="57"/>
      <c r="AV641" s="57"/>
      <c r="AW641" s="57"/>
      <c r="AX641" s="70"/>
      <c r="AY641" s="149"/>
      <c r="AZ641" s="112"/>
      <c r="BA641" s="236"/>
      <c r="BB641" s="236"/>
      <c r="BC641" s="152"/>
      <c r="BD641" s="152"/>
      <c r="BE641" s="236"/>
      <c r="BF641" s="262"/>
      <c r="BG641" s="262"/>
    </row>
    <row r="642" spans="1:59" ht="12.75" customHeight="1" x14ac:dyDescent="0.15">
      <c r="A642" s="57"/>
      <c r="B642" s="57"/>
      <c r="C642" s="57"/>
      <c r="D642" s="103"/>
      <c r="E642" s="125"/>
      <c r="F642" s="125"/>
      <c r="G642" s="57"/>
      <c r="H642" s="57"/>
      <c r="I642" s="57"/>
      <c r="J642" s="57"/>
      <c r="K642" s="57"/>
      <c r="L642" s="57"/>
      <c r="M642" s="57"/>
      <c r="N642" s="57"/>
      <c r="O642" s="70"/>
      <c r="P642" s="57"/>
      <c r="Q642" s="24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220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149"/>
      <c r="AP642" s="149"/>
      <c r="AQ642" s="57"/>
      <c r="AR642" s="74"/>
      <c r="AS642" s="149"/>
      <c r="AT642" s="235"/>
      <c r="AU642" s="57"/>
      <c r="AV642" s="57"/>
      <c r="AW642" s="57"/>
      <c r="AX642" s="70"/>
      <c r="AY642" s="149"/>
      <c r="AZ642" s="112"/>
      <c r="BA642" s="236"/>
      <c r="BB642" s="236"/>
      <c r="BC642" s="152"/>
      <c r="BD642" s="152"/>
      <c r="BE642" s="236"/>
      <c r="BF642" s="262"/>
      <c r="BG642" s="262"/>
    </row>
    <row r="643" spans="1:59" ht="12.75" customHeight="1" x14ac:dyDescent="0.15">
      <c r="A643" s="57"/>
      <c r="B643" s="57"/>
      <c r="C643" s="57"/>
      <c r="D643" s="103"/>
      <c r="E643" s="125"/>
      <c r="F643" s="125"/>
      <c r="G643" s="57"/>
      <c r="H643" s="57"/>
      <c r="I643" s="57"/>
      <c r="J643" s="57"/>
      <c r="K643" s="57"/>
      <c r="L643" s="57"/>
      <c r="M643" s="57"/>
      <c r="N643" s="57"/>
      <c r="O643" s="70"/>
      <c r="P643" s="57"/>
      <c r="Q643" s="24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220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149"/>
      <c r="AP643" s="149"/>
      <c r="AQ643" s="57"/>
      <c r="AR643" s="74"/>
      <c r="AS643" s="149"/>
      <c r="AT643" s="235"/>
      <c r="AU643" s="57"/>
      <c r="AV643" s="57"/>
      <c r="AW643" s="57"/>
      <c r="AX643" s="70"/>
      <c r="AY643" s="149"/>
      <c r="AZ643" s="112"/>
      <c r="BA643" s="236"/>
      <c r="BB643" s="236"/>
      <c r="BC643" s="152"/>
      <c r="BD643" s="152"/>
      <c r="BE643" s="236"/>
      <c r="BF643" s="262"/>
      <c r="BG643" s="262"/>
    </row>
    <row r="644" spans="1:59" ht="12.75" customHeight="1" x14ac:dyDescent="0.15">
      <c r="A644" s="57"/>
      <c r="B644" s="57"/>
      <c r="C644" s="57"/>
      <c r="D644" s="103"/>
      <c r="E644" s="125"/>
      <c r="F644" s="125"/>
      <c r="G644" s="57"/>
      <c r="H644" s="57"/>
      <c r="I644" s="57"/>
      <c r="J644" s="57"/>
      <c r="K644" s="57"/>
      <c r="L644" s="57"/>
      <c r="M644" s="57"/>
      <c r="N644" s="57"/>
      <c r="O644" s="70"/>
      <c r="P644" s="57"/>
      <c r="Q644" s="24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220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149"/>
      <c r="AP644" s="149"/>
      <c r="AQ644" s="57"/>
      <c r="AR644" s="74"/>
      <c r="AS644" s="149"/>
      <c r="AT644" s="235"/>
      <c r="AU644" s="57"/>
      <c r="AV644" s="57"/>
      <c r="AW644" s="57"/>
      <c r="AX644" s="70"/>
      <c r="AY644" s="149"/>
      <c r="AZ644" s="112"/>
      <c r="BA644" s="236"/>
      <c r="BB644" s="236"/>
      <c r="BC644" s="152"/>
      <c r="BD644" s="152"/>
      <c r="BE644" s="236"/>
      <c r="BF644" s="262"/>
      <c r="BG644" s="262"/>
    </row>
    <row r="645" spans="1:59" ht="12.75" customHeight="1" x14ac:dyDescent="0.15">
      <c r="A645" s="57"/>
      <c r="B645" s="57"/>
      <c r="C645" s="57"/>
      <c r="D645" s="103"/>
      <c r="E645" s="125"/>
      <c r="F645" s="125"/>
      <c r="G645" s="57"/>
      <c r="H645" s="57"/>
      <c r="I645" s="57"/>
      <c r="J645" s="57"/>
      <c r="K645" s="57"/>
      <c r="L645" s="57"/>
      <c r="M645" s="57"/>
      <c r="N645" s="57"/>
      <c r="O645" s="70"/>
      <c r="P645" s="57"/>
      <c r="Q645" s="24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220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149"/>
      <c r="AP645" s="149"/>
      <c r="AQ645" s="57"/>
      <c r="AR645" s="74"/>
      <c r="AS645" s="149"/>
      <c r="AT645" s="235"/>
      <c r="AU645" s="57"/>
      <c r="AV645" s="57"/>
      <c r="AW645" s="57"/>
      <c r="AX645" s="70"/>
      <c r="AY645" s="149"/>
      <c r="AZ645" s="112"/>
      <c r="BA645" s="236"/>
      <c r="BB645" s="236"/>
      <c r="BC645" s="152"/>
      <c r="BD645" s="152"/>
      <c r="BE645" s="236"/>
      <c r="BF645" s="262"/>
      <c r="BG645" s="262"/>
    </row>
    <row r="646" spans="1:59" ht="12.75" customHeight="1" x14ac:dyDescent="0.15">
      <c r="A646" s="57"/>
      <c r="B646" s="57"/>
      <c r="C646" s="57"/>
      <c r="D646" s="103"/>
      <c r="E646" s="125"/>
      <c r="F646" s="125"/>
      <c r="G646" s="57"/>
      <c r="H646" s="57"/>
      <c r="I646" s="57"/>
      <c r="J646" s="57"/>
      <c r="K646" s="57"/>
      <c r="L646" s="57"/>
      <c r="M646" s="57"/>
      <c r="N646" s="57"/>
      <c r="O646" s="70"/>
      <c r="P646" s="57"/>
      <c r="Q646" s="24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220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149"/>
      <c r="AP646" s="149"/>
      <c r="AQ646" s="57"/>
      <c r="AR646" s="74"/>
      <c r="AS646" s="149"/>
      <c r="AT646" s="235"/>
      <c r="AU646" s="57"/>
      <c r="AV646" s="57"/>
      <c r="AW646" s="57"/>
      <c r="AX646" s="70"/>
      <c r="AY646" s="149"/>
      <c r="AZ646" s="112"/>
      <c r="BA646" s="236"/>
      <c r="BB646" s="236"/>
      <c r="BC646" s="152"/>
      <c r="BD646" s="152"/>
      <c r="BE646" s="236"/>
      <c r="BF646" s="262"/>
      <c r="BG646" s="262"/>
    </row>
    <row r="647" spans="1:59" ht="12.75" customHeight="1" x14ac:dyDescent="0.15">
      <c r="A647" s="57"/>
      <c r="B647" s="57"/>
      <c r="C647" s="57"/>
      <c r="D647" s="103"/>
      <c r="E647" s="125"/>
      <c r="F647" s="125"/>
      <c r="G647" s="57"/>
      <c r="H647" s="57"/>
      <c r="I647" s="57"/>
      <c r="J647" s="57"/>
      <c r="K647" s="57"/>
      <c r="L647" s="57"/>
      <c r="M647" s="57"/>
      <c r="N647" s="57"/>
      <c r="O647" s="70"/>
      <c r="P647" s="57"/>
      <c r="Q647" s="24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220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149"/>
      <c r="AP647" s="149"/>
      <c r="AQ647" s="57"/>
      <c r="AR647" s="74"/>
      <c r="AS647" s="149"/>
      <c r="AT647" s="235"/>
      <c r="AU647" s="57"/>
      <c r="AV647" s="57"/>
      <c r="AW647" s="57"/>
      <c r="AX647" s="70"/>
      <c r="AY647" s="149"/>
      <c r="AZ647" s="112"/>
      <c r="BA647" s="236"/>
      <c r="BB647" s="236"/>
      <c r="BC647" s="152"/>
      <c r="BD647" s="152"/>
      <c r="BE647" s="236"/>
      <c r="BF647" s="262"/>
      <c r="BG647" s="262"/>
    </row>
    <row r="648" spans="1:59" ht="12.75" customHeight="1" x14ac:dyDescent="0.15">
      <c r="A648" s="57"/>
      <c r="B648" s="57"/>
      <c r="C648" s="57"/>
      <c r="D648" s="103"/>
      <c r="E648" s="125"/>
      <c r="F648" s="125"/>
      <c r="G648" s="57"/>
      <c r="H648" s="57"/>
      <c r="I648" s="57"/>
      <c r="J648" s="57"/>
      <c r="K648" s="57"/>
      <c r="L648" s="57"/>
      <c r="M648" s="57"/>
      <c r="N648" s="57"/>
      <c r="O648" s="70"/>
      <c r="P648" s="57"/>
      <c r="Q648" s="24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220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149"/>
      <c r="AP648" s="149"/>
      <c r="AQ648" s="57"/>
      <c r="AR648" s="74"/>
      <c r="AS648" s="149"/>
      <c r="AT648" s="235"/>
      <c r="AU648" s="57"/>
      <c r="AV648" s="57"/>
      <c r="AW648" s="57"/>
      <c r="AX648" s="70"/>
      <c r="AY648" s="149"/>
      <c r="AZ648" s="112"/>
      <c r="BA648" s="236"/>
      <c r="BB648" s="236"/>
      <c r="BC648" s="152"/>
      <c r="BD648" s="152"/>
      <c r="BE648" s="236"/>
      <c r="BF648" s="262"/>
      <c r="BG648" s="262"/>
    </row>
    <row r="649" spans="1:59" ht="12.75" customHeight="1" x14ac:dyDescent="0.15">
      <c r="A649" s="57"/>
      <c r="B649" s="57"/>
      <c r="C649" s="57"/>
      <c r="D649" s="103"/>
      <c r="E649" s="125"/>
      <c r="F649" s="125"/>
      <c r="G649" s="57"/>
      <c r="H649" s="57"/>
      <c r="I649" s="57"/>
      <c r="J649" s="57"/>
      <c r="K649" s="57"/>
      <c r="L649" s="57"/>
      <c r="M649" s="57"/>
      <c r="N649" s="57"/>
      <c r="O649" s="70"/>
      <c r="P649" s="57"/>
      <c r="Q649" s="24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220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149"/>
      <c r="AP649" s="149"/>
      <c r="AQ649" s="57"/>
      <c r="AR649" s="74"/>
      <c r="AS649" s="149"/>
      <c r="AT649" s="235"/>
      <c r="AU649" s="57"/>
      <c r="AV649" s="57"/>
      <c r="AW649" s="57"/>
      <c r="AX649" s="70"/>
      <c r="AY649" s="149"/>
      <c r="AZ649" s="112"/>
      <c r="BA649" s="236"/>
      <c r="BB649" s="236"/>
      <c r="BC649" s="152"/>
      <c r="BD649" s="152"/>
      <c r="BE649" s="236"/>
      <c r="BF649" s="262"/>
      <c r="BG649" s="262"/>
    </row>
    <row r="650" spans="1:59" ht="12.75" customHeight="1" x14ac:dyDescent="0.15">
      <c r="A650" s="57"/>
      <c r="B650" s="57"/>
      <c r="C650" s="57"/>
      <c r="D650" s="103"/>
      <c r="E650" s="125"/>
      <c r="F650" s="125"/>
      <c r="G650" s="57"/>
      <c r="H650" s="57"/>
      <c r="I650" s="57"/>
      <c r="J650" s="57"/>
      <c r="K650" s="57"/>
      <c r="L650" s="57"/>
      <c r="M650" s="57"/>
      <c r="N650" s="57"/>
      <c r="O650" s="70"/>
      <c r="P650" s="57"/>
      <c r="Q650" s="24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220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149"/>
      <c r="AP650" s="149"/>
      <c r="AQ650" s="57"/>
      <c r="AR650" s="74"/>
      <c r="AS650" s="149"/>
      <c r="AT650" s="235"/>
      <c r="AU650" s="57"/>
      <c r="AV650" s="57"/>
      <c r="AW650" s="57"/>
      <c r="AX650" s="70"/>
      <c r="AY650" s="149"/>
      <c r="AZ650" s="112"/>
      <c r="BA650" s="236"/>
      <c r="BB650" s="236"/>
      <c r="BC650" s="152"/>
      <c r="BD650" s="152"/>
      <c r="BE650" s="236"/>
      <c r="BF650" s="262"/>
      <c r="BG650" s="262"/>
    </row>
    <row r="651" spans="1:59" ht="12.75" customHeight="1" x14ac:dyDescent="0.15">
      <c r="A651" s="57"/>
      <c r="B651" s="57"/>
      <c r="C651" s="57"/>
      <c r="D651" s="103"/>
      <c r="E651" s="125"/>
      <c r="F651" s="125"/>
      <c r="G651" s="57"/>
      <c r="H651" s="57"/>
      <c r="I651" s="57"/>
      <c r="J651" s="57"/>
      <c r="K651" s="57"/>
      <c r="L651" s="57"/>
      <c r="M651" s="57"/>
      <c r="N651" s="57"/>
      <c r="O651" s="70"/>
      <c r="P651" s="57"/>
      <c r="Q651" s="24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220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149"/>
      <c r="AP651" s="149"/>
      <c r="AQ651" s="57"/>
      <c r="AR651" s="74"/>
      <c r="AS651" s="149"/>
      <c r="AT651" s="235"/>
      <c r="AU651" s="57"/>
      <c r="AV651" s="57"/>
      <c r="AW651" s="57"/>
      <c r="AX651" s="70"/>
      <c r="AY651" s="149"/>
      <c r="AZ651" s="112"/>
      <c r="BA651" s="236"/>
      <c r="BB651" s="236"/>
      <c r="BC651" s="152"/>
      <c r="BD651" s="152"/>
      <c r="BE651" s="236"/>
      <c r="BF651" s="262"/>
      <c r="BG651" s="262"/>
    </row>
    <row r="652" spans="1:59" ht="12.75" customHeight="1" x14ac:dyDescent="0.15">
      <c r="A652" s="57"/>
      <c r="B652" s="57"/>
      <c r="C652" s="57"/>
      <c r="D652" s="103"/>
      <c r="E652" s="125"/>
      <c r="F652" s="125"/>
      <c r="G652" s="57"/>
      <c r="H652" s="57"/>
      <c r="I652" s="57"/>
      <c r="J652" s="57"/>
      <c r="K652" s="57"/>
      <c r="L652" s="57"/>
      <c r="M652" s="57"/>
      <c r="N652" s="57"/>
      <c r="O652" s="70"/>
      <c r="P652" s="57"/>
      <c r="Q652" s="24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220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149"/>
      <c r="AP652" s="149"/>
      <c r="AQ652" s="57"/>
      <c r="AR652" s="74"/>
      <c r="AS652" s="149"/>
      <c r="AT652" s="235"/>
      <c r="AU652" s="57"/>
      <c r="AV652" s="57"/>
      <c r="AW652" s="57"/>
      <c r="AX652" s="70"/>
      <c r="AY652" s="149"/>
      <c r="AZ652" s="112"/>
      <c r="BA652" s="236"/>
      <c r="BB652" s="236"/>
      <c r="BC652" s="152"/>
      <c r="BD652" s="152"/>
      <c r="BE652" s="236"/>
      <c r="BF652" s="262"/>
      <c r="BG652" s="262"/>
    </row>
    <row r="653" spans="1:59" ht="12.75" customHeight="1" x14ac:dyDescent="0.15">
      <c r="A653" s="57"/>
      <c r="B653" s="57"/>
      <c r="C653" s="57"/>
      <c r="D653" s="103"/>
      <c r="E653" s="125"/>
      <c r="F653" s="125"/>
      <c r="G653" s="57"/>
      <c r="H653" s="57"/>
      <c r="I653" s="57"/>
      <c r="J653" s="57"/>
      <c r="K653" s="57"/>
      <c r="L653" s="57"/>
      <c r="M653" s="57"/>
      <c r="N653" s="57"/>
      <c r="O653" s="70"/>
      <c r="P653" s="57"/>
      <c r="Q653" s="24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220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149"/>
      <c r="AP653" s="149"/>
      <c r="AQ653" s="57"/>
      <c r="AR653" s="74"/>
      <c r="AS653" s="149"/>
      <c r="AT653" s="235"/>
      <c r="AU653" s="57"/>
      <c r="AV653" s="57"/>
      <c r="AW653" s="57"/>
      <c r="AX653" s="70"/>
      <c r="AY653" s="149"/>
      <c r="AZ653" s="112"/>
      <c r="BA653" s="236"/>
      <c r="BB653" s="236"/>
      <c r="BC653" s="152"/>
      <c r="BD653" s="152"/>
      <c r="BE653" s="236"/>
      <c r="BF653" s="262"/>
      <c r="BG653" s="262"/>
    </row>
    <row r="654" spans="1:59" ht="12.75" customHeight="1" x14ac:dyDescent="0.15">
      <c r="A654" s="57"/>
      <c r="B654" s="57"/>
      <c r="C654" s="57"/>
      <c r="D654" s="103"/>
      <c r="E654" s="125"/>
      <c r="F654" s="125"/>
      <c r="G654" s="57"/>
      <c r="H654" s="57"/>
      <c r="I654" s="57"/>
      <c r="J654" s="57"/>
      <c r="K654" s="57"/>
      <c r="L654" s="57"/>
      <c r="M654" s="57"/>
      <c r="N654" s="57"/>
      <c r="O654" s="70"/>
      <c r="P654" s="57"/>
      <c r="Q654" s="24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220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149"/>
      <c r="AP654" s="149"/>
      <c r="AQ654" s="57"/>
      <c r="AR654" s="74"/>
      <c r="AS654" s="149"/>
      <c r="AT654" s="235"/>
      <c r="AU654" s="57"/>
      <c r="AV654" s="57"/>
      <c r="AW654" s="57"/>
      <c r="AX654" s="70"/>
      <c r="AY654" s="149"/>
      <c r="AZ654" s="112"/>
      <c r="BA654" s="236"/>
      <c r="BB654" s="236"/>
      <c r="BC654" s="152"/>
      <c r="BD654" s="152"/>
      <c r="BE654" s="236"/>
      <c r="BF654" s="262"/>
      <c r="BG654" s="262"/>
    </row>
    <row r="655" spans="1:59" ht="12.75" customHeight="1" x14ac:dyDescent="0.15">
      <c r="A655" s="57"/>
      <c r="B655" s="57"/>
      <c r="C655" s="57"/>
      <c r="D655" s="103"/>
      <c r="E655" s="125"/>
      <c r="F655" s="125"/>
      <c r="G655" s="57"/>
      <c r="H655" s="57"/>
      <c r="I655" s="57"/>
      <c r="J655" s="57"/>
      <c r="K655" s="57"/>
      <c r="L655" s="57"/>
      <c r="M655" s="57"/>
      <c r="N655" s="57"/>
      <c r="O655" s="70"/>
      <c r="P655" s="57"/>
      <c r="Q655" s="24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220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149"/>
      <c r="AP655" s="149"/>
      <c r="AQ655" s="57"/>
      <c r="AR655" s="74"/>
      <c r="AS655" s="149"/>
      <c r="AT655" s="235"/>
      <c r="AU655" s="57"/>
      <c r="AV655" s="57"/>
      <c r="AW655" s="57"/>
      <c r="AX655" s="70"/>
      <c r="AY655" s="149"/>
      <c r="AZ655" s="112"/>
      <c r="BA655" s="236"/>
      <c r="BB655" s="236"/>
      <c r="BC655" s="152"/>
      <c r="BD655" s="152"/>
      <c r="BE655" s="236"/>
      <c r="BF655" s="262"/>
      <c r="BG655" s="262"/>
    </row>
    <row r="656" spans="1:59" ht="12.75" customHeight="1" x14ac:dyDescent="0.15">
      <c r="A656" s="57"/>
      <c r="B656" s="57"/>
      <c r="C656" s="57"/>
      <c r="D656" s="103"/>
      <c r="E656" s="125"/>
      <c r="F656" s="125"/>
      <c r="G656" s="57"/>
      <c r="H656" s="57"/>
      <c r="I656" s="57"/>
      <c r="J656" s="57"/>
      <c r="K656" s="57"/>
      <c r="L656" s="57"/>
      <c r="M656" s="57"/>
      <c r="N656" s="57"/>
      <c r="O656" s="70"/>
      <c r="P656" s="57"/>
      <c r="Q656" s="24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220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149"/>
      <c r="AP656" s="149"/>
      <c r="AQ656" s="57"/>
      <c r="AR656" s="74"/>
      <c r="AS656" s="149"/>
      <c r="AT656" s="235"/>
      <c r="AU656" s="57"/>
      <c r="AV656" s="57"/>
      <c r="AW656" s="57"/>
      <c r="AX656" s="70"/>
      <c r="AY656" s="149"/>
      <c r="AZ656" s="112"/>
      <c r="BA656" s="236"/>
      <c r="BB656" s="236"/>
      <c r="BC656" s="152"/>
      <c r="BD656" s="152"/>
      <c r="BE656" s="236"/>
      <c r="BF656" s="262"/>
      <c r="BG656" s="262"/>
    </row>
    <row r="657" spans="1:59" ht="12.75" customHeight="1" x14ac:dyDescent="0.15">
      <c r="A657" s="57"/>
      <c r="B657" s="57"/>
      <c r="C657" s="57"/>
      <c r="D657" s="103"/>
      <c r="E657" s="125"/>
      <c r="F657" s="125"/>
      <c r="G657" s="57"/>
      <c r="H657" s="57"/>
      <c r="I657" s="57"/>
      <c r="J657" s="57"/>
      <c r="K657" s="57"/>
      <c r="L657" s="57"/>
      <c r="M657" s="57"/>
      <c r="N657" s="57"/>
      <c r="O657" s="70"/>
      <c r="P657" s="57"/>
      <c r="Q657" s="24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220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149"/>
      <c r="AP657" s="149"/>
      <c r="AQ657" s="57"/>
      <c r="AR657" s="74"/>
      <c r="AS657" s="149"/>
      <c r="AT657" s="235"/>
      <c r="AU657" s="57"/>
      <c r="AV657" s="57"/>
      <c r="AW657" s="57"/>
      <c r="AX657" s="70"/>
      <c r="AY657" s="149"/>
      <c r="AZ657" s="112"/>
      <c r="BA657" s="236"/>
      <c r="BB657" s="236"/>
      <c r="BC657" s="152"/>
      <c r="BD657" s="152"/>
      <c r="BE657" s="236"/>
      <c r="BF657" s="262"/>
      <c r="BG657" s="262"/>
    </row>
    <row r="658" spans="1:59" ht="12.75" customHeight="1" x14ac:dyDescent="0.15">
      <c r="A658" s="57"/>
      <c r="B658" s="57"/>
      <c r="C658" s="57"/>
      <c r="D658" s="103"/>
      <c r="E658" s="125"/>
      <c r="F658" s="125"/>
      <c r="G658" s="57"/>
      <c r="H658" s="57"/>
      <c r="I658" s="57"/>
      <c r="J658" s="57"/>
      <c r="K658" s="57"/>
      <c r="L658" s="57"/>
      <c r="M658" s="57"/>
      <c r="N658" s="57"/>
      <c r="O658" s="70"/>
      <c r="P658" s="57"/>
      <c r="Q658" s="24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220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149"/>
      <c r="AP658" s="149"/>
      <c r="AQ658" s="57"/>
      <c r="AR658" s="74"/>
      <c r="AS658" s="149"/>
      <c r="AT658" s="235"/>
      <c r="AU658" s="57"/>
      <c r="AV658" s="57"/>
      <c r="AW658" s="57"/>
      <c r="AX658" s="70"/>
      <c r="AY658" s="149"/>
      <c r="AZ658" s="112"/>
      <c r="BA658" s="236"/>
      <c r="BB658" s="236"/>
      <c r="BC658" s="152"/>
      <c r="BD658" s="152"/>
      <c r="BE658" s="236"/>
      <c r="BF658" s="262"/>
      <c r="BG658" s="262"/>
    </row>
    <row r="659" spans="1:59" ht="12.75" customHeight="1" x14ac:dyDescent="0.15">
      <c r="A659" s="57"/>
      <c r="B659" s="57"/>
      <c r="C659" s="57"/>
      <c r="D659" s="103"/>
      <c r="E659" s="125"/>
      <c r="F659" s="125"/>
      <c r="G659" s="57"/>
      <c r="H659" s="57"/>
      <c r="I659" s="57"/>
      <c r="J659" s="57"/>
      <c r="K659" s="57"/>
      <c r="L659" s="57"/>
      <c r="M659" s="57"/>
      <c r="N659" s="57"/>
      <c r="O659" s="70"/>
      <c r="P659" s="57"/>
      <c r="Q659" s="24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220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149"/>
      <c r="AP659" s="149"/>
      <c r="AQ659" s="57"/>
      <c r="AR659" s="74"/>
      <c r="AS659" s="149"/>
      <c r="AT659" s="235"/>
      <c r="AU659" s="57"/>
      <c r="AV659" s="57"/>
      <c r="AW659" s="57"/>
      <c r="AX659" s="70"/>
      <c r="AY659" s="149"/>
      <c r="AZ659" s="112"/>
      <c r="BA659" s="236"/>
      <c r="BB659" s="236"/>
      <c r="BC659" s="152"/>
      <c r="BD659" s="152"/>
      <c r="BE659" s="236"/>
      <c r="BF659" s="262"/>
      <c r="BG659" s="262"/>
    </row>
    <row r="660" spans="1:59" ht="12.75" customHeight="1" x14ac:dyDescent="0.15">
      <c r="A660" s="57"/>
      <c r="B660" s="57"/>
      <c r="C660" s="57"/>
      <c r="D660" s="103"/>
      <c r="E660" s="125"/>
      <c r="F660" s="125"/>
      <c r="G660" s="57"/>
      <c r="H660" s="57"/>
      <c r="I660" s="57"/>
      <c r="J660" s="57"/>
      <c r="K660" s="57"/>
      <c r="L660" s="57"/>
      <c r="M660" s="57"/>
      <c r="N660" s="57"/>
      <c r="O660" s="70"/>
      <c r="P660" s="57"/>
      <c r="Q660" s="24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220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149"/>
      <c r="AP660" s="149"/>
      <c r="AQ660" s="57"/>
      <c r="AR660" s="74"/>
      <c r="AS660" s="149"/>
      <c r="AT660" s="235"/>
      <c r="AU660" s="57"/>
      <c r="AV660" s="57"/>
      <c r="AW660" s="57"/>
      <c r="AX660" s="70"/>
      <c r="AY660" s="149"/>
      <c r="AZ660" s="112"/>
      <c r="BA660" s="236"/>
      <c r="BB660" s="236"/>
      <c r="BC660" s="152"/>
      <c r="BD660" s="152"/>
      <c r="BE660" s="236"/>
      <c r="BF660" s="262"/>
      <c r="BG660" s="262"/>
    </row>
    <row r="661" spans="1:59" ht="12.75" customHeight="1" x14ac:dyDescent="0.15">
      <c r="A661" s="57"/>
      <c r="B661" s="57"/>
      <c r="C661" s="57"/>
      <c r="D661" s="103"/>
      <c r="E661" s="125"/>
      <c r="F661" s="125"/>
      <c r="G661" s="57"/>
      <c r="H661" s="57"/>
      <c r="I661" s="57"/>
      <c r="J661" s="57"/>
      <c r="K661" s="57"/>
      <c r="L661" s="57"/>
      <c r="M661" s="57"/>
      <c r="N661" s="57"/>
      <c r="O661" s="70"/>
      <c r="P661" s="57"/>
      <c r="Q661" s="24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220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149"/>
      <c r="AP661" s="149"/>
      <c r="AQ661" s="57"/>
      <c r="AR661" s="74"/>
      <c r="AS661" s="149"/>
      <c r="AT661" s="235"/>
      <c r="AU661" s="57"/>
      <c r="AV661" s="57"/>
      <c r="AW661" s="57"/>
      <c r="AX661" s="70"/>
      <c r="AY661" s="149"/>
      <c r="AZ661" s="112"/>
      <c r="BA661" s="236"/>
      <c r="BB661" s="236"/>
      <c r="BC661" s="152"/>
      <c r="BD661" s="152"/>
      <c r="BE661" s="236"/>
      <c r="BF661" s="262"/>
      <c r="BG661" s="262"/>
    </row>
    <row r="662" spans="1:59" ht="12.75" customHeight="1" x14ac:dyDescent="0.15">
      <c r="A662" s="57"/>
      <c r="B662" s="57"/>
      <c r="C662" s="57"/>
      <c r="D662" s="103"/>
      <c r="E662" s="125"/>
      <c r="F662" s="125"/>
      <c r="G662" s="57"/>
      <c r="H662" s="57"/>
      <c r="I662" s="57"/>
      <c r="J662" s="57"/>
      <c r="K662" s="57"/>
      <c r="L662" s="57"/>
      <c r="M662" s="57"/>
      <c r="N662" s="57"/>
      <c r="O662" s="70"/>
      <c r="P662" s="57"/>
      <c r="Q662" s="24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220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149"/>
      <c r="AP662" s="149"/>
      <c r="AQ662" s="57"/>
      <c r="AR662" s="74"/>
      <c r="AS662" s="149"/>
      <c r="AT662" s="235"/>
      <c r="AU662" s="57"/>
      <c r="AV662" s="57"/>
      <c r="AW662" s="57"/>
      <c r="AX662" s="70"/>
      <c r="AY662" s="149"/>
      <c r="AZ662" s="112"/>
      <c r="BA662" s="236"/>
      <c r="BB662" s="236"/>
      <c r="BC662" s="152"/>
      <c r="BD662" s="152"/>
      <c r="BE662" s="236"/>
      <c r="BF662" s="262"/>
      <c r="BG662" s="262"/>
    </row>
    <row r="663" spans="1:59" ht="12.75" customHeight="1" x14ac:dyDescent="0.15">
      <c r="A663" s="57"/>
      <c r="B663" s="57"/>
      <c r="C663" s="57"/>
      <c r="D663" s="103"/>
      <c r="E663" s="125"/>
      <c r="F663" s="125"/>
      <c r="G663" s="57"/>
      <c r="H663" s="57"/>
      <c r="I663" s="57"/>
      <c r="J663" s="57"/>
      <c r="K663" s="57"/>
      <c r="L663" s="57"/>
      <c r="M663" s="57"/>
      <c r="N663" s="57"/>
      <c r="O663" s="70"/>
      <c r="P663" s="57"/>
      <c r="Q663" s="24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220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149"/>
      <c r="AP663" s="149"/>
      <c r="AQ663" s="57"/>
      <c r="AR663" s="74"/>
      <c r="AS663" s="149"/>
      <c r="AT663" s="235"/>
      <c r="AU663" s="57"/>
      <c r="AV663" s="57"/>
      <c r="AW663" s="57"/>
      <c r="AX663" s="70"/>
      <c r="AY663" s="149"/>
      <c r="AZ663" s="112"/>
      <c r="BA663" s="236"/>
      <c r="BB663" s="236"/>
      <c r="BC663" s="152"/>
      <c r="BD663" s="152"/>
      <c r="BE663" s="236"/>
      <c r="BF663" s="262"/>
      <c r="BG663" s="262"/>
    </row>
    <row r="664" spans="1:59" ht="12.75" customHeight="1" x14ac:dyDescent="0.15">
      <c r="A664" s="57"/>
      <c r="B664" s="57"/>
      <c r="C664" s="57"/>
      <c r="D664" s="103"/>
      <c r="E664" s="125"/>
      <c r="F664" s="125"/>
      <c r="G664" s="57"/>
      <c r="H664" s="57"/>
      <c r="I664" s="57"/>
      <c r="J664" s="57"/>
      <c r="K664" s="57"/>
      <c r="L664" s="57"/>
      <c r="M664" s="57"/>
      <c r="N664" s="57"/>
      <c r="O664" s="70"/>
      <c r="P664" s="57"/>
      <c r="Q664" s="24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220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149"/>
      <c r="AP664" s="149"/>
      <c r="AQ664" s="57"/>
      <c r="AR664" s="74"/>
      <c r="AS664" s="149"/>
      <c r="AT664" s="235"/>
      <c r="AU664" s="57"/>
      <c r="AV664" s="57"/>
      <c r="AW664" s="57"/>
      <c r="AX664" s="70"/>
      <c r="AY664" s="149"/>
      <c r="AZ664" s="112"/>
      <c r="BA664" s="236"/>
      <c r="BB664" s="236"/>
      <c r="BC664" s="152"/>
      <c r="BD664" s="152"/>
      <c r="BE664" s="236"/>
      <c r="BF664" s="262"/>
      <c r="BG664" s="262"/>
    </row>
    <row r="665" spans="1:59" ht="12.75" customHeight="1" x14ac:dyDescent="0.15">
      <c r="A665" s="57"/>
      <c r="B665" s="57"/>
      <c r="C665" s="57"/>
      <c r="D665" s="103"/>
      <c r="E665" s="125"/>
      <c r="F665" s="125"/>
      <c r="G665" s="57"/>
      <c r="H665" s="57"/>
      <c r="I665" s="57"/>
      <c r="J665" s="57"/>
      <c r="K665" s="57"/>
      <c r="L665" s="57"/>
      <c r="M665" s="57"/>
      <c r="N665" s="57"/>
      <c r="O665" s="70"/>
      <c r="P665" s="57"/>
      <c r="Q665" s="24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220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149"/>
      <c r="AP665" s="149"/>
      <c r="AQ665" s="57"/>
      <c r="AR665" s="74"/>
      <c r="AS665" s="149"/>
      <c r="AT665" s="235"/>
      <c r="AU665" s="57"/>
      <c r="AV665" s="57"/>
      <c r="AW665" s="57"/>
      <c r="AX665" s="70"/>
      <c r="AY665" s="149"/>
      <c r="AZ665" s="112"/>
      <c r="BA665" s="236"/>
      <c r="BB665" s="236"/>
      <c r="BC665" s="152"/>
      <c r="BD665" s="152"/>
      <c r="BE665" s="236"/>
      <c r="BF665" s="262"/>
      <c r="BG665" s="262"/>
    </row>
    <row r="666" spans="1:59" ht="12.75" customHeight="1" x14ac:dyDescent="0.15">
      <c r="A666" s="57"/>
      <c r="B666" s="57"/>
      <c r="C666" s="57"/>
      <c r="D666" s="103"/>
      <c r="E666" s="125"/>
      <c r="F666" s="125"/>
      <c r="G666" s="57"/>
      <c r="H666" s="57"/>
      <c r="I666" s="57"/>
      <c r="J666" s="57"/>
      <c r="K666" s="57"/>
      <c r="L666" s="57"/>
      <c r="M666" s="57"/>
      <c r="N666" s="57"/>
      <c r="O666" s="70"/>
      <c r="P666" s="57"/>
      <c r="Q666" s="24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220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149"/>
      <c r="AP666" s="149"/>
      <c r="AQ666" s="57"/>
      <c r="AR666" s="74"/>
      <c r="AS666" s="149"/>
      <c r="AT666" s="235"/>
      <c r="AU666" s="57"/>
      <c r="AV666" s="57"/>
      <c r="AW666" s="57"/>
      <c r="AX666" s="70"/>
      <c r="AY666" s="149"/>
      <c r="AZ666" s="112"/>
      <c r="BA666" s="236"/>
      <c r="BB666" s="236"/>
      <c r="BC666" s="152"/>
      <c r="BD666" s="152"/>
      <c r="BE666" s="236"/>
      <c r="BF666" s="262"/>
      <c r="BG666" s="262"/>
    </row>
    <row r="667" spans="1:59" ht="12.75" customHeight="1" x14ac:dyDescent="0.15">
      <c r="A667" s="57"/>
      <c r="B667" s="57"/>
      <c r="C667" s="57"/>
      <c r="D667" s="103"/>
      <c r="E667" s="125"/>
      <c r="F667" s="125"/>
      <c r="G667" s="57"/>
      <c r="H667" s="57"/>
      <c r="I667" s="57"/>
      <c r="J667" s="57"/>
      <c r="K667" s="57"/>
      <c r="L667" s="57"/>
      <c r="M667" s="57"/>
      <c r="N667" s="57"/>
      <c r="O667" s="70"/>
      <c r="P667" s="57"/>
      <c r="Q667" s="24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220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149"/>
      <c r="AP667" s="149"/>
      <c r="AQ667" s="57"/>
      <c r="AR667" s="74"/>
      <c r="AS667" s="149"/>
      <c r="AT667" s="235"/>
      <c r="AU667" s="57"/>
      <c r="AV667" s="57"/>
      <c r="AW667" s="57"/>
      <c r="AX667" s="70"/>
      <c r="AY667" s="149"/>
      <c r="AZ667" s="112"/>
      <c r="BA667" s="236"/>
      <c r="BB667" s="236"/>
      <c r="BC667" s="152"/>
      <c r="BD667" s="152"/>
      <c r="BE667" s="236"/>
      <c r="BF667" s="262"/>
      <c r="BG667" s="262"/>
    </row>
    <row r="668" spans="1:59" ht="12.75" customHeight="1" x14ac:dyDescent="0.15">
      <c r="A668" s="57"/>
      <c r="B668" s="57"/>
      <c r="C668" s="57"/>
      <c r="D668" s="103"/>
      <c r="E668" s="125"/>
      <c r="F668" s="125"/>
      <c r="G668" s="57"/>
      <c r="H668" s="57"/>
      <c r="I668" s="57"/>
      <c r="J668" s="57"/>
      <c r="K668" s="57"/>
      <c r="L668" s="57"/>
      <c r="M668" s="57"/>
      <c r="N668" s="57"/>
      <c r="O668" s="70"/>
      <c r="P668" s="57"/>
      <c r="Q668" s="24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220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149"/>
      <c r="AP668" s="149"/>
      <c r="AQ668" s="57"/>
      <c r="AR668" s="74"/>
      <c r="AS668" s="149"/>
      <c r="AT668" s="235"/>
      <c r="AU668" s="57"/>
      <c r="AV668" s="57"/>
      <c r="AW668" s="57"/>
      <c r="AX668" s="70"/>
      <c r="AY668" s="149"/>
      <c r="AZ668" s="112"/>
      <c r="BA668" s="236"/>
      <c r="BB668" s="236"/>
      <c r="BC668" s="152"/>
      <c r="BD668" s="152"/>
      <c r="BE668" s="236"/>
      <c r="BF668" s="262"/>
      <c r="BG668" s="262"/>
    </row>
    <row r="669" spans="1:59" ht="12.75" customHeight="1" x14ac:dyDescent="0.15">
      <c r="A669" s="57"/>
      <c r="B669" s="57"/>
      <c r="C669" s="57"/>
      <c r="D669" s="103"/>
      <c r="E669" s="125"/>
      <c r="F669" s="125"/>
      <c r="G669" s="57"/>
      <c r="H669" s="57"/>
      <c r="I669" s="57"/>
      <c r="J669" s="57"/>
      <c r="K669" s="57"/>
      <c r="L669" s="57"/>
      <c r="M669" s="57"/>
      <c r="N669" s="57"/>
      <c r="O669" s="70"/>
      <c r="P669" s="57"/>
      <c r="Q669" s="24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220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149"/>
      <c r="AP669" s="149"/>
      <c r="AQ669" s="57"/>
      <c r="AR669" s="74"/>
      <c r="AS669" s="149"/>
      <c r="AT669" s="235"/>
      <c r="AU669" s="57"/>
      <c r="AV669" s="57"/>
      <c r="AW669" s="57"/>
      <c r="AX669" s="70"/>
      <c r="AY669" s="149"/>
      <c r="AZ669" s="112"/>
      <c r="BA669" s="236"/>
      <c r="BB669" s="236"/>
      <c r="BC669" s="152"/>
      <c r="BD669" s="152"/>
      <c r="BE669" s="236"/>
      <c r="BF669" s="262"/>
      <c r="BG669" s="262"/>
    </row>
    <row r="670" spans="1:59" ht="12.75" customHeight="1" x14ac:dyDescent="0.15">
      <c r="A670" s="57"/>
      <c r="B670" s="57"/>
      <c r="C670" s="57"/>
      <c r="D670" s="103"/>
      <c r="E670" s="125"/>
      <c r="F670" s="125"/>
      <c r="G670" s="57"/>
      <c r="H670" s="57"/>
      <c r="I670" s="57"/>
      <c r="J670" s="57"/>
      <c r="K670" s="57"/>
      <c r="L670" s="57"/>
      <c r="M670" s="57"/>
      <c r="N670" s="57"/>
      <c r="O670" s="70"/>
      <c r="P670" s="57"/>
      <c r="Q670" s="24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220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149"/>
      <c r="AP670" s="149"/>
      <c r="AQ670" s="57"/>
      <c r="AR670" s="74"/>
      <c r="AS670" s="149"/>
      <c r="AT670" s="235"/>
      <c r="AU670" s="57"/>
      <c r="AV670" s="57"/>
      <c r="AW670" s="57"/>
      <c r="AX670" s="70"/>
      <c r="AY670" s="149"/>
      <c r="AZ670" s="112"/>
      <c r="BA670" s="236"/>
      <c r="BB670" s="236"/>
      <c r="BC670" s="152"/>
      <c r="BD670" s="152"/>
      <c r="BE670" s="236"/>
      <c r="BF670" s="262"/>
      <c r="BG670" s="262"/>
    </row>
    <row r="671" spans="1:59" ht="12.75" customHeight="1" x14ac:dyDescent="0.15">
      <c r="A671" s="57"/>
      <c r="B671" s="57"/>
      <c r="C671" s="57"/>
      <c r="D671" s="103"/>
      <c r="E671" s="125"/>
      <c r="F671" s="125"/>
      <c r="G671" s="57"/>
      <c r="H671" s="57"/>
      <c r="I671" s="57"/>
      <c r="J671" s="57"/>
      <c r="K671" s="57"/>
      <c r="L671" s="57"/>
      <c r="M671" s="57"/>
      <c r="N671" s="57"/>
      <c r="O671" s="70"/>
      <c r="P671" s="57"/>
      <c r="Q671" s="24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220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149"/>
      <c r="AP671" s="149"/>
      <c r="AQ671" s="57"/>
      <c r="AR671" s="74"/>
      <c r="AS671" s="149"/>
      <c r="AT671" s="235"/>
      <c r="AU671" s="57"/>
      <c r="AV671" s="57"/>
      <c r="AW671" s="57"/>
      <c r="AX671" s="70"/>
      <c r="AY671" s="149"/>
      <c r="AZ671" s="112"/>
      <c r="BA671" s="236"/>
      <c r="BB671" s="236"/>
      <c r="BC671" s="152"/>
      <c r="BD671" s="152"/>
      <c r="BE671" s="236"/>
      <c r="BF671" s="262"/>
      <c r="BG671" s="262"/>
    </row>
    <row r="672" spans="1:59" ht="12.75" customHeight="1" x14ac:dyDescent="0.15">
      <c r="A672" s="57"/>
      <c r="B672" s="57"/>
      <c r="C672" s="57"/>
      <c r="D672" s="103"/>
      <c r="E672" s="125"/>
      <c r="F672" s="125"/>
      <c r="G672" s="57"/>
      <c r="H672" s="57"/>
      <c r="I672" s="57"/>
      <c r="J672" s="57"/>
      <c r="K672" s="57"/>
      <c r="L672" s="57"/>
      <c r="M672" s="57"/>
      <c r="N672" s="57"/>
      <c r="O672" s="70"/>
      <c r="P672" s="57"/>
      <c r="Q672" s="24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220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149"/>
      <c r="AP672" s="149"/>
      <c r="AQ672" s="57"/>
      <c r="AR672" s="74"/>
      <c r="AS672" s="149"/>
      <c r="AT672" s="235"/>
      <c r="AU672" s="57"/>
      <c r="AV672" s="57"/>
      <c r="AW672" s="57"/>
      <c r="AX672" s="70"/>
      <c r="AY672" s="149"/>
      <c r="AZ672" s="112"/>
      <c r="BA672" s="236"/>
      <c r="BB672" s="236"/>
      <c r="BC672" s="152"/>
      <c r="BD672" s="152"/>
      <c r="BE672" s="236"/>
      <c r="BF672" s="262"/>
      <c r="BG672" s="262"/>
    </row>
    <row r="673" spans="1:59" ht="12.75" customHeight="1" x14ac:dyDescent="0.15">
      <c r="A673" s="57"/>
      <c r="B673" s="57"/>
      <c r="C673" s="57"/>
      <c r="D673" s="103"/>
      <c r="E673" s="125"/>
      <c r="F673" s="125"/>
      <c r="G673" s="57"/>
      <c r="H673" s="57"/>
      <c r="I673" s="57"/>
      <c r="J673" s="57"/>
      <c r="K673" s="57"/>
      <c r="L673" s="57"/>
      <c r="M673" s="57"/>
      <c r="N673" s="57"/>
      <c r="O673" s="70"/>
      <c r="P673" s="57"/>
      <c r="Q673" s="24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220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149"/>
      <c r="AP673" s="149"/>
      <c r="AQ673" s="57"/>
      <c r="AR673" s="74"/>
      <c r="AS673" s="149"/>
      <c r="AT673" s="235"/>
      <c r="AU673" s="57"/>
      <c r="AV673" s="57"/>
      <c r="AW673" s="57"/>
      <c r="AX673" s="70"/>
      <c r="AY673" s="149"/>
      <c r="AZ673" s="112"/>
      <c r="BA673" s="236"/>
      <c r="BB673" s="236"/>
      <c r="BC673" s="152"/>
      <c r="BD673" s="152"/>
      <c r="BE673" s="236"/>
      <c r="BF673" s="262"/>
      <c r="BG673" s="262"/>
    </row>
    <row r="674" spans="1:59" ht="12.75" customHeight="1" x14ac:dyDescent="0.15">
      <c r="A674" s="57"/>
      <c r="B674" s="57"/>
      <c r="C674" s="57"/>
      <c r="D674" s="103"/>
      <c r="E674" s="125"/>
      <c r="F674" s="125"/>
      <c r="G674" s="57"/>
      <c r="H674" s="57"/>
      <c r="I674" s="57"/>
      <c r="J674" s="57"/>
      <c r="K674" s="57"/>
      <c r="L674" s="57"/>
      <c r="M674" s="57"/>
      <c r="N674" s="57"/>
      <c r="O674" s="70"/>
      <c r="P674" s="57"/>
      <c r="Q674" s="24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220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149"/>
      <c r="AP674" s="149"/>
      <c r="AQ674" s="57"/>
      <c r="AR674" s="74"/>
      <c r="AS674" s="149"/>
      <c r="AT674" s="235"/>
      <c r="AU674" s="57"/>
      <c r="AV674" s="57"/>
      <c r="AW674" s="57"/>
      <c r="AX674" s="70"/>
      <c r="AY674" s="149"/>
      <c r="AZ674" s="112"/>
      <c r="BA674" s="236"/>
      <c r="BB674" s="236"/>
      <c r="BC674" s="152"/>
      <c r="BD674" s="152"/>
      <c r="BE674" s="236"/>
      <c r="BF674" s="262"/>
      <c r="BG674" s="262"/>
    </row>
    <row r="675" spans="1:59" ht="12.75" customHeight="1" x14ac:dyDescent="0.15">
      <c r="A675" s="57"/>
      <c r="B675" s="57"/>
      <c r="C675" s="57"/>
      <c r="D675" s="103"/>
      <c r="E675" s="125"/>
      <c r="F675" s="125"/>
      <c r="G675" s="57"/>
      <c r="H675" s="57"/>
      <c r="I675" s="57"/>
      <c r="J675" s="57"/>
      <c r="K675" s="57"/>
      <c r="L675" s="57"/>
      <c r="M675" s="57"/>
      <c r="N675" s="57"/>
      <c r="O675" s="70"/>
      <c r="P675" s="57"/>
      <c r="Q675" s="24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220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149"/>
      <c r="AP675" s="149"/>
      <c r="AQ675" s="57"/>
      <c r="AR675" s="74"/>
      <c r="AS675" s="149"/>
      <c r="AT675" s="235"/>
      <c r="AU675" s="57"/>
      <c r="AV675" s="57"/>
      <c r="AW675" s="57"/>
      <c r="AX675" s="70"/>
      <c r="AY675" s="149"/>
      <c r="AZ675" s="112"/>
      <c r="BA675" s="236"/>
      <c r="BB675" s="236"/>
      <c r="BC675" s="152"/>
      <c r="BD675" s="152"/>
      <c r="BE675" s="236"/>
      <c r="BF675" s="262"/>
      <c r="BG675" s="262"/>
    </row>
    <row r="676" spans="1:59" ht="12.75" customHeight="1" x14ac:dyDescent="0.15">
      <c r="A676" s="57"/>
      <c r="B676" s="57"/>
      <c r="C676" s="57"/>
      <c r="D676" s="103"/>
      <c r="E676" s="125"/>
      <c r="F676" s="125"/>
      <c r="G676" s="57"/>
      <c r="H676" s="57"/>
      <c r="I676" s="57"/>
      <c r="J676" s="57"/>
      <c r="K676" s="57"/>
      <c r="L676" s="57"/>
      <c r="M676" s="57"/>
      <c r="N676" s="57"/>
      <c r="O676" s="70"/>
      <c r="P676" s="57"/>
      <c r="Q676" s="24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220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149"/>
      <c r="AP676" s="149"/>
      <c r="AQ676" s="57"/>
      <c r="AR676" s="74"/>
      <c r="AS676" s="149"/>
      <c r="AT676" s="235"/>
      <c r="AU676" s="57"/>
      <c r="AV676" s="57"/>
      <c r="AW676" s="57"/>
      <c r="AX676" s="70"/>
      <c r="AY676" s="149"/>
      <c r="AZ676" s="112"/>
      <c r="BA676" s="236"/>
      <c r="BB676" s="236"/>
      <c r="BC676" s="152"/>
      <c r="BD676" s="152"/>
      <c r="BE676" s="236"/>
      <c r="BF676" s="262"/>
      <c r="BG676" s="262"/>
    </row>
    <row r="677" spans="1:59" ht="12.75" customHeight="1" x14ac:dyDescent="0.15">
      <c r="A677" s="57"/>
      <c r="B677" s="57"/>
      <c r="C677" s="57"/>
      <c r="D677" s="103"/>
      <c r="E677" s="125"/>
      <c r="F677" s="125"/>
      <c r="G677" s="57"/>
      <c r="H677" s="57"/>
      <c r="I677" s="57"/>
      <c r="J677" s="57"/>
      <c r="K677" s="57"/>
      <c r="L677" s="57"/>
      <c r="M677" s="57"/>
      <c r="N677" s="57"/>
      <c r="O677" s="70"/>
      <c r="P677" s="57"/>
      <c r="Q677" s="24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220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149"/>
      <c r="AP677" s="149"/>
      <c r="AQ677" s="57"/>
      <c r="AR677" s="74"/>
      <c r="AS677" s="149"/>
      <c r="AT677" s="235"/>
      <c r="AU677" s="57"/>
      <c r="AV677" s="57"/>
      <c r="AW677" s="57"/>
      <c r="AX677" s="70"/>
      <c r="AY677" s="149"/>
      <c r="AZ677" s="112"/>
      <c r="BA677" s="236"/>
      <c r="BB677" s="236"/>
      <c r="BC677" s="152"/>
      <c r="BD677" s="152"/>
      <c r="BE677" s="236"/>
      <c r="BF677" s="262"/>
      <c r="BG677" s="262"/>
    </row>
    <row r="678" spans="1:59" ht="12.75" customHeight="1" x14ac:dyDescent="0.15">
      <c r="A678" s="57"/>
      <c r="B678" s="57"/>
      <c r="C678" s="57"/>
      <c r="D678" s="103"/>
      <c r="E678" s="125"/>
      <c r="F678" s="125"/>
      <c r="G678" s="57"/>
      <c r="H678" s="57"/>
      <c r="I678" s="57"/>
      <c r="J678" s="57"/>
      <c r="K678" s="57"/>
      <c r="L678" s="57"/>
      <c r="M678" s="57"/>
      <c r="N678" s="57"/>
      <c r="O678" s="70"/>
      <c r="P678" s="57"/>
      <c r="Q678" s="24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220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149"/>
      <c r="AP678" s="149"/>
      <c r="AQ678" s="57"/>
      <c r="AR678" s="74"/>
      <c r="AS678" s="149"/>
      <c r="AT678" s="235"/>
      <c r="AU678" s="57"/>
      <c r="AV678" s="57"/>
      <c r="AW678" s="57"/>
      <c r="AX678" s="70"/>
      <c r="AY678" s="149"/>
      <c r="AZ678" s="112"/>
      <c r="BA678" s="236"/>
      <c r="BB678" s="236"/>
      <c r="BC678" s="152"/>
      <c r="BD678" s="152"/>
      <c r="BE678" s="236"/>
      <c r="BF678" s="262"/>
      <c r="BG678" s="262"/>
    </row>
    <row r="679" spans="1:59" ht="12.75" customHeight="1" x14ac:dyDescent="0.15">
      <c r="A679" s="57"/>
      <c r="B679" s="57"/>
      <c r="C679" s="57"/>
      <c r="D679" s="103"/>
      <c r="E679" s="125"/>
      <c r="F679" s="125"/>
      <c r="G679" s="57"/>
      <c r="H679" s="57"/>
      <c r="I679" s="57"/>
      <c r="J679" s="57"/>
      <c r="K679" s="57"/>
      <c r="L679" s="57"/>
      <c r="M679" s="57"/>
      <c r="N679" s="57"/>
      <c r="O679" s="70"/>
      <c r="P679" s="57"/>
      <c r="Q679" s="24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220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149"/>
      <c r="AP679" s="149"/>
      <c r="AQ679" s="57"/>
      <c r="AR679" s="74"/>
      <c r="AS679" s="149"/>
      <c r="AT679" s="235"/>
      <c r="AU679" s="57"/>
      <c r="AV679" s="57"/>
      <c r="AW679" s="57"/>
      <c r="AX679" s="70"/>
      <c r="AY679" s="149"/>
      <c r="AZ679" s="112"/>
      <c r="BA679" s="236"/>
      <c r="BB679" s="236"/>
      <c r="BC679" s="152"/>
      <c r="BD679" s="152"/>
      <c r="BE679" s="236"/>
      <c r="BF679" s="262"/>
      <c r="BG679" s="262"/>
    </row>
    <row r="680" spans="1:59" ht="12.75" customHeight="1" x14ac:dyDescent="0.15">
      <c r="A680" s="57"/>
      <c r="B680" s="57"/>
      <c r="C680" s="57"/>
      <c r="D680" s="103"/>
      <c r="E680" s="125"/>
      <c r="F680" s="125"/>
      <c r="G680" s="57"/>
      <c r="H680" s="57"/>
      <c r="I680" s="57"/>
      <c r="J680" s="57"/>
      <c r="K680" s="57"/>
      <c r="L680" s="57"/>
      <c r="M680" s="57"/>
      <c r="N680" s="57"/>
      <c r="O680" s="70"/>
      <c r="P680" s="57"/>
      <c r="Q680" s="24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220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149"/>
      <c r="AP680" s="149"/>
      <c r="AQ680" s="57"/>
      <c r="AR680" s="74"/>
      <c r="AS680" s="149"/>
      <c r="AT680" s="235"/>
      <c r="AU680" s="57"/>
      <c r="AV680" s="57"/>
      <c r="AW680" s="57"/>
      <c r="AX680" s="70"/>
      <c r="AY680" s="149"/>
      <c r="AZ680" s="112"/>
      <c r="BA680" s="236"/>
      <c r="BB680" s="236"/>
      <c r="BC680" s="152"/>
      <c r="BD680" s="152"/>
      <c r="BE680" s="236"/>
      <c r="BF680" s="262"/>
      <c r="BG680" s="262"/>
    </row>
    <row r="681" spans="1:59" ht="12.75" customHeight="1" x14ac:dyDescent="0.15">
      <c r="A681" s="57"/>
      <c r="B681" s="57"/>
      <c r="C681" s="57"/>
      <c r="D681" s="103"/>
      <c r="E681" s="125"/>
      <c r="F681" s="125"/>
      <c r="G681" s="57"/>
      <c r="H681" s="57"/>
      <c r="I681" s="57"/>
      <c r="J681" s="57"/>
      <c r="K681" s="57"/>
      <c r="L681" s="57"/>
      <c r="M681" s="57"/>
      <c r="N681" s="57"/>
      <c r="O681" s="70"/>
      <c r="P681" s="57"/>
      <c r="Q681" s="24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220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149"/>
      <c r="AP681" s="149"/>
      <c r="AQ681" s="57"/>
      <c r="AR681" s="74"/>
      <c r="AS681" s="149"/>
      <c r="AT681" s="235"/>
      <c r="AU681" s="57"/>
      <c r="AV681" s="57"/>
      <c r="AW681" s="57"/>
      <c r="AX681" s="70"/>
      <c r="AY681" s="149"/>
      <c r="AZ681" s="112"/>
      <c r="BA681" s="236"/>
      <c r="BB681" s="236"/>
      <c r="BC681" s="152"/>
      <c r="BD681" s="152"/>
      <c r="BE681" s="236"/>
      <c r="BF681" s="262"/>
      <c r="BG681" s="262"/>
    </row>
    <row r="682" spans="1:59" ht="12.75" customHeight="1" x14ac:dyDescent="0.15">
      <c r="A682" s="57"/>
      <c r="B682" s="57"/>
      <c r="C682" s="57"/>
      <c r="D682" s="103"/>
      <c r="E682" s="125"/>
      <c r="F682" s="125"/>
      <c r="G682" s="57"/>
      <c r="H682" s="57"/>
      <c r="I682" s="57"/>
      <c r="J682" s="57"/>
      <c r="K682" s="57"/>
      <c r="L682" s="57"/>
      <c r="M682" s="57"/>
      <c r="N682" s="57"/>
      <c r="O682" s="70"/>
      <c r="P682" s="57"/>
      <c r="Q682" s="24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220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149"/>
      <c r="AP682" s="149"/>
      <c r="AQ682" s="57"/>
      <c r="AR682" s="74"/>
      <c r="AS682" s="149"/>
      <c r="AT682" s="235"/>
      <c r="AU682" s="57"/>
      <c r="AV682" s="57"/>
      <c r="AW682" s="57"/>
      <c r="AX682" s="70"/>
      <c r="AY682" s="149"/>
      <c r="AZ682" s="112"/>
      <c r="BA682" s="236"/>
      <c r="BB682" s="236"/>
      <c r="BC682" s="152"/>
      <c r="BD682" s="152"/>
      <c r="BE682" s="236"/>
      <c r="BF682" s="262"/>
      <c r="BG682" s="262"/>
    </row>
    <row r="683" spans="1:59" ht="12.75" customHeight="1" x14ac:dyDescent="0.15">
      <c r="A683" s="57"/>
      <c r="B683" s="57"/>
      <c r="C683" s="57"/>
      <c r="D683" s="103"/>
      <c r="E683" s="125"/>
      <c r="F683" s="125"/>
      <c r="G683" s="57"/>
      <c r="H683" s="57"/>
      <c r="I683" s="57"/>
      <c r="J683" s="57"/>
      <c r="K683" s="57"/>
      <c r="L683" s="57"/>
      <c r="M683" s="57"/>
      <c r="N683" s="57"/>
      <c r="O683" s="70"/>
      <c r="P683" s="57"/>
      <c r="Q683" s="24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220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149"/>
      <c r="AP683" s="149"/>
      <c r="AQ683" s="57"/>
      <c r="AR683" s="74"/>
      <c r="AS683" s="149"/>
      <c r="AT683" s="235"/>
      <c r="AU683" s="57"/>
      <c r="AV683" s="57"/>
      <c r="AW683" s="57"/>
      <c r="AX683" s="70"/>
      <c r="AY683" s="149"/>
      <c r="AZ683" s="112"/>
      <c r="BA683" s="236"/>
      <c r="BB683" s="236"/>
      <c r="BC683" s="152"/>
      <c r="BD683" s="152"/>
      <c r="BE683" s="236"/>
      <c r="BF683" s="262"/>
      <c r="BG683" s="262"/>
    </row>
    <row r="684" spans="1:59" ht="12.75" customHeight="1" x14ac:dyDescent="0.15">
      <c r="A684" s="57"/>
      <c r="B684" s="57"/>
      <c r="C684" s="57"/>
      <c r="D684" s="103"/>
      <c r="E684" s="125"/>
      <c r="F684" s="125"/>
      <c r="G684" s="57"/>
      <c r="H684" s="57"/>
      <c r="I684" s="57"/>
      <c r="J684" s="57"/>
      <c r="K684" s="57"/>
      <c r="L684" s="57"/>
      <c r="M684" s="57"/>
      <c r="N684" s="57"/>
      <c r="O684" s="70"/>
      <c r="P684" s="57"/>
      <c r="Q684" s="24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220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149"/>
      <c r="AP684" s="149"/>
      <c r="AQ684" s="57"/>
      <c r="AR684" s="74"/>
      <c r="AS684" s="149"/>
      <c r="AT684" s="235"/>
      <c r="AU684" s="57"/>
      <c r="AV684" s="57"/>
      <c r="AW684" s="57"/>
      <c r="AX684" s="70"/>
      <c r="AY684" s="149"/>
      <c r="AZ684" s="112"/>
      <c r="BA684" s="236"/>
      <c r="BB684" s="236"/>
      <c r="BC684" s="152"/>
      <c r="BD684" s="152"/>
      <c r="BE684" s="236"/>
      <c r="BF684" s="262"/>
      <c r="BG684" s="262"/>
    </row>
    <row r="685" spans="1:59" ht="12.75" customHeight="1" x14ac:dyDescent="0.15">
      <c r="A685" s="57"/>
      <c r="B685" s="57"/>
      <c r="C685" s="57"/>
      <c r="D685" s="103"/>
      <c r="E685" s="125"/>
      <c r="F685" s="125"/>
      <c r="G685" s="57"/>
      <c r="H685" s="57"/>
      <c r="I685" s="57"/>
      <c r="J685" s="57"/>
      <c r="K685" s="57"/>
      <c r="L685" s="57"/>
      <c r="M685" s="57"/>
      <c r="N685" s="57"/>
      <c r="O685" s="70"/>
      <c r="P685" s="57"/>
      <c r="Q685" s="24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220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149"/>
      <c r="AP685" s="149"/>
      <c r="AQ685" s="57"/>
      <c r="AR685" s="74"/>
      <c r="AS685" s="149"/>
      <c r="AT685" s="235"/>
      <c r="AU685" s="57"/>
      <c r="AV685" s="57"/>
      <c r="AW685" s="57"/>
      <c r="AX685" s="70"/>
      <c r="AY685" s="149"/>
      <c r="AZ685" s="112"/>
      <c r="BA685" s="236"/>
      <c r="BB685" s="236"/>
      <c r="BC685" s="152"/>
      <c r="BD685" s="152"/>
      <c r="BE685" s="236"/>
      <c r="BF685" s="262"/>
      <c r="BG685" s="262"/>
    </row>
    <row r="686" spans="1:59" ht="12.75" customHeight="1" x14ac:dyDescent="0.15">
      <c r="A686" s="57"/>
      <c r="B686" s="57"/>
      <c r="C686" s="57"/>
      <c r="D686" s="103"/>
      <c r="E686" s="125"/>
      <c r="F686" s="125"/>
      <c r="G686" s="57"/>
      <c r="H686" s="57"/>
      <c r="I686" s="57"/>
      <c r="J686" s="57"/>
      <c r="K686" s="57"/>
      <c r="L686" s="57"/>
      <c r="M686" s="57"/>
      <c r="N686" s="57"/>
      <c r="O686" s="70"/>
      <c r="P686" s="57"/>
      <c r="Q686" s="24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220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149"/>
      <c r="AP686" s="149"/>
      <c r="AQ686" s="57"/>
      <c r="AR686" s="74"/>
      <c r="AS686" s="149"/>
      <c r="AT686" s="235"/>
      <c r="AU686" s="57"/>
      <c r="AV686" s="57"/>
      <c r="AW686" s="57"/>
      <c r="AX686" s="70"/>
      <c r="AY686" s="149"/>
      <c r="AZ686" s="112"/>
      <c r="BA686" s="236"/>
      <c r="BB686" s="236"/>
      <c r="BC686" s="152"/>
      <c r="BD686" s="152"/>
      <c r="BE686" s="236"/>
      <c r="BF686" s="262"/>
      <c r="BG686" s="262"/>
    </row>
    <row r="687" spans="1:59" ht="12.75" customHeight="1" x14ac:dyDescent="0.15">
      <c r="A687" s="57"/>
      <c r="B687" s="57"/>
      <c r="C687" s="57"/>
      <c r="D687" s="103"/>
      <c r="E687" s="125"/>
      <c r="F687" s="125"/>
      <c r="G687" s="57"/>
      <c r="H687" s="57"/>
      <c r="I687" s="57"/>
      <c r="J687" s="57"/>
      <c r="K687" s="57"/>
      <c r="L687" s="57"/>
      <c r="M687" s="57"/>
      <c r="N687" s="57"/>
      <c r="O687" s="70"/>
      <c r="P687" s="57"/>
      <c r="Q687" s="24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220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149"/>
      <c r="AP687" s="149"/>
      <c r="AQ687" s="57"/>
      <c r="AR687" s="74"/>
      <c r="AS687" s="149"/>
      <c r="AT687" s="235"/>
      <c r="AU687" s="57"/>
      <c r="AV687" s="57"/>
      <c r="AW687" s="57"/>
      <c r="AX687" s="70"/>
      <c r="AY687" s="149"/>
      <c r="AZ687" s="112"/>
      <c r="BA687" s="236"/>
      <c r="BB687" s="236"/>
      <c r="BC687" s="152"/>
      <c r="BD687" s="152"/>
      <c r="BE687" s="236"/>
      <c r="BF687" s="262"/>
      <c r="BG687" s="262"/>
    </row>
    <row r="688" spans="1:59" ht="12.75" customHeight="1" x14ac:dyDescent="0.15">
      <c r="A688" s="57"/>
      <c r="B688" s="57"/>
      <c r="C688" s="57"/>
      <c r="D688" s="103"/>
      <c r="E688" s="125"/>
      <c r="F688" s="125"/>
      <c r="G688" s="57"/>
      <c r="H688" s="57"/>
      <c r="I688" s="57"/>
      <c r="J688" s="57"/>
      <c r="K688" s="57"/>
      <c r="L688" s="57"/>
      <c r="M688" s="57"/>
      <c r="N688" s="57"/>
      <c r="O688" s="70"/>
      <c r="P688" s="57"/>
      <c r="Q688" s="24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220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149"/>
      <c r="AP688" s="149"/>
      <c r="AQ688" s="57"/>
      <c r="AR688" s="74"/>
      <c r="AS688" s="149"/>
      <c r="AT688" s="235"/>
      <c r="AU688" s="57"/>
      <c r="AV688" s="57"/>
      <c r="AW688" s="57"/>
      <c r="AX688" s="70"/>
      <c r="AY688" s="149"/>
      <c r="AZ688" s="112"/>
      <c r="BA688" s="236"/>
      <c r="BB688" s="236"/>
      <c r="BC688" s="152"/>
      <c r="BD688" s="152"/>
      <c r="BE688" s="236"/>
      <c r="BF688" s="262"/>
      <c r="BG688" s="262"/>
    </row>
    <row r="689" spans="1:59" ht="12.75" customHeight="1" x14ac:dyDescent="0.15">
      <c r="A689" s="57"/>
      <c r="B689" s="57"/>
      <c r="C689" s="57"/>
      <c r="D689" s="103"/>
      <c r="E689" s="125"/>
      <c r="F689" s="125"/>
      <c r="G689" s="57"/>
      <c r="H689" s="57"/>
      <c r="I689" s="57"/>
      <c r="J689" s="57"/>
      <c r="K689" s="57"/>
      <c r="L689" s="57"/>
      <c r="M689" s="57"/>
      <c r="N689" s="57"/>
      <c r="O689" s="70"/>
      <c r="P689" s="57"/>
      <c r="Q689" s="24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220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149"/>
      <c r="AP689" s="149"/>
      <c r="AQ689" s="57"/>
      <c r="AR689" s="74"/>
      <c r="AS689" s="149"/>
      <c r="AT689" s="235"/>
      <c r="AU689" s="57"/>
      <c r="AV689" s="57"/>
      <c r="AW689" s="57"/>
      <c r="AX689" s="70"/>
      <c r="AY689" s="149"/>
      <c r="AZ689" s="112"/>
      <c r="BA689" s="236"/>
      <c r="BB689" s="236"/>
      <c r="BC689" s="152"/>
      <c r="BD689" s="152"/>
      <c r="BE689" s="236"/>
      <c r="BF689" s="262"/>
      <c r="BG689" s="262"/>
    </row>
    <row r="690" spans="1:59" ht="12.75" customHeight="1" x14ac:dyDescent="0.15">
      <c r="A690" s="57"/>
      <c r="B690" s="57"/>
      <c r="C690" s="57"/>
      <c r="D690" s="103"/>
      <c r="E690" s="125"/>
      <c r="F690" s="125"/>
      <c r="G690" s="57"/>
      <c r="H690" s="57"/>
      <c r="I690" s="57"/>
      <c r="J690" s="57"/>
      <c r="K690" s="57"/>
      <c r="L690" s="57"/>
      <c r="M690" s="57"/>
      <c r="N690" s="57"/>
      <c r="O690" s="70"/>
      <c r="P690" s="57"/>
      <c r="Q690" s="24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220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149"/>
      <c r="AP690" s="149"/>
      <c r="AQ690" s="57"/>
      <c r="AR690" s="74"/>
      <c r="AS690" s="149"/>
      <c r="AT690" s="235"/>
      <c r="AU690" s="57"/>
      <c r="AV690" s="57"/>
      <c r="AW690" s="57"/>
      <c r="AX690" s="70"/>
      <c r="AY690" s="149"/>
      <c r="AZ690" s="112"/>
      <c r="BA690" s="236"/>
      <c r="BB690" s="236"/>
      <c r="BC690" s="152"/>
      <c r="BD690" s="152"/>
      <c r="BE690" s="236"/>
      <c r="BF690" s="262"/>
      <c r="BG690" s="262"/>
    </row>
    <row r="691" spans="1:59" ht="12.75" customHeight="1" x14ac:dyDescent="0.15">
      <c r="A691" s="57"/>
      <c r="B691" s="57"/>
      <c r="C691" s="57"/>
      <c r="D691" s="103"/>
      <c r="E691" s="125"/>
      <c r="F691" s="125"/>
      <c r="G691" s="57"/>
      <c r="H691" s="57"/>
      <c r="I691" s="57"/>
      <c r="J691" s="57"/>
      <c r="K691" s="57"/>
      <c r="L691" s="57"/>
      <c r="M691" s="57"/>
      <c r="N691" s="57"/>
      <c r="O691" s="70"/>
      <c r="P691" s="57"/>
      <c r="Q691" s="24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220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149"/>
      <c r="AP691" s="149"/>
      <c r="AQ691" s="57"/>
      <c r="AR691" s="74"/>
      <c r="AS691" s="149"/>
      <c r="AT691" s="235"/>
      <c r="AU691" s="57"/>
      <c r="AV691" s="57"/>
      <c r="AW691" s="57"/>
      <c r="AX691" s="70"/>
      <c r="AY691" s="149"/>
      <c r="AZ691" s="112"/>
      <c r="BA691" s="236"/>
      <c r="BB691" s="236"/>
      <c r="BC691" s="152"/>
      <c r="BD691" s="152"/>
      <c r="BE691" s="236"/>
      <c r="BF691" s="262"/>
      <c r="BG691" s="262"/>
    </row>
    <row r="692" spans="1:59" ht="12.75" customHeight="1" x14ac:dyDescent="0.15">
      <c r="A692" s="57"/>
      <c r="B692" s="57"/>
      <c r="C692" s="57"/>
      <c r="D692" s="103"/>
      <c r="E692" s="125"/>
      <c r="F692" s="125"/>
      <c r="G692" s="57"/>
      <c r="H692" s="57"/>
      <c r="I692" s="57"/>
      <c r="J692" s="57"/>
      <c r="K692" s="57"/>
      <c r="L692" s="57"/>
      <c r="M692" s="57"/>
      <c r="N692" s="57"/>
      <c r="O692" s="70"/>
      <c r="P692" s="57"/>
      <c r="Q692" s="24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220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149"/>
      <c r="AP692" s="149"/>
      <c r="AQ692" s="57"/>
      <c r="AR692" s="74"/>
      <c r="AS692" s="149"/>
      <c r="AT692" s="235"/>
      <c r="AU692" s="57"/>
      <c r="AV692" s="57"/>
      <c r="AW692" s="57"/>
      <c r="AX692" s="70"/>
      <c r="AY692" s="149"/>
      <c r="AZ692" s="112"/>
      <c r="BA692" s="236"/>
      <c r="BB692" s="236"/>
      <c r="BC692" s="152"/>
      <c r="BD692" s="152"/>
      <c r="BE692" s="236"/>
      <c r="BF692" s="262"/>
      <c r="BG692" s="262"/>
    </row>
    <row r="693" spans="1:59" ht="12.75" customHeight="1" x14ac:dyDescent="0.15">
      <c r="A693" s="57"/>
      <c r="B693" s="57"/>
      <c r="C693" s="57"/>
      <c r="D693" s="103"/>
      <c r="E693" s="125"/>
      <c r="F693" s="125"/>
      <c r="G693" s="57"/>
      <c r="H693" s="57"/>
      <c r="I693" s="57"/>
      <c r="J693" s="57"/>
      <c r="K693" s="57"/>
      <c r="L693" s="57"/>
      <c r="M693" s="57"/>
      <c r="N693" s="57"/>
      <c r="O693" s="70"/>
      <c r="P693" s="57"/>
      <c r="Q693" s="24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220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149"/>
      <c r="AP693" s="149"/>
      <c r="AQ693" s="57"/>
      <c r="AR693" s="74"/>
      <c r="AS693" s="149"/>
      <c r="AT693" s="235"/>
      <c r="AU693" s="57"/>
      <c r="AV693" s="57"/>
      <c r="AW693" s="57"/>
      <c r="AX693" s="70"/>
      <c r="AY693" s="149"/>
      <c r="AZ693" s="112"/>
      <c r="BA693" s="236"/>
      <c r="BB693" s="236"/>
      <c r="BC693" s="152"/>
      <c r="BD693" s="152"/>
      <c r="BE693" s="236"/>
      <c r="BF693" s="262"/>
      <c r="BG693" s="262"/>
    </row>
    <row r="694" spans="1:59" ht="12.75" customHeight="1" x14ac:dyDescent="0.15">
      <c r="A694" s="57"/>
      <c r="B694" s="57"/>
      <c r="C694" s="57"/>
      <c r="D694" s="103"/>
      <c r="E694" s="125"/>
      <c r="F694" s="125"/>
      <c r="G694" s="57"/>
      <c r="H694" s="57"/>
      <c r="I694" s="57"/>
      <c r="J694" s="57"/>
      <c r="K694" s="57"/>
      <c r="L694" s="57"/>
      <c r="M694" s="57"/>
      <c r="N694" s="57"/>
      <c r="O694" s="70"/>
      <c r="P694" s="57"/>
      <c r="Q694" s="24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220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149"/>
      <c r="AP694" s="149"/>
      <c r="AQ694" s="57"/>
      <c r="AR694" s="74"/>
      <c r="AS694" s="149"/>
      <c r="AT694" s="235"/>
      <c r="AU694" s="57"/>
      <c r="AV694" s="57"/>
      <c r="AW694" s="57"/>
      <c r="AX694" s="70"/>
      <c r="AY694" s="149"/>
      <c r="AZ694" s="112"/>
      <c r="BA694" s="236"/>
      <c r="BB694" s="236"/>
      <c r="BC694" s="152"/>
      <c r="BD694" s="152"/>
      <c r="BE694" s="236"/>
      <c r="BF694" s="262"/>
      <c r="BG694" s="262"/>
    </row>
    <row r="695" spans="1:59" ht="12.75" customHeight="1" x14ac:dyDescent="0.15">
      <c r="A695" s="57"/>
      <c r="B695" s="57"/>
      <c r="C695" s="57"/>
      <c r="D695" s="103"/>
      <c r="E695" s="125"/>
      <c r="F695" s="125"/>
      <c r="G695" s="57"/>
      <c r="H695" s="57"/>
      <c r="I695" s="57"/>
      <c r="J695" s="57"/>
      <c r="K695" s="57"/>
      <c r="L695" s="57"/>
      <c r="M695" s="57"/>
      <c r="N695" s="57"/>
      <c r="O695" s="70"/>
      <c r="P695" s="57"/>
      <c r="Q695" s="24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220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149"/>
      <c r="AP695" s="149"/>
      <c r="AQ695" s="57"/>
      <c r="AR695" s="74"/>
      <c r="AS695" s="149"/>
      <c r="AT695" s="235"/>
      <c r="AU695" s="57"/>
      <c r="AV695" s="57"/>
      <c r="AW695" s="57"/>
      <c r="AX695" s="70"/>
      <c r="AY695" s="149"/>
      <c r="AZ695" s="112"/>
      <c r="BA695" s="236"/>
      <c r="BB695" s="236"/>
      <c r="BC695" s="152"/>
      <c r="BD695" s="152"/>
      <c r="BE695" s="236"/>
      <c r="BF695" s="262"/>
      <c r="BG695" s="262"/>
    </row>
    <row r="696" spans="1:59" ht="12.75" customHeight="1" x14ac:dyDescent="0.15">
      <c r="A696" s="57"/>
      <c r="B696" s="57"/>
      <c r="C696" s="57"/>
      <c r="D696" s="103"/>
      <c r="E696" s="125"/>
      <c r="F696" s="125"/>
      <c r="G696" s="57"/>
      <c r="H696" s="57"/>
      <c r="I696" s="57"/>
      <c r="J696" s="57"/>
      <c r="K696" s="57"/>
      <c r="L696" s="57"/>
      <c r="M696" s="57"/>
      <c r="N696" s="57"/>
      <c r="O696" s="70"/>
      <c r="P696" s="57"/>
      <c r="Q696" s="24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220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149"/>
      <c r="AP696" s="149"/>
      <c r="AQ696" s="57"/>
      <c r="AR696" s="74"/>
      <c r="AS696" s="149"/>
      <c r="AT696" s="235"/>
      <c r="AU696" s="57"/>
      <c r="AV696" s="57"/>
      <c r="AW696" s="57"/>
      <c r="AX696" s="70"/>
      <c r="AY696" s="149"/>
      <c r="AZ696" s="112"/>
      <c r="BA696" s="236"/>
      <c r="BB696" s="236"/>
      <c r="BC696" s="152"/>
      <c r="BD696" s="152"/>
      <c r="BE696" s="236"/>
      <c r="BF696" s="262"/>
      <c r="BG696" s="262"/>
    </row>
    <row r="697" spans="1:59" ht="12.75" customHeight="1" x14ac:dyDescent="0.15">
      <c r="A697" s="57"/>
      <c r="B697" s="57"/>
      <c r="C697" s="57"/>
      <c r="D697" s="103"/>
      <c r="E697" s="125"/>
      <c r="F697" s="125"/>
      <c r="G697" s="57"/>
      <c r="H697" s="57"/>
      <c r="I697" s="57"/>
      <c r="J697" s="57"/>
      <c r="K697" s="57"/>
      <c r="L697" s="57"/>
      <c r="M697" s="57"/>
      <c r="N697" s="57"/>
      <c r="O697" s="70"/>
      <c r="P697" s="57"/>
      <c r="Q697" s="24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220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149"/>
      <c r="AP697" s="149"/>
      <c r="AQ697" s="57"/>
      <c r="AR697" s="74"/>
      <c r="AS697" s="149"/>
      <c r="AT697" s="235"/>
      <c r="AU697" s="57"/>
      <c r="AV697" s="57"/>
      <c r="AW697" s="57"/>
      <c r="AX697" s="70"/>
      <c r="AY697" s="149"/>
      <c r="AZ697" s="112"/>
      <c r="BA697" s="236"/>
      <c r="BB697" s="236"/>
      <c r="BC697" s="152"/>
      <c r="BD697" s="152"/>
      <c r="BE697" s="236"/>
      <c r="BF697" s="262"/>
      <c r="BG697" s="262"/>
    </row>
    <row r="698" spans="1:59" ht="12.75" customHeight="1" x14ac:dyDescent="0.15">
      <c r="A698" s="57"/>
      <c r="B698" s="57"/>
      <c r="C698" s="57"/>
      <c r="D698" s="103"/>
      <c r="E698" s="125"/>
      <c r="F698" s="125"/>
      <c r="G698" s="57"/>
      <c r="H698" s="57"/>
      <c r="I698" s="57"/>
      <c r="J698" s="57"/>
      <c r="K698" s="57"/>
      <c r="L698" s="57"/>
      <c r="M698" s="57"/>
      <c r="N698" s="57"/>
      <c r="O698" s="70"/>
      <c r="P698" s="57"/>
      <c r="Q698" s="24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220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149"/>
      <c r="AP698" s="149"/>
      <c r="AQ698" s="57"/>
      <c r="AR698" s="74"/>
      <c r="AS698" s="149"/>
      <c r="AT698" s="235"/>
      <c r="AU698" s="57"/>
      <c r="AV698" s="57"/>
      <c r="AW698" s="57"/>
      <c r="AX698" s="70"/>
      <c r="AY698" s="149"/>
      <c r="AZ698" s="112"/>
      <c r="BA698" s="236"/>
      <c r="BB698" s="236"/>
      <c r="BC698" s="152"/>
      <c r="BD698" s="152"/>
      <c r="BE698" s="236"/>
      <c r="BF698" s="262"/>
      <c r="BG698" s="262"/>
    </row>
    <row r="699" spans="1:59" ht="12.75" customHeight="1" x14ac:dyDescent="0.15">
      <c r="A699" s="57"/>
      <c r="B699" s="57"/>
      <c r="C699" s="57"/>
      <c r="D699" s="103"/>
      <c r="E699" s="125"/>
      <c r="F699" s="125"/>
      <c r="G699" s="57"/>
      <c r="H699" s="57"/>
      <c r="I699" s="57"/>
      <c r="J699" s="57"/>
      <c r="K699" s="57"/>
      <c r="L699" s="57"/>
      <c r="M699" s="57"/>
      <c r="N699" s="57"/>
      <c r="O699" s="70"/>
      <c r="P699" s="57"/>
      <c r="Q699" s="24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220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149"/>
      <c r="AP699" s="149"/>
      <c r="AQ699" s="57"/>
      <c r="AR699" s="74"/>
      <c r="AS699" s="149"/>
      <c r="AT699" s="235"/>
      <c r="AU699" s="57"/>
      <c r="AV699" s="57"/>
      <c r="AW699" s="57"/>
      <c r="AX699" s="70"/>
      <c r="AY699" s="149"/>
      <c r="AZ699" s="112"/>
      <c r="BA699" s="236"/>
      <c r="BB699" s="236"/>
      <c r="BC699" s="152"/>
      <c r="BD699" s="152"/>
      <c r="BE699" s="236"/>
      <c r="BF699" s="262"/>
      <c r="BG699" s="262"/>
    </row>
    <row r="700" spans="1:59" ht="12.75" customHeight="1" x14ac:dyDescent="0.15">
      <c r="A700" s="57"/>
      <c r="B700" s="57"/>
      <c r="C700" s="57"/>
      <c r="D700" s="103"/>
      <c r="E700" s="125"/>
      <c r="F700" s="125"/>
      <c r="G700" s="57"/>
      <c r="H700" s="57"/>
      <c r="I700" s="57"/>
      <c r="J700" s="57"/>
      <c r="K700" s="57"/>
      <c r="L700" s="57"/>
      <c r="M700" s="57"/>
      <c r="N700" s="57"/>
      <c r="O700" s="70"/>
      <c r="P700" s="57"/>
      <c r="Q700" s="24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220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149"/>
      <c r="AP700" s="149"/>
      <c r="AQ700" s="57"/>
      <c r="AR700" s="74"/>
      <c r="AS700" s="149"/>
      <c r="AT700" s="235"/>
      <c r="AU700" s="57"/>
      <c r="AV700" s="57"/>
      <c r="AW700" s="57"/>
      <c r="AX700" s="70"/>
      <c r="AY700" s="149"/>
      <c r="AZ700" s="112"/>
      <c r="BA700" s="236"/>
      <c r="BB700" s="236"/>
      <c r="BC700" s="152"/>
      <c r="BD700" s="152"/>
      <c r="BE700" s="236"/>
      <c r="BF700" s="262"/>
      <c r="BG700" s="262"/>
    </row>
    <row r="701" spans="1:59" ht="12.75" customHeight="1" x14ac:dyDescent="0.15">
      <c r="A701" s="57"/>
      <c r="B701" s="57"/>
      <c r="C701" s="57"/>
      <c r="D701" s="103"/>
      <c r="E701" s="125"/>
      <c r="F701" s="125"/>
      <c r="G701" s="57"/>
      <c r="H701" s="57"/>
      <c r="I701" s="57"/>
      <c r="J701" s="57"/>
      <c r="K701" s="57"/>
      <c r="L701" s="57"/>
      <c r="M701" s="57"/>
      <c r="N701" s="57"/>
      <c r="O701" s="70"/>
      <c r="P701" s="57"/>
      <c r="Q701" s="24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220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149"/>
      <c r="AP701" s="149"/>
      <c r="AQ701" s="57"/>
      <c r="AR701" s="74"/>
      <c r="AS701" s="149"/>
      <c r="AT701" s="235"/>
      <c r="AU701" s="57"/>
      <c r="AV701" s="57"/>
      <c r="AW701" s="57"/>
      <c r="AX701" s="70"/>
      <c r="AY701" s="149"/>
      <c r="AZ701" s="112"/>
      <c r="BA701" s="236"/>
      <c r="BB701" s="236"/>
      <c r="BC701" s="152"/>
      <c r="BD701" s="152"/>
      <c r="BE701" s="236"/>
      <c r="BF701" s="262"/>
      <c r="BG701" s="262"/>
    </row>
    <row r="702" spans="1:59" ht="12.75" customHeight="1" x14ac:dyDescent="0.15">
      <c r="A702" s="57"/>
      <c r="B702" s="57"/>
      <c r="C702" s="57"/>
      <c r="D702" s="103"/>
      <c r="E702" s="125"/>
      <c r="F702" s="125"/>
      <c r="G702" s="57"/>
      <c r="H702" s="57"/>
      <c r="I702" s="57"/>
      <c r="J702" s="57"/>
      <c r="K702" s="57"/>
      <c r="L702" s="57"/>
      <c r="M702" s="57"/>
      <c r="N702" s="57"/>
      <c r="O702" s="70"/>
      <c r="P702" s="57"/>
      <c r="Q702" s="24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220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149"/>
      <c r="AP702" s="149"/>
      <c r="AQ702" s="57"/>
      <c r="AR702" s="74"/>
      <c r="AS702" s="149"/>
      <c r="AT702" s="235"/>
      <c r="AU702" s="57"/>
      <c r="AV702" s="57"/>
      <c r="AW702" s="57"/>
      <c r="AX702" s="70"/>
      <c r="AY702" s="149"/>
      <c r="AZ702" s="112"/>
      <c r="BA702" s="236"/>
      <c r="BB702" s="236"/>
      <c r="BC702" s="152"/>
      <c r="BD702" s="152"/>
      <c r="BE702" s="236"/>
      <c r="BF702" s="262"/>
      <c r="BG702" s="262"/>
    </row>
    <row r="703" spans="1:59" ht="12.75" customHeight="1" x14ac:dyDescent="0.15">
      <c r="A703" s="57"/>
      <c r="B703" s="57"/>
      <c r="C703" s="57"/>
      <c r="D703" s="103"/>
      <c r="E703" s="125"/>
      <c r="F703" s="125"/>
      <c r="G703" s="57"/>
      <c r="H703" s="57"/>
      <c r="I703" s="57"/>
      <c r="J703" s="57"/>
      <c r="K703" s="57"/>
      <c r="L703" s="57"/>
      <c r="M703" s="57"/>
      <c r="N703" s="57"/>
      <c r="O703" s="70"/>
      <c r="P703" s="57"/>
      <c r="Q703" s="24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220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149"/>
      <c r="AP703" s="149"/>
      <c r="AQ703" s="57"/>
      <c r="AR703" s="74"/>
      <c r="AS703" s="149"/>
      <c r="AT703" s="235"/>
      <c r="AU703" s="57"/>
      <c r="AV703" s="57"/>
      <c r="AW703" s="57"/>
      <c r="AX703" s="70"/>
      <c r="AY703" s="149"/>
      <c r="AZ703" s="112"/>
      <c r="BA703" s="236"/>
      <c r="BB703" s="236"/>
      <c r="BC703" s="152"/>
      <c r="BD703" s="152"/>
      <c r="BE703" s="236"/>
      <c r="BF703" s="262"/>
      <c r="BG703" s="262"/>
    </row>
    <row r="704" spans="1:59" ht="12.75" customHeight="1" x14ac:dyDescent="0.15">
      <c r="A704" s="57"/>
      <c r="B704" s="57"/>
      <c r="C704" s="57"/>
      <c r="D704" s="103"/>
      <c r="E704" s="125"/>
      <c r="F704" s="125"/>
      <c r="G704" s="57"/>
      <c r="H704" s="57"/>
      <c r="I704" s="57"/>
      <c r="J704" s="57"/>
      <c r="K704" s="57"/>
      <c r="L704" s="57"/>
      <c r="M704" s="57"/>
      <c r="N704" s="57"/>
      <c r="O704" s="70"/>
      <c r="P704" s="57"/>
      <c r="Q704" s="24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220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149"/>
      <c r="AP704" s="149"/>
      <c r="AQ704" s="57"/>
      <c r="AR704" s="74"/>
      <c r="AS704" s="149"/>
      <c r="AT704" s="235"/>
      <c r="AU704" s="57"/>
      <c r="AV704" s="57"/>
      <c r="AW704" s="57"/>
      <c r="AX704" s="70"/>
      <c r="AY704" s="149"/>
      <c r="AZ704" s="112"/>
      <c r="BA704" s="236"/>
      <c r="BB704" s="236"/>
      <c r="BC704" s="152"/>
      <c r="BD704" s="152"/>
      <c r="BE704" s="236"/>
      <c r="BF704" s="262"/>
      <c r="BG704" s="262"/>
    </row>
    <row r="705" spans="1:59" ht="12.75" customHeight="1" x14ac:dyDescent="0.15">
      <c r="A705" s="57"/>
      <c r="B705" s="57"/>
      <c r="C705" s="57"/>
      <c r="D705" s="103"/>
      <c r="E705" s="125"/>
      <c r="F705" s="125"/>
      <c r="G705" s="57"/>
      <c r="H705" s="57"/>
      <c r="I705" s="57"/>
      <c r="J705" s="57"/>
      <c r="K705" s="57"/>
      <c r="L705" s="57"/>
      <c r="M705" s="57"/>
      <c r="N705" s="57"/>
      <c r="O705" s="70"/>
      <c r="P705" s="57"/>
      <c r="Q705" s="24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220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149"/>
      <c r="AP705" s="149"/>
      <c r="AQ705" s="57"/>
      <c r="AR705" s="74"/>
      <c r="AS705" s="149"/>
      <c r="AT705" s="235"/>
      <c r="AU705" s="57"/>
      <c r="AV705" s="57"/>
      <c r="AW705" s="57"/>
      <c r="AX705" s="70"/>
      <c r="AY705" s="149"/>
      <c r="AZ705" s="112"/>
      <c r="BA705" s="236"/>
      <c r="BB705" s="236"/>
      <c r="BC705" s="152"/>
      <c r="BD705" s="152"/>
      <c r="BE705" s="236"/>
      <c r="BF705" s="262"/>
      <c r="BG705" s="262"/>
    </row>
    <row r="706" spans="1:59" ht="12.75" customHeight="1" x14ac:dyDescent="0.15">
      <c r="A706" s="57"/>
      <c r="B706" s="57"/>
      <c r="C706" s="57"/>
      <c r="D706" s="103"/>
      <c r="E706" s="125"/>
      <c r="F706" s="125"/>
      <c r="G706" s="57"/>
      <c r="H706" s="57"/>
      <c r="I706" s="57"/>
      <c r="J706" s="57"/>
      <c r="K706" s="57"/>
      <c r="L706" s="57"/>
      <c r="M706" s="57"/>
      <c r="N706" s="57"/>
      <c r="O706" s="70"/>
      <c r="P706" s="57"/>
      <c r="Q706" s="24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220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149"/>
      <c r="AP706" s="149"/>
      <c r="AQ706" s="57"/>
      <c r="AR706" s="74"/>
      <c r="AS706" s="149"/>
      <c r="AT706" s="235"/>
      <c r="AU706" s="57"/>
      <c r="AV706" s="57"/>
      <c r="AW706" s="57"/>
      <c r="AX706" s="70"/>
      <c r="AY706" s="149"/>
      <c r="AZ706" s="112"/>
      <c r="BA706" s="236"/>
      <c r="BB706" s="236"/>
      <c r="BC706" s="152"/>
      <c r="BD706" s="152"/>
      <c r="BE706" s="236"/>
      <c r="BF706" s="262"/>
      <c r="BG706" s="262"/>
    </row>
    <row r="707" spans="1:59" ht="12.75" customHeight="1" x14ac:dyDescent="0.15">
      <c r="A707" s="57"/>
      <c r="B707" s="57"/>
      <c r="C707" s="57"/>
      <c r="D707" s="103"/>
      <c r="E707" s="125"/>
      <c r="F707" s="125"/>
      <c r="G707" s="57"/>
      <c r="H707" s="57"/>
      <c r="I707" s="57"/>
      <c r="J707" s="57"/>
      <c r="K707" s="57"/>
      <c r="L707" s="57"/>
      <c r="M707" s="57"/>
      <c r="N707" s="57"/>
      <c r="O707" s="70"/>
      <c r="P707" s="57"/>
      <c r="Q707" s="24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220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149"/>
      <c r="AP707" s="149"/>
      <c r="AQ707" s="57"/>
      <c r="AR707" s="74"/>
      <c r="AS707" s="149"/>
      <c r="AT707" s="235"/>
      <c r="AU707" s="57"/>
      <c r="AV707" s="57"/>
      <c r="AW707" s="57"/>
      <c r="AX707" s="70"/>
      <c r="AY707" s="149"/>
      <c r="AZ707" s="112"/>
      <c r="BA707" s="236"/>
      <c r="BB707" s="236"/>
      <c r="BC707" s="152"/>
      <c r="BD707" s="152"/>
      <c r="BE707" s="236"/>
      <c r="BF707" s="262"/>
      <c r="BG707" s="262"/>
    </row>
    <row r="708" spans="1:59" ht="12.75" customHeight="1" x14ac:dyDescent="0.15">
      <c r="A708" s="57"/>
      <c r="B708" s="57"/>
      <c r="C708" s="57"/>
      <c r="D708" s="103"/>
      <c r="E708" s="125"/>
      <c r="F708" s="125"/>
      <c r="G708" s="57"/>
      <c r="H708" s="57"/>
      <c r="I708" s="57"/>
      <c r="J708" s="57"/>
      <c r="K708" s="57"/>
      <c r="L708" s="57"/>
      <c r="M708" s="57"/>
      <c r="N708" s="57"/>
      <c r="O708" s="70"/>
      <c r="P708" s="57"/>
      <c r="Q708" s="24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220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149"/>
      <c r="AP708" s="149"/>
      <c r="AQ708" s="57"/>
      <c r="AR708" s="74"/>
      <c r="AS708" s="149"/>
      <c r="AT708" s="235"/>
      <c r="AU708" s="57"/>
      <c r="AV708" s="57"/>
      <c r="AW708" s="57"/>
      <c r="AX708" s="70"/>
      <c r="AY708" s="149"/>
      <c r="AZ708" s="112"/>
      <c r="BA708" s="236"/>
      <c r="BB708" s="236"/>
      <c r="BC708" s="152"/>
      <c r="BD708" s="152"/>
      <c r="BE708" s="236"/>
      <c r="BF708" s="262"/>
      <c r="BG708" s="262"/>
    </row>
    <row r="709" spans="1:59" ht="12.75" customHeight="1" x14ac:dyDescent="0.15">
      <c r="A709" s="57"/>
      <c r="B709" s="57"/>
      <c r="C709" s="57"/>
      <c r="D709" s="103"/>
      <c r="E709" s="125"/>
      <c r="F709" s="125"/>
      <c r="G709" s="57"/>
      <c r="H709" s="57"/>
      <c r="I709" s="57"/>
      <c r="J709" s="57"/>
      <c r="K709" s="57"/>
      <c r="L709" s="57"/>
      <c r="M709" s="57"/>
      <c r="N709" s="57"/>
      <c r="O709" s="70"/>
      <c r="P709" s="57"/>
      <c r="Q709" s="24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220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149"/>
      <c r="AP709" s="149"/>
      <c r="AQ709" s="57"/>
      <c r="AR709" s="74"/>
      <c r="AS709" s="149"/>
      <c r="AT709" s="235"/>
      <c r="AU709" s="57"/>
      <c r="AV709" s="57"/>
      <c r="AW709" s="57"/>
      <c r="AX709" s="70"/>
      <c r="AY709" s="149"/>
      <c r="AZ709" s="112"/>
      <c r="BA709" s="236"/>
      <c r="BB709" s="236"/>
      <c r="BC709" s="152"/>
      <c r="BD709" s="152"/>
      <c r="BE709" s="236"/>
      <c r="BF709" s="262"/>
      <c r="BG709" s="262"/>
    </row>
    <row r="710" spans="1:59" ht="12.75" customHeight="1" x14ac:dyDescent="0.15">
      <c r="A710" s="57"/>
      <c r="B710" s="57"/>
      <c r="C710" s="57"/>
      <c r="D710" s="103"/>
      <c r="E710" s="125"/>
      <c r="F710" s="125"/>
      <c r="G710" s="57"/>
      <c r="H710" s="57"/>
      <c r="I710" s="57"/>
      <c r="J710" s="57"/>
      <c r="K710" s="57"/>
      <c r="L710" s="57"/>
      <c r="M710" s="57"/>
      <c r="N710" s="57"/>
      <c r="O710" s="70"/>
      <c r="P710" s="57"/>
      <c r="Q710" s="24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220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149"/>
      <c r="AP710" s="149"/>
      <c r="AQ710" s="57"/>
      <c r="AR710" s="74"/>
      <c r="AS710" s="149"/>
      <c r="AT710" s="235"/>
      <c r="AU710" s="57"/>
      <c r="AV710" s="57"/>
      <c r="AW710" s="57"/>
      <c r="AX710" s="70"/>
      <c r="AY710" s="149"/>
      <c r="AZ710" s="112"/>
      <c r="BA710" s="236"/>
      <c r="BB710" s="236"/>
      <c r="BC710" s="152"/>
      <c r="BD710" s="152"/>
      <c r="BE710" s="236"/>
      <c r="BF710" s="262"/>
      <c r="BG710" s="262"/>
    </row>
    <row r="711" spans="1:59" ht="12.75" customHeight="1" x14ac:dyDescent="0.15">
      <c r="A711" s="57"/>
      <c r="B711" s="57"/>
      <c r="C711" s="57"/>
      <c r="D711" s="103"/>
      <c r="E711" s="125"/>
      <c r="F711" s="125"/>
      <c r="G711" s="57"/>
      <c r="H711" s="57"/>
      <c r="I711" s="57"/>
      <c r="J711" s="57"/>
      <c r="K711" s="57"/>
      <c r="L711" s="57"/>
      <c r="M711" s="57"/>
      <c r="N711" s="57"/>
      <c r="O711" s="70"/>
      <c r="P711" s="57"/>
      <c r="Q711" s="24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220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149"/>
      <c r="AP711" s="149"/>
      <c r="AQ711" s="57"/>
      <c r="AR711" s="74"/>
      <c r="AS711" s="149"/>
      <c r="AT711" s="235"/>
      <c r="AU711" s="57"/>
      <c r="AV711" s="57"/>
      <c r="AW711" s="57"/>
      <c r="AX711" s="70"/>
      <c r="AY711" s="149"/>
      <c r="AZ711" s="112"/>
      <c r="BA711" s="236"/>
      <c r="BB711" s="236"/>
      <c r="BC711" s="152"/>
      <c r="BD711" s="152"/>
      <c r="BE711" s="236"/>
      <c r="BF711" s="262"/>
      <c r="BG711" s="262"/>
    </row>
    <row r="712" spans="1:59" ht="12.75" customHeight="1" x14ac:dyDescent="0.15">
      <c r="A712" s="57"/>
      <c r="B712" s="57"/>
      <c r="C712" s="57"/>
      <c r="D712" s="103"/>
      <c r="E712" s="125"/>
      <c r="F712" s="125"/>
      <c r="G712" s="57"/>
      <c r="H712" s="57"/>
      <c r="I712" s="57"/>
      <c r="J712" s="57"/>
      <c r="K712" s="57"/>
      <c r="L712" s="57"/>
      <c r="M712" s="57"/>
      <c r="N712" s="57"/>
      <c r="O712" s="70"/>
      <c r="P712" s="57"/>
      <c r="Q712" s="24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220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149"/>
      <c r="AP712" s="149"/>
      <c r="AQ712" s="57"/>
      <c r="AR712" s="74"/>
      <c r="AS712" s="149"/>
      <c r="AT712" s="235"/>
      <c r="AU712" s="57"/>
      <c r="AV712" s="57"/>
      <c r="AW712" s="57"/>
      <c r="AX712" s="70"/>
      <c r="AY712" s="149"/>
      <c r="AZ712" s="112"/>
      <c r="BA712" s="236"/>
      <c r="BB712" s="236"/>
      <c r="BC712" s="152"/>
      <c r="BD712" s="152"/>
      <c r="BE712" s="236"/>
      <c r="BF712" s="262"/>
      <c r="BG712" s="262"/>
    </row>
    <row r="713" spans="1:59" ht="12.75" customHeight="1" x14ac:dyDescent="0.15">
      <c r="A713" s="57"/>
      <c r="B713" s="57"/>
      <c r="C713" s="57"/>
      <c r="D713" s="103"/>
      <c r="E713" s="125"/>
      <c r="F713" s="125"/>
      <c r="G713" s="57"/>
      <c r="H713" s="57"/>
      <c r="I713" s="57"/>
      <c r="J713" s="57"/>
      <c r="K713" s="57"/>
      <c r="L713" s="57"/>
      <c r="M713" s="57"/>
      <c r="N713" s="57"/>
      <c r="O713" s="70"/>
      <c r="P713" s="57"/>
      <c r="Q713" s="24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220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149"/>
      <c r="AP713" s="149"/>
      <c r="AQ713" s="57"/>
      <c r="AR713" s="74"/>
      <c r="AS713" s="149"/>
      <c r="AT713" s="235"/>
      <c r="AU713" s="57"/>
      <c r="AV713" s="57"/>
      <c r="AW713" s="57"/>
      <c r="AX713" s="70"/>
      <c r="AY713" s="149"/>
      <c r="AZ713" s="112"/>
      <c r="BA713" s="236"/>
      <c r="BB713" s="236"/>
      <c r="BC713" s="152"/>
      <c r="BD713" s="152"/>
      <c r="BE713" s="236"/>
      <c r="BF713" s="262"/>
      <c r="BG713" s="262"/>
    </row>
    <row r="714" spans="1:59" ht="12.75" customHeight="1" x14ac:dyDescent="0.15">
      <c r="A714" s="57"/>
      <c r="B714" s="57"/>
      <c r="C714" s="57"/>
      <c r="D714" s="103"/>
      <c r="E714" s="125"/>
      <c r="F714" s="125"/>
      <c r="G714" s="57"/>
      <c r="H714" s="57"/>
      <c r="I714" s="57"/>
      <c r="J714" s="57"/>
      <c r="K714" s="57"/>
      <c r="L714" s="57"/>
      <c r="M714" s="57"/>
      <c r="N714" s="57"/>
      <c r="O714" s="70"/>
      <c r="P714" s="57"/>
      <c r="Q714" s="24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220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149"/>
      <c r="AP714" s="149"/>
      <c r="AQ714" s="57"/>
      <c r="AR714" s="74"/>
      <c r="AS714" s="149"/>
      <c r="AT714" s="235"/>
      <c r="AU714" s="57"/>
      <c r="AV714" s="57"/>
      <c r="AW714" s="57"/>
      <c r="AX714" s="70"/>
      <c r="AY714" s="149"/>
      <c r="AZ714" s="112"/>
      <c r="BA714" s="236"/>
      <c r="BB714" s="236"/>
      <c r="BC714" s="152"/>
      <c r="BD714" s="152"/>
      <c r="BE714" s="236"/>
      <c r="BF714" s="262"/>
      <c r="BG714" s="262"/>
    </row>
    <row r="715" spans="1:59" ht="12.75" customHeight="1" x14ac:dyDescent="0.15">
      <c r="A715" s="57"/>
      <c r="B715" s="57"/>
      <c r="C715" s="57"/>
      <c r="D715" s="103"/>
      <c r="E715" s="125"/>
      <c r="F715" s="125"/>
      <c r="G715" s="57"/>
      <c r="H715" s="57"/>
      <c r="I715" s="57"/>
      <c r="J715" s="57"/>
      <c r="K715" s="57"/>
      <c r="L715" s="57"/>
      <c r="M715" s="57"/>
      <c r="N715" s="57"/>
      <c r="O715" s="70"/>
      <c r="P715" s="57"/>
      <c r="Q715" s="24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220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149"/>
      <c r="AP715" s="149"/>
      <c r="AQ715" s="57"/>
      <c r="AR715" s="74"/>
      <c r="AS715" s="149"/>
      <c r="AT715" s="235"/>
      <c r="AU715" s="57"/>
      <c r="AV715" s="57"/>
      <c r="AW715" s="57"/>
      <c r="AX715" s="70"/>
      <c r="AY715" s="149"/>
      <c r="AZ715" s="112"/>
      <c r="BA715" s="236"/>
      <c r="BB715" s="236"/>
      <c r="BC715" s="152"/>
      <c r="BD715" s="152"/>
      <c r="BE715" s="236"/>
      <c r="BF715" s="262"/>
      <c r="BG715" s="262"/>
    </row>
    <row r="716" spans="1:59" ht="12.75" customHeight="1" x14ac:dyDescent="0.15">
      <c r="A716" s="57"/>
      <c r="B716" s="57"/>
      <c r="C716" s="57"/>
      <c r="D716" s="103"/>
      <c r="E716" s="125"/>
      <c r="F716" s="125"/>
      <c r="G716" s="57"/>
      <c r="H716" s="57"/>
      <c r="I716" s="57"/>
      <c r="J716" s="57"/>
      <c r="K716" s="57"/>
      <c r="L716" s="57"/>
      <c r="M716" s="57"/>
      <c r="N716" s="57"/>
      <c r="O716" s="70"/>
      <c r="P716" s="57"/>
      <c r="Q716" s="24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220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149"/>
      <c r="AP716" s="149"/>
      <c r="AQ716" s="57"/>
      <c r="AR716" s="74"/>
      <c r="AS716" s="149"/>
      <c r="AT716" s="235"/>
      <c r="AU716" s="57"/>
      <c r="AV716" s="57"/>
      <c r="AW716" s="57"/>
      <c r="AX716" s="70"/>
      <c r="AY716" s="149"/>
      <c r="AZ716" s="112"/>
      <c r="BA716" s="236"/>
      <c r="BB716" s="236"/>
      <c r="BC716" s="152"/>
      <c r="BD716" s="152"/>
      <c r="BE716" s="236"/>
      <c r="BF716" s="262"/>
      <c r="BG716" s="262"/>
    </row>
    <row r="717" spans="1:59" ht="12.75" customHeight="1" x14ac:dyDescent="0.15">
      <c r="A717" s="57"/>
      <c r="B717" s="57"/>
      <c r="C717" s="57"/>
      <c r="D717" s="103"/>
      <c r="E717" s="125"/>
      <c r="F717" s="125"/>
      <c r="G717" s="57"/>
      <c r="H717" s="57"/>
      <c r="I717" s="57"/>
      <c r="J717" s="57"/>
      <c r="K717" s="57"/>
      <c r="L717" s="57"/>
      <c r="M717" s="57"/>
      <c r="N717" s="57"/>
      <c r="O717" s="70"/>
      <c r="P717" s="57"/>
      <c r="Q717" s="24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220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149"/>
      <c r="AP717" s="149"/>
      <c r="AQ717" s="57"/>
      <c r="AR717" s="74"/>
      <c r="AS717" s="149"/>
      <c r="AT717" s="235"/>
      <c r="AU717" s="57"/>
      <c r="AV717" s="57"/>
      <c r="AW717" s="57"/>
      <c r="AX717" s="70"/>
      <c r="AY717" s="149"/>
      <c r="AZ717" s="112"/>
      <c r="BA717" s="236"/>
      <c r="BB717" s="236"/>
      <c r="BC717" s="152"/>
      <c r="BD717" s="152"/>
      <c r="BE717" s="236"/>
      <c r="BF717" s="262"/>
      <c r="BG717" s="262"/>
    </row>
    <row r="718" spans="1:59" ht="12.75" customHeight="1" x14ac:dyDescent="0.15">
      <c r="A718" s="57"/>
      <c r="B718" s="57"/>
      <c r="C718" s="57"/>
      <c r="D718" s="103"/>
      <c r="E718" s="125"/>
      <c r="F718" s="125"/>
      <c r="G718" s="57"/>
      <c r="H718" s="57"/>
      <c r="I718" s="57"/>
      <c r="J718" s="57"/>
      <c r="K718" s="57"/>
      <c r="L718" s="57"/>
      <c r="M718" s="57"/>
      <c r="N718" s="57"/>
      <c r="O718" s="70"/>
      <c r="P718" s="57"/>
      <c r="Q718" s="24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220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149"/>
      <c r="AP718" s="149"/>
      <c r="AQ718" s="57"/>
      <c r="AR718" s="74"/>
      <c r="AS718" s="149"/>
      <c r="AT718" s="235"/>
      <c r="AU718" s="57"/>
      <c r="AV718" s="57"/>
      <c r="AW718" s="57"/>
      <c r="AX718" s="70"/>
      <c r="AY718" s="149"/>
      <c r="AZ718" s="112"/>
      <c r="BA718" s="236"/>
      <c r="BB718" s="236"/>
      <c r="BC718" s="152"/>
      <c r="BD718" s="152"/>
      <c r="BE718" s="236"/>
      <c r="BF718" s="262"/>
      <c r="BG718" s="262"/>
    </row>
    <row r="719" spans="1:59" ht="12.75" customHeight="1" x14ac:dyDescent="0.15">
      <c r="A719" s="57"/>
      <c r="B719" s="57"/>
      <c r="C719" s="57"/>
      <c r="D719" s="103"/>
      <c r="E719" s="125"/>
      <c r="F719" s="125"/>
      <c r="G719" s="57"/>
      <c r="H719" s="57"/>
      <c r="I719" s="57"/>
      <c r="J719" s="57"/>
      <c r="K719" s="57"/>
      <c r="L719" s="57"/>
      <c r="M719" s="57"/>
      <c r="N719" s="57"/>
      <c r="O719" s="70"/>
      <c r="P719" s="57"/>
      <c r="Q719" s="24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220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149"/>
      <c r="AP719" s="149"/>
      <c r="AQ719" s="57"/>
      <c r="AR719" s="74"/>
      <c r="AS719" s="149"/>
      <c r="AT719" s="235"/>
      <c r="AU719" s="57"/>
      <c r="AV719" s="57"/>
      <c r="AW719" s="57"/>
      <c r="AX719" s="70"/>
      <c r="AY719" s="149"/>
      <c r="AZ719" s="112"/>
      <c r="BA719" s="236"/>
      <c r="BB719" s="236"/>
      <c r="BC719" s="152"/>
      <c r="BD719" s="152"/>
      <c r="BE719" s="236"/>
      <c r="BF719" s="262"/>
      <c r="BG719" s="262"/>
    </row>
    <row r="720" spans="1:59" ht="12.75" customHeight="1" x14ac:dyDescent="0.15">
      <c r="A720" s="57"/>
      <c r="B720" s="57"/>
      <c r="C720" s="57"/>
      <c r="D720" s="103"/>
      <c r="E720" s="125"/>
      <c r="F720" s="125"/>
      <c r="G720" s="57"/>
      <c r="H720" s="57"/>
      <c r="I720" s="57"/>
      <c r="J720" s="57"/>
      <c r="K720" s="57"/>
      <c r="L720" s="57"/>
      <c r="M720" s="57"/>
      <c r="N720" s="57"/>
      <c r="O720" s="70"/>
      <c r="P720" s="57"/>
      <c r="Q720" s="24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220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149"/>
      <c r="AP720" s="149"/>
      <c r="AQ720" s="57"/>
      <c r="AR720" s="74"/>
      <c r="AS720" s="149"/>
      <c r="AT720" s="235"/>
      <c r="AU720" s="57"/>
      <c r="AV720" s="57"/>
      <c r="AW720" s="57"/>
      <c r="AX720" s="70"/>
      <c r="AY720" s="149"/>
      <c r="AZ720" s="112"/>
      <c r="BA720" s="236"/>
      <c r="BB720" s="236"/>
      <c r="BC720" s="152"/>
      <c r="BD720" s="152"/>
      <c r="BE720" s="236"/>
      <c r="BF720" s="262"/>
      <c r="BG720" s="262"/>
    </row>
    <row r="721" spans="1:59" ht="12.75" customHeight="1" x14ac:dyDescent="0.15">
      <c r="A721" s="57"/>
      <c r="B721" s="57"/>
      <c r="C721" s="57"/>
      <c r="D721" s="103"/>
      <c r="E721" s="125"/>
      <c r="F721" s="125"/>
      <c r="G721" s="57"/>
      <c r="H721" s="57"/>
      <c r="I721" s="57"/>
      <c r="J721" s="57"/>
      <c r="K721" s="57"/>
      <c r="L721" s="57"/>
      <c r="M721" s="57"/>
      <c r="N721" s="57"/>
      <c r="O721" s="70"/>
      <c r="P721" s="57"/>
      <c r="Q721" s="24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220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149"/>
      <c r="AP721" s="149"/>
      <c r="AQ721" s="57"/>
      <c r="AR721" s="74"/>
      <c r="AS721" s="149"/>
      <c r="AT721" s="235"/>
      <c r="AU721" s="57"/>
      <c r="AV721" s="57"/>
      <c r="AW721" s="57"/>
      <c r="AX721" s="70"/>
      <c r="AY721" s="149"/>
      <c r="AZ721" s="112"/>
      <c r="BA721" s="236"/>
      <c r="BB721" s="236"/>
      <c r="BC721" s="152"/>
      <c r="BD721" s="152"/>
      <c r="BE721" s="236"/>
      <c r="BF721" s="262"/>
      <c r="BG721" s="262"/>
    </row>
    <row r="722" spans="1:59" ht="12.75" customHeight="1" x14ac:dyDescent="0.15">
      <c r="A722" s="57"/>
      <c r="B722" s="57"/>
      <c r="C722" s="57"/>
      <c r="D722" s="103"/>
      <c r="E722" s="125"/>
      <c r="F722" s="125"/>
      <c r="G722" s="57"/>
      <c r="H722" s="57"/>
      <c r="I722" s="57"/>
      <c r="J722" s="57"/>
      <c r="K722" s="57"/>
      <c r="L722" s="57"/>
      <c r="M722" s="57"/>
      <c r="N722" s="57"/>
      <c r="O722" s="70"/>
      <c r="P722" s="57"/>
      <c r="Q722" s="24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220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149"/>
      <c r="AP722" s="149"/>
      <c r="AQ722" s="57"/>
      <c r="AR722" s="74"/>
      <c r="AS722" s="149"/>
      <c r="AT722" s="235"/>
      <c r="AU722" s="57"/>
      <c r="AV722" s="57"/>
      <c r="AW722" s="57"/>
      <c r="AX722" s="70"/>
      <c r="AY722" s="149"/>
      <c r="AZ722" s="112"/>
      <c r="BA722" s="236"/>
      <c r="BB722" s="236"/>
      <c r="BC722" s="152"/>
      <c r="BD722" s="152"/>
      <c r="BE722" s="236"/>
      <c r="BF722" s="262"/>
      <c r="BG722" s="262"/>
    </row>
    <row r="723" spans="1:59" ht="12.75" customHeight="1" x14ac:dyDescent="0.15">
      <c r="A723" s="57"/>
      <c r="B723" s="57"/>
      <c r="C723" s="57"/>
      <c r="D723" s="103"/>
      <c r="E723" s="125"/>
      <c r="F723" s="125"/>
      <c r="G723" s="57"/>
      <c r="H723" s="57"/>
      <c r="I723" s="57"/>
      <c r="J723" s="57"/>
      <c r="K723" s="57"/>
      <c r="L723" s="57"/>
      <c r="M723" s="57"/>
      <c r="N723" s="57"/>
      <c r="O723" s="70"/>
      <c r="P723" s="57"/>
      <c r="Q723" s="24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220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149"/>
      <c r="AP723" s="149"/>
      <c r="AQ723" s="57"/>
      <c r="AR723" s="74"/>
      <c r="AS723" s="149"/>
      <c r="AT723" s="235"/>
      <c r="AU723" s="57"/>
      <c r="AV723" s="57"/>
      <c r="AW723" s="57"/>
      <c r="AX723" s="70"/>
      <c r="AY723" s="149"/>
      <c r="AZ723" s="112"/>
      <c r="BA723" s="236"/>
      <c r="BB723" s="236"/>
      <c r="BC723" s="152"/>
      <c r="BD723" s="152"/>
      <c r="BE723" s="236"/>
      <c r="BF723" s="262"/>
      <c r="BG723" s="262"/>
    </row>
    <row r="724" spans="1:59" ht="12.75" customHeight="1" x14ac:dyDescent="0.15">
      <c r="A724" s="57"/>
      <c r="B724" s="57"/>
      <c r="C724" s="57"/>
      <c r="D724" s="103"/>
      <c r="E724" s="125"/>
      <c r="F724" s="125"/>
      <c r="G724" s="57"/>
      <c r="H724" s="57"/>
      <c r="I724" s="57"/>
      <c r="J724" s="57"/>
      <c r="K724" s="57"/>
      <c r="L724" s="57"/>
      <c r="M724" s="57"/>
      <c r="N724" s="57"/>
      <c r="O724" s="70"/>
      <c r="P724" s="57"/>
      <c r="Q724" s="24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220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149"/>
      <c r="AP724" s="149"/>
      <c r="AQ724" s="57"/>
      <c r="AR724" s="74"/>
      <c r="AS724" s="149"/>
      <c r="AT724" s="235"/>
      <c r="AU724" s="57"/>
      <c r="AV724" s="57"/>
      <c r="AW724" s="57"/>
      <c r="AX724" s="70"/>
      <c r="AY724" s="149"/>
      <c r="AZ724" s="112"/>
      <c r="BA724" s="236"/>
      <c r="BB724" s="236"/>
      <c r="BC724" s="152"/>
      <c r="BD724" s="152"/>
      <c r="BE724" s="236"/>
      <c r="BF724" s="262"/>
      <c r="BG724" s="262"/>
    </row>
    <row r="725" spans="1:59" ht="12.75" customHeight="1" x14ac:dyDescent="0.15">
      <c r="A725" s="57"/>
      <c r="B725" s="57"/>
      <c r="C725" s="57"/>
      <c r="D725" s="103"/>
      <c r="E725" s="125"/>
      <c r="F725" s="125"/>
      <c r="G725" s="57"/>
      <c r="H725" s="57"/>
      <c r="I725" s="57"/>
      <c r="J725" s="57"/>
      <c r="K725" s="57"/>
      <c r="L725" s="57"/>
      <c r="M725" s="57"/>
      <c r="N725" s="57"/>
      <c r="O725" s="70"/>
      <c r="P725" s="57"/>
      <c r="Q725" s="24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220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149"/>
      <c r="AP725" s="149"/>
      <c r="AQ725" s="57"/>
      <c r="AR725" s="74"/>
      <c r="AS725" s="149"/>
      <c r="AT725" s="235"/>
      <c r="AU725" s="57"/>
      <c r="AV725" s="57"/>
      <c r="AW725" s="57"/>
      <c r="AX725" s="70"/>
      <c r="AY725" s="149"/>
      <c r="AZ725" s="112"/>
      <c r="BA725" s="236"/>
      <c r="BB725" s="236"/>
      <c r="BC725" s="152"/>
      <c r="BD725" s="152"/>
      <c r="BE725" s="236"/>
      <c r="BF725" s="262"/>
      <c r="BG725" s="262"/>
    </row>
    <row r="726" spans="1:59" ht="12.75" customHeight="1" x14ac:dyDescent="0.15">
      <c r="A726" s="57"/>
      <c r="B726" s="57"/>
      <c r="C726" s="57"/>
      <c r="D726" s="103"/>
      <c r="E726" s="125"/>
      <c r="F726" s="125"/>
      <c r="G726" s="57"/>
      <c r="H726" s="57"/>
      <c r="I726" s="57"/>
      <c r="J726" s="57"/>
      <c r="K726" s="57"/>
      <c r="L726" s="57"/>
      <c r="M726" s="57"/>
      <c r="N726" s="57"/>
      <c r="O726" s="70"/>
      <c r="P726" s="57"/>
      <c r="Q726" s="24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220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149"/>
      <c r="AP726" s="149"/>
      <c r="AQ726" s="57"/>
      <c r="AR726" s="74"/>
      <c r="AS726" s="149"/>
      <c r="AT726" s="235"/>
      <c r="AU726" s="57"/>
      <c r="AV726" s="57"/>
      <c r="AW726" s="57"/>
      <c r="AX726" s="70"/>
      <c r="AY726" s="149"/>
      <c r="AZ726" s="112"/>
      <c r="BA726" s="236"/>
      <c r="BB726" s="236"/>
      <c r="BC726" s="152"/>
      <c r="BD726" s="152"/>
      <c r="BE726" s="236"/>
      <c r="BF726" s="262"/>
      <c r="BG726" s="262"/>
    </row>
    <row r="727" spans="1:59" ht="12.75" customHeight="1" x14ac:dyDescent="0.15">
      <c r="A727" s="57"/>
      <c r="B727" s="57"/>
      <c r="C727" s="57"/>
      <c r="D727" s="103"/>
      <c r="E727" s="125"/>
      <c r="F727" s="125"/>
      <c r="G727" s="57"/>
      <c r="H727" s="57"/>
      <c r="I727" s="57"/>
      <c r="J727" s="57"/>
      <c r="K727" s="57"/>
      <c r="L727" s="57"/>
      <c r="M727" s="57"/>
      <c r="N727" s="57"/>
      <c r="O727" s="70"/>
      <c r="P727" s="57"/>
      <c r="Q727" s="24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220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149"/>
      <c r="AP727" s="149"/>
      <c r="AQ727" s="57"/>
      <c r="AR727" s="74"/>
      <c r="AS727" s="149"/>
      <c r="AT727" s="235"/>
      <c r="AU727" s="57"/>
      <c r="AV727" s="57"/>
      <c r="AW727" s="57"/>
      <c r="AX727" s="70"/>
      <c r="AY727" s="149"/>
      <c r="AZ727" s="112"/>
      <c r="BA727" s="236"/>
      <c r="BB727" s="236"/>
      <c r="BC727" s="152"/>
      <c r="BD727" s="152"/>
      <c r="BE727" s="236"/>
      <c r="BF727" s="262"/>
      <c r="BG727" s="262"/>
    </row>
    <row r="728" spans="1:59" ht="12.75" customHeight="1" x14ac:dyDescent="0.15">
      <c r="A728" s="57"/>
      <c r="B728" s="57"/>
      <c r="C728" s="57"/>
      <c r="D728" s="103"/>
      <c r="E728" s="125"/>
      <c r="F728" s="125"/>
      <c r="G728" s="57"/>
      <c r="H728" s="57"/>
      <c r="I728" s="57"/>
      <c r="J728" s="57"/>
      <c r="K728" s="57"/>
      <c r="L728" s="57"/>
      <c r="M728" s="57"/>
      <c r="N728" s="57"/>
      <c r="O728" s="70"/>
      <c r="P728" s="57"/>
      <c r="Q728" s="24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220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149"/>
      <c r="AP728" s="149"/>
      <c r="AQ728" s="57"/>
      <c r="AR728" s="74"/>
      <c r="AS728" s="149"/>
      <c r="AT728" s="235"/>
      <c r="AU728" s="57"/>
      <c r="AV728" s="57"/>
      <c r="AW728" s="57"/>
      <c r="AX728" s="70"/>
      <c r="AY728" s="149"/>
      <c r="AZ728" s="112"/>
      <c r="BA728" s="236"/>
      <c r="BB728" s="236"/>
      <c r="BC728" s="152"/>
      <c r="BD728" s="152"/>
      <c r="BE728" s="236"/>
      <c r="BF728" s="262"/>
      <c r="BG728" s="262"/>
    </row>
    <row r="729" spans="1:59" ht="12.75" customHeight="1" x14ac:dyDescent="0.15">
      <c r="A729" s="57"/>
      <c r="B729" s="57"/>
      <c r="C729" s="57"/>
      <c r="D729" s="103"/>
      <c r="E729" s="125"/>
      <c r="F729" s="125"/>
      <c r="G729" s="57"/>
      <c r="H729" s="57"/>
      <c r="I729" s="57"/>
      <c r="J729" s="57"/>
      <c r="K729" s="57"/>
      <c r="L729" s="57"/>
      <c r="M729" s="57"/>
      <c r="N729" s="57"/>
      <c r="O729" s="70"/>
      <c r="P729" s="57"/>
      <c r="Q729" s="24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220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149"/>
      <c r="AP729" s="149"/>
      <c r="AQ729" s="57"/>
      <c r="AR729" s="74"/>
      <c r="AS729" s="149"/>
      <c r="AT729" s="235"/>
      <c r="AU729" s="57"/>
      <c r="AV729" s="57"/>
      <c r="AW729" s="57"/>
      <c r="AX729" s="70"/>
      <c r="AY729" s="149"/>
      <c r="AZ729" s="112"/>
      <c r="BA729" s="236"/>
      <c r="BB729" s="236"/>
      <c r="BC729" s="152"/>
      <c r="BD729" s="152"/>
      <c r="BE729" s="236"/>
      <c r="BF729" s="262"/>
      <c r="BG729" s="262"/>
    </row>
    <row r="730" spans="1:59" ht="12.75" customHeight="1" x14ac:dyDescent="0.15">
      <c r="A730" s="57"/>
      <c r="B730" s="57"/>
      <c r="C730" s="57"/>
      <c r="D730" s="103"/>
      <c r="E730" s="125"/>
      <c r="F730" s="125"/>
      <c r="G730" s="57"/>
      <c r="H730" s="57"/>
      <c r="I730" s="57"/>
      <c r="J730" s="57"/>
      <c r="K730" s="57"/>
      <c r="L730" s="57"/>
      <c r="M730" s="57"/>
      <c r="N730" s="57"/>
      <c r="O730" s="70"/>
      <c r="P730" s="57"/>
      <c r="Q730" s="24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220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149"/>
      <c r="AP730" s="149"/>
      <c r="AQ730" s="57"/>
      <c r="AR730" s="74"/>
      <c r="AS730" s="149"/>
      <c r="AT730" s="235"/>
      <c r="AU730" s="57"/>
      <c r="AV730" s="57"/>
      <c r="AW730" s="57"/>
      <c r="AX730" s="70"/>
      <c r="AY730" s="149"/>
      <c r="AZ730" s="112"/>
      <c r="BA730" s="236"/>
      <c r="BB730" s="236"/>
      <c r="BC730" s="152"/>
      <c r="BD730" s="152"/>
      <c r="BE730" s="236"/>
      <c r="BF730" s="262"/>
      <c r="BG730" s="262"/>
    </row>
    <row r="731" spans="1:59" ht="12.75" customHeight="1" x14ac:dyDescent="0.15">
      <c r="A731" s="57"/>
      <c r="B731" s="57"/>
      <c r="C731" s="57"/>
      <c r="D731" s="103"/>
      <c r="E731" s="125"/>
      <c r="F731" s="125"/>
      <c r="G731" s="57"/>
      <c r="H731" s="57"/>
      <c r="I731" s="57"/>
      <c r="J731" s="57"/>
      <c r="K731" s="57"/>
      <c r="L731" s="57"/>
      <c r="M731" s="57"/>
      <c r="N731" s="57"/>
      <c r="O731" s="70"/>
      <c r="P731" s="57"/>
      <c r="Q731" s="24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220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149"/>
      <c r="AP731" s="149"/>
      <c r="AQ731" s="57"/>
      <c r="AR731" s="74"/>
      <c r="AS731" s="149"/>
      <c r="AT731" s="235"/>
      <c r="AU731" s="57"/>
      <c r="AV731" s="57"/>
      <c r="AW731" s="57"/>
      <c r="AX731" s="70"/>
      <c r="AY731" s="149"/>
      <c r="AZ731" s="112"/>
      <c r="BA731" s="236"/>
      <c r="BB731" s="236"/>
      <c r="BC731" s="152"/>
      <c r="BD731" s="152"/>
      <c r="BE731" s="236"/>
      <c r="BF731" s="262"/>
      <c r="BG731" s="262"/>
    </row>
    <row r="732" spans="1:59" ht="12.75" customHeight="1" x14ac:dyDescent="0.15">
      <c r="A732" s="57"/>
      <c r="B732" s="57"/>
      <c r="C732" s="57"/>
      <c r="D732" s="103"/>
      <c r="E732" s="125"/>
      <c r="F732" s="125"/>
      <c r="G732" s="57"/>
      <c r="H732" s="57"/>
      <c r="I732" s="57"/>
      <c r="J732" s="57"/>
      <c r="K732" s="57"/>
      <c r="L732" s="57"/>
      <c r="M732" s="57"/>
      <c r="N732" s="57"/>
      <c r="O732" s="70"/>
      <c r="P732" s="57"/>
      <c r="Q732" s="24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220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149"/>
      <c r="AP732" s="149"/>
      <c r="AQ732" s="57"/>
      <c r="AR732" s="74"/>
      <c r="AS732" s="149"/>
      <c r="AT732" s="235"/>
      <c r="AU732" s="57"/>
      <c r="AV732" s="57"/>
      <c r="AW732" s="57"/>
      <c r="AX732" s="70"/>
      <c r="AY732" s="149"/>
      <c r="AZ732" s="112"/>
      <c r="BA732" s="236"/>
      <c r="BB732" s="236"/>
      <c r="BC732" s="152"/>
      <c r="BD732" s="152"/>
      <c r="BE732" s="236"/>
      <c r="BF732" s="262"/>
      <c r="BG732" s="262"/>
    </row>
    <row r="733" spans="1:59" ht="12.75" customHeight="1" x14ac:dyDescent="0.15">
      <c r="A733" s="57"/>
      <c r="B733" s="57"/>
      <c r="C733" s="57"/>
      <c r="D733" s="103"/>
      <c r="E733" s="125"/>
      <c r="F733" s="125"/>
      <c r="G733" s="57"/>
      <c r="H733" s="57"/>
      <c r="I733" s="57"/>
      <c r="J733" s="57"/>
      <c r="K733" s="57"/>
      <c r="L733" s="57"/>
      <c r="M733" s="57"/>
      <c r="N733" s="57"/>
      <c r="O733" s="70"/>
      <c r="P733" s="57"/>
      <c r="Q733" s="24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220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149"/>
      <c r="AP733" s="149"/>
      <c r="AQ733" s="57"/>
      <c r="AR733" s="74"/>
      <c r="AS733" s="149"/>
      <c r="AT733" s="235"/>
      <c r="AU733" s="57"/>
      <c r="AV733" s="57"/>
      <c r="AW733" s="57"/>
      <c r="AX733" s="70"/>
      <c r="AY733" s="149"/>
      <c r="AZ733" s="112"/>
      <c r="BA733" s="236"/>
      <c r="BB733" s="236"/>
      <c r="BC733" s="152"/>
      <c r="BD733" s="152"/>
      <c r="BE733" s="236"/>
      <c r="BF733" s="262"/>
      <c r="BG733" s="262"/>
    </row>
    <row r="734" spans="1:59" ht="12.75" customHeight="1" x14ac:dyDescent="0.15">
      <c r="A734" s="57"/>
      <c r="B734" s="57"/>
      <c r="C734" s="57"/>
      <c r="D734" s="103"/>
      <c r="E734" s="125"/>
      <c r="F734" s="125"/>
      <c r="G734" s="57"/>
      <c r="H734" s="57"/>
      <c r="I734" s="57"/>
      <c r="J734" s="57"/>
      <c r="K734" s="57"/>
      <c r="L734" s="57"/>
      <c r="M734" s="57"/>
      <c r="N734" s="57"/>
      <c r="O734" s="70"/>
      <c r="P734" s="57"/>
      <c r="Q734" s="24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220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149"/>
      <c r="AP734" s="149"/>
      <c r="AQ734" s="57"/>
      <c r="AR734" s="74"/>
      <c r="AS734" s="149"/>
      <c r="AT734" s="235"/>
      <c r="AU734" s="57"/>
      <c r="AV734" s="57"/>
      <c r="AW734" s="57"/>
      <c r="AX734" s="70"/>
      <c r="AY734" s="149"/>
      <c r="AZ734" s="112"/>
      <c r="BA734" s="236"/>
      <c r="BB734" s="236"/>
      <c r="BC734" s="152"/>
      <c r="BD734" s="152"/>
      <c r="BE734" s="236"/>
      <c r="BF734" s="262"/>
      <c r="BG734" s="262"/>
    </row>
    <row r="735" spans="1:59" ht="12.75" customHeight="1" x14ac:dyDescent="0.15">
      <c r="A735" s="57"/>
      <c r="B735" s="57"/>
      <c r="C735" s="57"/>
      <c r="D735" s="103"/>
      <c r="E735" s="125"/>
      <c r="F735" s="125"/>
      <c r="G735" s="57"/>
      <c r="H735" s="57"/>
      <c r="I735" s="57"/>
      <c r="J735" s="57"/>
      <c r="K735" s="57"/>
      <c r="L735" s="57"/>
      <c r="M735" s="57"/>
      <c r="N735" s="57"/>
      <c r="O735" s="70"/>
      <c r="P735" s="57"/>
      <c r="Q735" s="24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220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149"/>
      <c r="AP735" s="149"/>
      <c r="AQ735" s="57"/>
      <c r="AR735" s="74"/>
      <c r="AS735" s="149"/>
      <c r="AT735" s="235"/>
      <c r="AU735" s="57"/>
      <c r="AV735" s="57"/>
      <c r="AW735" s="57"/>
      <c r="AX735" s="70"/>
      <c r="AY735" s="149"/>
      <c r="AZ735" s="112"/>
      <c r="BA735" s="236"/>
      <c r="BB735" s="236"/>
      <c r="BC735" s="152"/>
      <c r="BD735" s="152"/>
      <c r="BE735" s="236"/>
      <c r="BF735" s="262"/>
      <c r="BG735" s="262"/>
    </row>
    <row r="736" spans="1:59" ht="12.75" customHeight="1" x14ac:dyDescent="0.15">
      <c r="A736" s="57"/>
      <c r="B736" s="57"/>
      <c r="C736" s="57"/>
      <c r="D736" s="103"/>
      <c r="E736" s="125"/>
      <c r="F736" s="125"/>
      <c r="G736" s="57"/>
      <c r="H736" s="57"/>
      <c r="I736" s="57"/>
      <c r="J736" s="57"/>
      <c r="K736" s="57"/>
      <c r="L736" s="57"/>
      <c r="M736" s="57"/>
      <c r="N736" s="57"/>
      <c r="O736" s="70"/>
      <c r="P736" s="57"/>
      <c r="Q736" s="24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220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149"/>
      <c r="AP736" s="149"/>
      <c r="AQ736" s="57"/>
      <c r="AR736" s="74"/>
      <c r="AS736" s="149"/>
      <c r="AT736" s="235"/>
      <c r="AU736" s="57"/>
      <c r="AV736" s="57"/>
      <c r="AW736" s="57"/>
      <c r="AX736" s="70"/>
      <c r="AY736" s="149"/>
      <c r="AZ736" s="112"/>
      <c r="BA736" s="236"/>
      <c r="BB736" s="236"/>
      <c r="BC736" s="152"/>
      <c r="BD736" s="152"/>
      <c r="BE736" s="236"/>
      <c r="BF736" s="262"/>
      <c r="BG736" s="262"/>
    </row>
    <row r="737" spans="1:59" ht="12.75" customHeight="1" x14ac:dyDescent="0.15">
      <c r="A737" s="57"/>
      <c r="B737" s="57"/>
      <c r="C737" s="57"/>
      <c r="D737" s="103"/>
      <c r="E737" s="125"/>
      <c r="F737" s="125"/>
      <c r="G737" s="57"/>
      <c r="H737" s="57"/>
      <c r="I737" s="57"/>
      <c r="J737" s="57"/>
      <c r="K737" s="57"/>
      <c r="L737" s="57"/>
      <c r="M737" s="57"/>
      <c r="N737" s="57"/>
      <c r="O737" s="70"/>
      <c r="P737" s="57"/>
      <c r="Q737" s="24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220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149"/>
      <c r="AP737" s="149"/>
      <c r="AQ737" s="57"/>
      <c r="AR737" s="74"/>
      <c r="AS737" s="149"/>
      <c r="AT737" s="235"/>
      <c r="AU737" s="57"/>
      <c r="AV737" s="57"/>
      <c r="AW737" s="57"/>
      <c r="AX737" s="70"/>
      <c r="AY737" s="149"/>
      <c r="AZ737" s="112"/>
      <c r="BA737" s="236"/>
      <c r="BB737" s="236"/>
      <c r="BC737" s="152"/>
      <c r="BD737" s="152"/>
      <c r="BE737" s="236"/>
      <c r="BF737" s="262"/>
      <c r="BG737" s="262"/>
    </row>
    <row r="738" spans="1:59" ht="12.75" customHeight="1" x14ac:dyDescent="0.15">
      <c r="A738" s="57"/>
      <c r="B738" s="57"/>
      <c r="C738" s="57"/>
      <c r="D738" s="103"/>
      <c r="E738" s="125"/>
      <c r="F738" s="125"/>
      <c r="G738" s="57"/>
      <c r="H738" s="57"/>
      <c r="I738" s="57"/>
      <c r="J738" s="57"/>
      <c r="K738" s="57"/>
      <c r="L738" s="57"/>
      <c r="M738" s="57"/>
      <c r="N738" s="57"/>
      <c r="O738" s="70"/>
      <c r="P738" s="57"/>
      <c r="Q738" s="24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220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149"/>
      <c r="AP738" s="149"/>
      <c r="AQ738" s="57"/>
      <c r="AR738" s="74"/>
      <c r="AS738" s="149"/>
      <c r="AT738" s="235"/>
      <c r="AU738" s="57"/>
      <c r="AV738" s="57"/>
      <c r="AW738" s="57"/>
      <c r="AX738" s="70"/>
      <c r="AY738" s="149"/>
      <c r="AZ738" s="112"/>
      <c r="BA738" s="236"/>
      <c r="BB738" s="236"/>
      <c r="BC738" s="152"/>
      <c r="BD738" s="152"/>
      <c r="BE738" s="236"/>
      <c r="BF738" s="262"/>
      <c r="BG738" s="262"/>
    </row>
    <row r="739" spans="1:59" ht="12.75" customHeight="1" x14ac:dyDescent="0.15">
      <c r="A739" s="57"/>
      <c r="B739" s="57"/>
      <c r="C739" s="57"/>
      <c r="D739" s="103"/>
      <c r="E739" s="125"/>
      <c r="F739" s="125"/>
      <c r="G739" s="57"/>
      <c r="H739" s="57"/>
      <c r="I739" s="57"/>
      <c r="J739" s="57"/>
      <c r="K739" s="57"/>
      <c r="L739" s="57"/>
      <c r="M739" s="57"/>
      <c r="N739" s="57"/>
      <c r="O739" s="70"/>
      <c r="P739" s="57"/>
      <c r="Q739" s="24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220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149"/>
      <c r="AP739" s="149"/>
      <c r="AQ739" s="57"/>
      <c r="AR739" s="74"/>
      <c r="AS739" s="149"/>
      <c r="AT739" s="235"/>
      <c r="AU739" s="57"/>
      <c r="AV739" s="57"/>
      <c r="AW739" s="57"/>
      <c r="AX739" s="70"/>
      <c r="AY739" s="149"/>
      <c r="AZ739" s="112"/>
      <c r="BA739" s="236"/>
      <c r="BB739" s="236"/>
      <c r="BC739" s="152"/>
      <c r="BD739" s="152"/>
      <c r="BE739" s="236"/>
      <c r="BF739" s="262"/>
      <c r="BG739" s="262"/>
    </row>
    <row r="740" spans="1:59" ht="12.75" customHeight="1" x14ac:dyDescent="0.15">
      <c r="A740" s="57"/>
      <c r="B740" s="57"/>
      <c r="C740" s="57"/>
      <c r="D740" s="103"/>
      <c r="E740" s="125"/>
      <c r="F740" s="125"/>
      <c r="G740" s="57"/>
      <c r="H740" s="57"/>
      <c r="I740" s="57"/>
      <c r="J740" s="57"/>
      <c r="K740" s="57"/>
      <c r="L740" s="57"/>
      <c r="M740" s="57"/>
      <c r="N740" s="57"/>
      <c r="O740" s="70"/>
      <c r="P740" s="57"/>
      <c r="Q740" s="24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220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149"/>
      <c r="AP740" s="149"/>
      <c r="AQ740" s="57"/>
      <c r="AR740" s="74"/>
      <c r="AS740" s="149"/>
      <c r="AT740" s="235"/>
      <c r="AU740" s="57"/>
      <c r="AV740" s="57"/>
      <c r="AW740" s="57"/>
      <c r="AX740" s="70"/>
      <c r="AY740" s="149"/>
      <c r="AZ740" s="112"/>
      <c r="BA740" s="236"/>
      <c r="BB740" s="236"/>
      <c r="BC740" s="152"/>
      <c r="BD740" s="152"/>
      <c r="BE740" s="236"/>
      <c r="BF740" s="262"/>
      <c r="BG740" s="262"/>
    </row>
    <row r="741" spans="1:59" ht="12.75" customHeight="1" x14ac:dyDescent="0.15">
      <c r="A741" s="57"/>
      <c r="B741" s="57"/>
      <c r="C741" s="57"/>
      <c r="D741" s="103"/>
      <c r="E741" s="125"/>
      <c r="F741" s="125"/>
      <c r="G741" s="57"/>
      <c r="H741" s="57"/>
      <c r="I741" s="57"/>
      <c r="J741" s="57"/>
      <c r="K741" s="57"/>
      <c r="L741" s="57"/>
      <c r="M741" s="57"/>
      <c r="N741" s="57"/>
      <c r="O741" s="70"/>
      <c r="P741" s="57"/>
      <c r="Q741" s="24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220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149"/>
      <c r="AP741" s="149"/>
      <c r="AQ741" s="57"/>
      <c r="AR741" s="74"/>
      <c r="AS741" s="149"/>
      <c r="AT741" s="235"/>
      <c r="AU741" s="57"/>
      <c r="AV741" s="57"/>
      <c r="AW741" s="57"/>
      <c r="AX741" s="70"/>
      <c r="AY741" s="149"/>
      <c r="AZ741" s="112"/>
      <c r="BA741" s="236"/>
      <c r="BB741" s="236"/>
      <c r="BC741" s="152"/>
      <c r="BD741" s="152"/>
      <c r="BE741" s="236"/>
      <c r="BF741" s="262"/>
      <c r="BG741" s="262"/>
    </row>
    <row r="742" spans="1:59" ht="12.75" customHeight="1" x14ac:dyDescent="0.15">
      <c r="A742" s="57"/>
      <c r="B742" s="57"/>
      <c r="C742" s="57"/>
      <c r="D742" s="103"/>
      <c r="E742" s="125"/>
      <c r="F742" s="125"/>
      <c r="G742" s="57"/>
      <c r="H742" s="57"/>
      <c r="I742" s="57"/>
      <c r="J742" s="57"/>
      <c r="K742" s="57"/>
      <c r="L742" s="57"/>
      <c r="M742" s="57"/>
      <c r="N742" s="57"/>
      <c r="O742" s="70"/>
      <c r="P742" s="57"/>
      <c r="Q742" s="24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220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149"/>
      <c r="AP742" s="149"/>
      <c r="AQ742" s="57"/>
      <c r="AR742" s="74"/>
      <c r="AS742" s="149"/>
      <c r="AT742" s="235"/>
      <c r="AU742" s="57"/>
      <c r="AV742" s="57"/>
      <c r="AW742" s="57"/>
      <c r="AX742" s="70"/>
      <c r="AY742" s="149"/>
      <c r="AZ742" s="112"/>
      <c r="BA742" s="236"/>
      <c r="BB742" s="236"/>
      <c r="BC742" s="152"/>
      <c r="BD742" s="152"/>
      <c r="BE742" s="236"/>
      <c r="BF742" s="262"/>
      <c r="BG742" s="262"/>
    </row>
    <row r="743" spans="1:59" ht="12.75" customHeight="1" x14ac:dyDescent="0.15">
      <c r="A743" s="57"/>
      <c r="B743" s="57"/>
      <c r="C743" s="57"/>
      <c r="D743" s="103"/>
      <c r="E743" s="125"/>
      <c r="F743" s="125"/>
      <c r="G743" s="57"/>
      <c r="H743" s="57"/>
      <c r="I743" s="57"/>
      <c r="J743" s="57"/>
      <c r="K743" s="57"/>
      <c r="L743" s="57"/>
      <c r="M743" s="57"/>
      <c r="N743" s="57"/>
      <c r="O743" s="70"/>
      <c r="P743" s="57"/>
      <c r="Q743" s="24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220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149"/>
      <c r="AP743" s="149"/>
      <c r="AQ743" s="57"/>
      <c r="AR743" s="74"/>
      <c r="AS743" s="149"/>
      <c r="AT743" s="235"/>
      <c r="AU743" s="57"/>
      <c r="AV743" s="57"/>
      <c r="AW743" s="57"/>
      <c r="AX743" s="70"/>
      <c r="AY743" s="149"/>
      <c r="AZ743" s="112"/>
      <c r="BA743" s="236"/>
      <c r="BB743" s="236"/>
      <c r="BC743" s="152"/>
      <c r="BD743" s="152"/>
      <c r="BE743" s="236"/>
      <c r="BF743" s="262"/>
      <c r="BG743" s="262"/>
    </row>
    <row r="744" spans="1:59" ht="12.75" customHeight="1" x14ac:dyDescent="0.15">
      <c r="A744" s="57"/>
      <c r="B744" s="57"/>
      <c r="C744" s="57"/>
      <c r="D744" s="103"/>
      <c r="E744" s="125"/>
      <c r="F744" s="125"/>
      <c r="G744" s="57"/>
      <c r="H744" s="57"/>
      <c r="I744" s="57"/>
      <c r="J744" s="57"/>
      <c r="K744" s="57"/>
      <c r="L744" s="57"/>
      <c r="M744" s="57"/>
      <c r="N744" s="57"/>
      <c r="O744" s="70"/>
      <c r="P744" s="57"/>
      <c r="Q744" s="24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220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149"/>
      <c r="AP744" s="149"/>
      <c r="AQ744" s="57"/>
      <c r="AR744" s="74"/>
      <c r="AS744" s="149"/>
      <c r="AT744" s="235"/>
      <c r="AU744" s="57"/>
      <c r="AV744" s="57"/>
      <c r="AW744" s="57"/>
      <c r="AX744" s="70"/>
      <c r="AY744" s="149"/>
      <c r="AZ744" s="112"/>
      <c r="BA744" s="236"/>
      <c r="BB744" s="236"/>
      <c r="BC744" s="152"/>
      <c r="BD744" s="152"/>
      <c r="BE744" s="236"/>
      <c r="BF744" s="262"/>
      <c r="BG744" s="262"/>
    </row>
    <row r="745" spans="1:59" ht="12.75" customHeight="1" x14ac:dyDescent="0.15">
      <c r="A745" s="57"/>
      <c r="B745" s="57"/>
      <c r="C745" s="57"/>
      <c r="D745" s="103"/>
      <c r="E745" s="125"/>
      <c r="F745" s="125"/>
      <c r="G745" s="57"/>
      <c r="H745" s="57"/>
      <c r="I745" s="57"/>
      <c r="J745" s="57"/>
      <c r="K745" s="57"/>
      <c r="L745" s="57"/>
      <c r="M745" s="57"/>
      <c r="N745" s="57"/>
      <c r="O745" s="70"/>
      <c r="P745" s="57"/>
      <c r="Q745" s="24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220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149"/>
      <c r="AP745" s="149"/>
      <c r="AQ745" s="57"/>
      <c r="AR745" s="74"/>
      <c r="AS745" s="149"/>
      <c r="AT745" s="235"/>
      <c r="AU745" s="57"/>
      <c r="AV745" s="57"/>
      <c r="AW745" s="57"/>
      <c r="AX745" s="70"/>
      <c r="AY745" s="149"/>
      <c r="AZ745" s="112"/>
      <c r="BA745" s="236"/>
      <c r="BB745" s="236"/>
      <c r="BC745" s="152"/>
      <c r="BD745" s="152"/>
      <c r="BE745" s="236"/>
      <c r="BF745" s="262"/>
      <c r="BG745" s="262"/>
    </row>
    <row r="746" spans="1:59" ht="12.75" customHeight="1" x14ac:dyDescent="0.15">
      <c r="A746" s="57"/>
      <c r="B746" s="57"/>
      <c r="C746" s="57"/>
      <c r="D746" s="103"/>
      <c r="E746" s="125"/>
      <c r="F746" s="125"/>
      <c r="G746" s="57"/>
      <c r="H746" s="57"/>
      <c r="I746" s="57"/>
      <c r="J746" s="57"/>
      <c r="K746" s="57"/>
      <c r="L746" s="57"/>
      <c r="M746" s="57"/>
      <c r="N746" s="57"/>
      <c r="O746" s="70"/>
      <c r="P746" s="57"/>
      <c r="Q746" s="24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220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149"/>
      <c r="AP746" s="149"/>
      <c r="AQ746" s="57"/>
      <c r="AR746" s="74"/>
      <c r="AS746" s="149"/>
      <c r="AT746" s="235"/>
      <c r="AU746" s="57"/>
      <c r="AV746" s="57"/>
      <c r="AW746" s="57"/>
      <c r="AX746" s="70"/>
      <c r="AY746" s="149"/>
      <c r="AZ746" s="112"/>
      <c r="BA746" s="236"/>
      <c r="BB746" s="236"/>
      <c r="BC746" s="152"/>
      <c r="BD746" s="152"/>
      <c r="BE746" s="236"/>
      <c r="BF746" s="262"/>
      <c r="BG746" s="262"/>
    </row>
    <row r="747" spans="1:59" ht="12.75" customHeight="1" x14ac:dyDescent="0.15">
      <c r="A747" s="57"/>
      <c r="B747" s="57"/>
      <c r="C747" s="57"/>
      <c r="D747" s="103"/>
      <c r="E747" s="125"/>
      <c r="F747" s="125"/>
      <c r="G747" s="57"/>
      <c r="H747" s="57"/>
      <c r="I747" s="57"/>
      <c r="J747" s="57"/>
      <c r="K747" s="57"/>
      <c r="L747" s="57"/>
      <c r="M747" s="57"/>
      <c r="N747" s="57"/>
      <c r="O747" s="70"/>
      <c r="P747" s="57"/>
      <c r="Q747" s="24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220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149"/>
      <c r="AP747" s="149"/>
      <c r="AQ747" s="57"/>
      <c r="AR747" s="74"/>
      <c r="AS747" s="149"/>
      <c r="AT747" s="235"/>
      <c r="AU747" s="57"/>
      <c r="AV747" s="57"/>
      <c r="AW747" s="57"/>
      <c r="AX747" s="70"/>
      <c r="AY747" s="149"/>
      <c r="AZ747" s="112"/>
      <c r="BA747" s="236"/>
      <c r="BB747" s="236"/>
      <c r="BC747" s="152"/>
      <c r="BD747" s="152"/>
      <c r="BE747" s="236"/>
      <c r="BF747" s="262"/>
      <c r="BG747" s="262"/>
    </row>
    <row r="748" spans="1:59" ht="12.75" customHeight="1" x14ac:dyDescent="0.15">
      <c r="A748" s="57"/>
      <c r="B748" s="57"/>
      <c r="C748" s="57"/>
      <c r="D748" s="103"/>
      <c r="E748" s="125"/>
      <c r="F748" s="125"/>
      <c r="G748" s="57"/>
      <c r="H748" s="57"/>
      <c r="I748" s="57"/>
      <c r="J748" s="57"/>
      <c r="K748" s="57"/>
      <c r="L748" s="57"/>
      <c r="M748" s="57"/>
      <c r="N748" s="57"/>
      <c r="O748" s="70"/>
      <c r="P748" s="57"/>
      <c r="Q748" s="24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220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149"/>
      <c r="AP748" s="149"/>
      <c r="AQ748" s="57"/>
      <c r="AR748" s="74"/>
      <c r="AS748" s="149"/>
      <c r="AT748" s="235"/>
      <c r="AU748" s="57"/>
      <c r="AV748" s="57"/>
      <c r="AW748" s="57"/>
      <c r="AX748" s="70"/>
      <c r="AY748" s="149"/>
      <c r="AZ748" s="112"/>
      <c r="BA748" s="236"/>
      <c r="BB748" s="236"/>
      <c r="BC748" s="152"/>
      <c r="BD748" s="152"/>
      <c r="BE748" s="236"/>
      <c r="BF748" s="262"/>
      <c r="BG748" s="262"/>
    </row>
    <row r="749" spans="1:59" ht="12.75" customHeight="1" x14ac:dyDescent="0.15">
      <c r="A749" s="57"/>
      <c r="B749" s="57"/>
      <c r="C749" s="57"/>
      <c r="D749" s="103"/>
      <c r="E749" s="125"/>
      <c r="F749" s="125"/>
      <c r="G749" s="57"/>
      <c r="H749" s="57"/>
      <c r="I749" s="57"/>
      <c r="J749" s="57"/>
      <c r="K749" s="57"/>
      <c r="L749" s="57"/>
      <c r="M749" s="57"/>
      <c r="N749" s="57"/>
      <c r="O749" s="70"/>
      <c r="P749" s="57"/>
      <c r="Q749" s="24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220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149"/>
      <c r="AP749" s="149"/>
      <c r="AQ749" s="57"/>
      <c r="AR749" s="74"/>
      <c r="AS749" s="149"/>
      <c r="AT749" s="235"/>
      <c r="AU749" s="57"/>
      <c r="AV749" s="57"/>
      <c r="AW749" s="57"/>
      <c r="AX749" s="70"/>
      <c r="AY749" s="149"/>
      <c r="AZ749" s="112"/>
      <c r="BA749" s="236"/>
      <c r="BB749" s="236"/>
      <c r="BC749" s="152"/>
      <c r="BD749" s="152"/>
      <c r="BE749" s="236"/>
      <c r="BF749" s="262"/>
      <c r="BG749" s="262"/>
    </row>
    <row r="750" spans="1:59" ht="12.75" customHeight="1" x14ac:dyDescent="0.15">
      <c r="A750" s="57"/>
      <c r="B750" s="57"/>
      <c r="C750" s="57"/>
      <c r="D750" s="103"/>
      <c r="E750" s="125"/>
      <c r="F750" s="125"/>
      <c r="G750" s="57"/>
      <c r="H750" s="57"/>
      <c r="I750" s="57"/>
      <c r="J750" s="57"/>
      <c r="K750" s="57"/>
      <c r="L750" s="57"/>
      <c r="M750" s="57"/>
      <c r="N750" s="57"/>
      <c r="O750" s="70"/>
      <c r="P750" s="57"/>
      <c r="Q750" s="24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220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149"/>
      <c r="AP750" s="149"/>
      <c r="AQ750" s="57"/>
      <c r="AR750" s="74"/>
      <c r="AS750" s="149"/>
      <c r="AT750" s="235"/>
      <c r="AU750" s="57"/>
      <c r="AV750" s="57"/>
      <c r="AW750" s="57"/>
      <c r="AX750" s="70"/>
      <c r="AY750" s="149"/>
      <c r="AZ750" s="112"/>
      <c r="BA750" s="236"/>
      <c r="BB750" s="236"/>
      <c r="BC750" s="152"/>
      <c r="BD750" s="152"/>
      <c r="BE750" s="236"/>
      <c r="BF750" s="262"/>
      <c r="BG750" s="262"/>
    </row>
    <row r="751" spans="1:59" ht="12.75" customHeight="1" x14ac:dyDescent="0.15">
      <c r="A751" s="57"/>
      <c r="B751" s="57"/>
      <c r="C751" s="57"/>
      <c r="D751" s="103"/>
      <c r="E751" s="125"/>
      <c r="F751" s="125"/>
      <c r="G751" s="57"/>
      <c r="H751" s="57"/>
      <c r="I751" s="57"/>
      <c r="J751" s="57"/>
      <c r="K751" s="57"/>
      <c r="L751" s="57"/>
      <c r="M751" s="57"/>
      <c r="N751" s="57"/>
      <c r="O751" s="70"/>
      <c r="P751" s="57"/>
      <c r="Q751" s="24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220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149"/>
      <c r="AP751" s="149"/>
      <c r="AQ751" s="57"/>
      <c r="AR751" s="74"/>
      <c r="AS751" s="149"/>
      <c r="AT751" s="235"/>
      <c r="AU751" s="57"/>
      <c r="AV751" s="57"/>
      <c r="AW751" s="57"/>
      <c r="AX751" s="70"/>
      <c r="AY751" s="149"/>
      <c r="AZ751" s="112"/>
      <c r="BA751" s="236"/>
      <c r="BB751" s="236"/>
      <c r="BC751" s="152"/>
      <c r="BD751" s="152"/>
      <c r="BE751" s="236"/>
      <c r="BF751" s="262"/>
      <c r="BG751" s="262"/>
    </row>
    <row r="752" spans="1:59" ht="12.75" customHeight="1" x14ac:dyDescent="0.15">
      <c r="A752" s="57"/>
      <c r="B752" s="57"/>
      <c r="C752" s="57"/>
      <c r="D752" s="103"/>
      <c r="E752" s="125"/>
      <c r="F752" s="125"/>
      <c r="G752" s="57"/>
      <c r="H752" s="57"/>
      <c r="I752" s="57"/>
      <c r="J752" s="57"/>
      <c r="K752" s="57"/>
      <c r="L752" s="57"/>
      <c r="M752" s="57"/>
      <c r="N752" s="57"/>
      <c r="O752" s="70"/>
      <c r="P752" s="57"/>
      <c r="Q752" s="24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220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149"/>
      <c r="AP752" s="149"/>
      <c r="AQ752" s="57"/>
      <c r="AR752" s="74"/>
      <c r="AS752" s="149"/>
      <c r="AT752" s="235"/>
      <c r="AU752" s="57"/>
      <c r="AV752" s="57"/>
      <c r="AW752" s="57"/>
      <c r="AX752" s="70"/>
      <c r="AY752" s="149"/>
      <c r="AZ752" s="112"/>
      <c r="BA752" s="236"/>
      <c r="BB752" s="236"/>
      <c r="BC752" s="152"/>
      <c r="BD752" s="152"/>
      <c r="BE752" s="236"/>
      <c r="BF752" s="262"/>
      <c r="BG752" s="262"/>
    </row>
    <row r="753" spans="1:59" ht="12.75" customHeight="1" x14ac:dyDescent="0.15">
      <c r="A753" s="57"/>
      <c r="B753" s="57"/>
      <c r="C753" s="57"/>
      <c r="D753" s="103"/>
      <c r="E753" s="125"/>
      <c r="F753" s="125"/>
      <c r="G753" s="57"/>
      <c r="H753" s="57"/>
      <c r="I753" s="57"/>
      <c r="J753" s="57"/>
      <c r="K753" s="57"/>
      <c r="L753" s="57"/>
      <c r="M753" s="57"/>
      <c r="N753" s="57"/>
      <c r="O753" s="70"/>
      <c r="P753" s="57"/>
      <c r="Q753" s="24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220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149"/>
      <c r="AP753" s="149"/>
      <c r="AQ753" s="57"/>
      <c r="AR753" s="74"/>
      <c r="AS753" s="149"/>
      <c r="AT753" s="235"/>
      <c r="AU753" s="57"/>
      <c r="AV753" s="57"/>
      <c r="AW753" s="57"/>
      <c r="AX753" s="70"/>
      <c r="AY753" s="149"/>
      <c r="AZ753" s="112"/>
      <c r="BA753" s="236"/>
      <c r="BB753" s="236"/>
      <c r="BC753" s="152"/>
      <c r="BD753" s="152"/>
      <c r="BE753" s="236"/>
      <c r="BF753" s="262"/>
      <c r="BG753" s="262"/>
    </row>
    <row r="754" spans="1:59" ht="12.75" customHeight="1" x14ac:dyDescent="0.15">
      <c r="A754" s="57"/>
      <c r="B754" s="57"/>
      <c r="C754" s="57"/>
      <c r="D754" s="103"/>
      <c r="E754" s="125"/>
      <c r="F754" s="125"/>
      <c r="G754" s="57"/>
      <c r="H754" s="57"/>
      <c r="I754" s="57"/>
      <c r="J754" s="57"/>
      <c r="K754" s="57"/>
      <c r="L754" s="57"/>
      <c r="M754" s="57"/>
      <c r="N754" s="57"/>
      <c r="O754" s="70"/>
      <c r="P754" s="57"/>
      <c r="Q754" s="24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220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149"/>
      <c r="AP754" s="149"/>
      <c r="AQ754" s="57"/>
      <c r="AR754" s="74"/>
      <c r="AS754" s="149"/>
      <c r="AT754" s="235"/>
      <c r="AU754" s="57"/>
      <c r="AV754" s="57"/>
      <c r="AW754" s="57"/>
      <c r="AX754" s="70"/>
      <c r="AY754" s="149"/>
      <c r="AZ754" s="112"/>
      <c r="BA754" s="236"/>
      <c r="BB754" s="236"/>
      <c r="BC754" s="152"/>
      <c r="BD754" s="152"/>
      <c r="BE754" s="236"/>
      <c r="BF754" s="262"/>
      <c r="BG754" s="262"/>
    </row>
    <row r="755" spans="1:59" ht="12.75" customHeight="1" x14ac:dyDescent="0.15">
      <c r="A755" s="57"/>
      <c r="B755" s="57"/>
      <c r="C755" s="57"/>
      <c r="D755" s="103"/>
      <c r="E755" s="125"/>
      <c r="F755" s="125"/>
      <c r="G755" s="57"/>
      <c r="H755" s="57"/>
      <c r="I755" s="57"/>
      <c r="J755" s="57"/>
      <c r="K755" s="57"/>
      <c r="L755" s="57"/>
      <c r="M755" s="57"/>
      <c r="N755" s="57"/>
      <c r="O755" s="70"/>
      <c r="P755" s="57"/>
      <c r="Q755" s="24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220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149"/>
      <c r="AP755" s="149"/>
      <c r="AQ755" s="57"/>
      <c r="AR755" s="74"/>
      <c r="AS755" s="149"/>
      <c r="AT755" s="235"/>
      <c r="AU755" s="57"/>
      <c r="AV755" s="57"/>
      <c r="AW755" s="57"/>
      <c r="AX755" s="70"/>
      <c r="AY755" s="149"/>
      <c r="AZ755" s="112"/>
      <c r="BA755" s="236"/>
      <c r="BB755" s="236"/>
      <c r="BC755" s="152"/>
      <c r="BD755" s="152"/>
      <c r="BE755" s="236"/>
      <c r="BF755" s="262"/>
      <c r="BG755" s="262"/>
    </row>
    <row r="756" spans="1:59" ht="12.75" customHeight="1" x14ac:dyDescent="0.15">
      <c r="A756" s="57"/>
      <c r="B756" s="57"/>
      <c r="C756" s="57"/>
      <c r="D756" s="103"/>
      <c r="E756" s="125"/>
      <c r="F756" s="125"/>
      <c r="G756" s="57"/>
      <c r="H756" s="57"/>
      <c r="I756" s="57"/>
      <c r="J756" s="57"/>
      <c r="K756" s="57"/>
      <c r="L756" s="57"/>
      <c r="M756" s="57"/>
      <c r="N756" s="57"/>
      <c r="O756" s="70"/>
      <c r="P756" s="57"/>
      <c r="Q756" s="24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220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149"/>
      <c r="AP756" s="149"/>
      <c r="AQ756" s="57"/>
      <c r="AR756" s="74"/>
      <c r="AS756" s="149"/>
      <c r="AT756" s="235"/>
      <c r="AU756" s="57"/>
      <c r="AV756" s="57"/>
      <c r="AW756" s="57"/>
      <c r="AX756" s="70"/>
      <c r="AY756" s="149"/>
      <c r="AZ756" s="112"/>
      <c r="BA756" s="236"/>
      <c r="BB756" s="236"/>
      <c r="BC756" s="152"/>
      <c r="BD756" s="152"/>
      <c r="BE756" s="236"/>
      <c r="BF756" s="262"/>
      <c r="BG756" s="262"/>
    </row>
    <row r="757" spans="1:59" ht="12.75" customHeight="1" x14ac:dyDescent="0.15">
      <c r="A757" s="57"/>
      <c r="B757" s="57"/>
      <c r="C757" s="57"/>
      <c r="D757" s="103"/>
      <c r="E757" s="125"/>
      <c r="F757" s="125"/>
      <c r="G757" s="57"/>
      <c r="H757" s="57"/>
      <c r="I757" s="57"/>
      <c r="J757" s="57"/>
      <c r="K757" s="57"/>
      <c r="L757" s="57"/>
      <c r="M757" s="57"/>
      <c r="N757" s="57"/>
      <c r="O757" s="70"/>
      <c r="P757" s="57"/>
      <c r="Q757" s="24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220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149"/>
      <c r="AP757" s="149"/>
      <c r="AQ757" s="57"/>
      <c r="AR757" s="74"/>
      <c r="AS757" s="149"/>
      <c r="AT757" s="235"/>
      <c r="AU757" s="57"/>
      <c r="AV757" s="57"/>
      <c r="AW757" s="57"/>
      <c r="AX757" s="70"/>
      <c r="AY757" s="149"/>
      <c r="AZ757" s="112"/>
      <c r="BA757" s="236"/>
      <c r="BB757" s="236"/>
      <c r="BC757" s="152"/>
      <c r="BD757" s="152"/>
      <c r="BE757" s="236"/>
      <c r="BF757" s="262"/>
      <c r="BG757" s="262"/>
    </row>
    <row r="758" spans="1:59" ht="12.75" customHeight="1" x14ac:dyDescent="0.15">
      <c r="A758" s="57"/>
      <c r="B758" s="57"/>
      <c r="C758" s="57"/>
      <c r="D758" s="103"/>
      <c r="E758" s="125"/>
      <c r="F758" s="125"/>
      <c r="G758" s="57"/>
      <c r="H758" s="57"/>
      <c r="I758" s="57"/>
      <c r="J758" s="57"/>
      <c r="K758" s="57"/>
      <c r="L758" s="57"/>
      <c r="M758" s="57"/>
      <c r="N758" s="57"/>
      <c r="O758" s="70"/>
      <c r="P758" s="57"/>
      <c r="Q758" s="24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220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149"/>
      <c r="AP758" s="149"/>
      <c r="AQ758" s="57"/>
      <c r="AR758" s="74"/>
      <c r="AS758" s="149"/>
      <c r="AT758" s="235"/>
      <c r="AU758" s="57"/>
      <c r="AV758" s="57"/>
      <c r="AW758" s="57"/>
      <c r="AX758" s="70"/>
      <c r="AY758" s="149"/>
      <c r="AZ758" s="112"/>
      <c r="BA758" s="236"/>
      <c r="BB758" s="236"/>
      <c r="BC758" s="152"/>
      <c r="BD758" s="152"/>
      <c r="BE758" s="236"/>
      <c r="BF758" s="262"/>
      <c r="BG758" s="262"/>
    </row>
    <row r="759" spans="1:59" ht="12.75" customHeight="1" x14ac:dyDescent="0.15">
      <c r="A759" s="57"/>
      <c r="B759" s="57"/>
      <c r="C759" s="57"/>
      <c r="D759" s="103"/>
      <c r="E759" s="125"/>
      <c r="F759" s="125"/>
      <c r="G759" s="57"/>
      <c r="H759" s="57"/>
      <c r="I759" s="57"/>
      <c r="J759" s="57"/>
      <c r="K759" s="57"/>
      <c r="L759" s="57"/>
      <c r="M759" s="57"/>
      <c r="N759" s="57"/>
      <c r="O759" s="70"/>
      <c r="P759" s="57"/>
      <c r="Q759" s="24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220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149"/>
      <c r="AP759" s="149"/>
      <c r="AQ759" s="57"/>
      <c r="AR759" s="74"/>
      <c r="AS759" s="149"/>
      <c r="AT759" s="235"/>
      <c r="AU759" s="57"/>
      <c r="AV759" s="57"/>
      <c r="AW759" s="57"/>
      <c r="AX759" s="70"/>
      <c r="AY759" s="149"/>
      <c r="AZ759" s="112"/>
      <c r="BA759" s="236"/>
      <c r="BB759" s="236"/>
      <c r="BC759" s="152"/>
      <c r="BD759" s="152"/>
      <c r="BE759" s="236"/>
      <c r="BF759" s="262"/>
      <c r="BG759" s="262"/>
    </row>
    <row r="760" spans="1:59" ht="12.75" customHeight="1" x14ac:dyDescent="0.15">
      <c r="A760" s="57"/>
      <c r="B760" s="57"/>
      <c r="C760" s="57"/>
      <c r="D760" s="103"/>
      <c r="E760" s="125"/>
      <c r="F760" s="125"/>
      <c r="G760" s="57"/>
      <c r="H760" s="57"/>
      <c r="I760" s="57"/>
      <c r="J760" s="57"/>
      <c r="K760" s="57"/>
      <c r="L760" s="57"/>
      <c r="M760" s="57"/>
      <c r="N760" s="57"/>
      <c r="O760" s="70"/>
      <c r="P760" s="57"/>
      <c r="Q760" s="24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220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149"/>
      <c r="AP760" s="149"/>
      <c r="AQ760" s="57"/>
      <c r="AR760" s="74"/>
      <c r="AS760" s="149"/>
      <c r="AT760" s="235"/>
      <c r="AU760" s="57"/>
      <c r="AV760" s="57"/>
      <c r="AW760" s="57"/>
      <c r="AX760" s="70"/>
      <c r="AY760" s="149"/>
      <c r="AZ760" s="112"/>
      <c r="BA760" s="236"/>
      <c r="BB760" s="236"/>
      <c r="BC760" s="152"/>
      <c r="BD760" s="152"/>
      <c r="BE760" s="236"/>
      <c r="BF760" s="262"/>
      <c r="BG760" s="262"/>
    </row>
    <row r="761" spans="1:59" ht="12.75" customHeight="1" x14ac:dyDescent="0.15">
      <c r="A761" s="57"/>
      <c r="B761" s="57"/>
      <c r="C761" s="57"/>
      <c r="D761" s="103"/>
      <c r="E761" s="125"/>
      <c r="F761" s="125"/>
      <c r="G761" s="57"/>
      <c r="H761" s="57"/>
      <c r="I761" s="57"/>
      <c r="J761" s="57"/>
      <c r="K761" s="57"/>
      <c r="L761" s="57"/>
      <c r="M761" s="57"/>
      <c r="N761" s="57"/>
      <c r="O761" s="70"/>
      <c r="P761" s="57"/>
      <c r="Q761" s="24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220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149"/>
      <c r="AP761" s="149"/>
      <c r="AQ761" s="57"/>
      <c r="AR761" s="74"/>
      <c r="AS761" s="149"/>
      <c r="AT761" s="235"/>
      <c r="AU761" s="57"/>
      <c r="AV761" s="57"/>
      <c r="AW761" s="57"/>
      <c r="AX761" s="70"/>
      <c r="AY761" s="149"/>
      <c r="AZ761" s="112"/>
      <c r="BA761" s="236"/>
      <c r="BB761" s="236"/>
      <c r="BC761" s="152"/>
      <c r="BD761" s="152"/>
      <c r="BE761" s="236"/>
      <c r="BF761" s="262"/>
      <c r="BG761" s="262"/>
    </row>
    <row r="762" spans="1:59" ht="12.75" customHeight="1" x14ac:dyDescent="0.15">
      <c r="A762" s="57"/>
      <c r="B762" s="57"/>
      <c r="C762" s="57"/>
      <c r="D762" s="103"/>
      <c r="E762" s="125"/>
      <c r="F762" s="125"/>
      <c r="G762" s="57"/>
      <c r="H762" s="57"/>
      <c r="I762" s="57"/>
      <c r="J762" s="57"/>
      <c r="K762" s="57"/>
      <c r="L762" s="57"/>
      <c r="M762" s="57"/>
      <c r="N762" s="57"/>
      <c r="O762" s="70"/>
      <c r="P762" s="57"/>
      <c r="Q762" s="24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220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149"/>
      <c r="AP762" s="149"/>
      <c r="AQ762" s="57"/>
      <c r="AR762" s="74"/>
      <c r="AS762" s="149"/>
      <c r="AT762" s="235"/>
      <c r="AU762" s="57"/>
      <c r="AV762" s="57"/>
      <c r="AW762" s="57"/>
      <c r="AX762" s="70"/>
      <c r="AY762" s="149"/>
      <c r="AZ762" s="112"/>
      <c r="BA762" s="236"/>
      <c r="BB762" s="236"/>
      <c r="BC762" s="152"/>
      <c r="BD762" s="152"/>
      <c r="BE762" s="236"/>
      <c r="BF762" s="262"/>
      <c r="BG762" s="262"/>
    </row>
    <row r="763" spans="1:59" ht="12.75" customHeight="1" x14ac:dyDescent="0.15">
      <c r="A763" s="57"/>
      <c r="B763" s="57"/>
      <c r="C763" s="57"/>
      <c r="D763" s="103"/>
      <c r="E763" s="125"/>
      <c r="F763" s="125"/>
      <c r="G763" s="57"/>
      <c r="H763" s="57"/>
      <c r="I763" s="57"/>
      <c r="J763" s="57"/>
      <c r="K763" s="57"/>
      <c r="L763" s="57"/>
      <c r="M763" s="57"/>
      <c r="N763" s="57"/>
      <c r="O763" s="70"/>
      <c r="P763" s="57"/>
      <c r="Q763" s="24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220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149"/>
      <c r="AP763" s="149"/>
      <c r="AQ763" s="57"/>
      <c r="AR763" s="74"/>
      <c r="AS763" s="149"/>
      <c r="AT763" s="235"/>
      <c r="AU763" s="57"/>
      <c r="AV763" s="57"/>
      <c r="AW763" s="57"/>
      <c r="AX763" s="70"/>
      <c r="AY763" s="149"/>
      <c r="AZ763" s="112"/>
      <c r="BA763" s="236"/>
      <c r="BB763" s="236"/>
      <c r="BC763" s="152"/>
      <c r="BD763" s="152"/>
      <c r="BE763" s="236"/>
      <c r="BF763" s="262"/>
      <c r="BG763" s="262"/>
    </row>
    <row r="764" spans="1:59" ht="12.75" customHeight="1" x14ac:dyDescent="0.15">
      <c r="A764" s="57"/>
      <c r="B764" s="57"/>
      <c r="C764" s="57"/>
      <c r="D764" s="103"/>
      <c r="E764" s="125"/>
      <c r="F764" s="125"/>
      <c r="G764" s="57"/>
      <c r="H764" s="57"/>
      <c r="I764" s="57"/>
      <c r="J764" s="57"/>
      <c r="K764" s="57"/>
      <c r="L764" s="57"/>
      <c r="M764" s="57"/>
      <c r="N764" s="57"/>
      <c r="O764" s="70"/>
      <c r="P764" s="57"/>
      <c r="Q764" s="24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220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149"/>
      <c r="AP764" s="149"/>
      <c r="AQ764" s="57"/>
      <c r="AR764" s="74"/>
      <c r="AS764" s="149"/>
      <c r="AT764" s="235"/>
      <c r="AU764" s="57"/>
      <c r="AV764" s="57"/>
      <c r="AW764" s="57"/>
      <c r="AX764" s="70"/>
      <c r="AY764" s="149"/>
      <c r="AZ764" s="112"/>
      <c r="BA764" s="236"/>
      <c r="BB764" s="236"/>
      <c r="BC764" s="152"/>
      <c r="BD764" s="152"/>
      <c r="BE764" s="236"/>
      <c r="BF764" s="262"/>
      <c r="BG764" s="262"/>
    </row>
    <row r="765" spans="1:59" ht="12.75" customHeight="1" x14ac:dyDescent="0.15">
      <c r="A765" s="57"/>
      <c r="B765" s="57"/>
      <c r="C765" s="57"/>
      <c r="D765" s="103"/>
      <c r="E765" s="125"/>
      <c r="F765" s="125"/>
      <c r="G765" s="57"/>
      <c r="H765" s="57"/>
      <c r="I765" s="57"/>
      <c r="J765" s="57"/>
      <c r="K765" s="57"/>
      <c r="L765" s="57"/>
      <c r="M765" s="57"/>
      <c r="N765" s="57"/>
      <c r="O765" s="70"/>
      <c r="P765" s="57"/>
      <c r="Q765" s="24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220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149"/>
      <c r="AP765" s="149"/>
      <c r="AQ765" s="57"/>
      <c r="AR765" s="74"/>
      <c r="AS765" s="149"/>
      <c r="AT765" s="235"/>
      <c r="AU765" s="57"/>
      <c r="AV765" s="57"/>
      <c r="AW765" s="57"/>
      <c r="AX765" s="70"/>
      <c r="AY765" s="149"/>
      <c r="AZ765" s="112"/>
      <c r="BA765" s="236"/>
      <c r="BB765" s="236"/>
      <c r="BC765" s="152"/>
      <c r="BD765" s="152"/>
      <c r="BE765" s="236"/>
      <c r="BF765" s="262"/>
      <c r="BG765" s="262"/>
    </row>
    <row r="766" spans="1:59" ht="12.75" customHeight="1" x14ac:dyDescent="0.15">
      <c r="A766" s="57"/>
      <c r="B766" s="57"/>
      <c r="C766" s="57"/>
      <c r="D766" s="103"/>
      <c r="E766" s="125"/>
      <c r="F766" s="125"/>
      <c r="G766" s="57"/>
      <c r="H766" s="57"/>
      <c r="I766" s="57"/>
      <c r="J766" s="57"/>
      <c r="K766" s="57"/>
      <c r="L766" s="57"/>
      <c r="M766" s="57"/>
      <c r="N766" s="57"/>
      <c r="O766" s="70"/>
      <c r="P766" s="57"/>
      <c r="Q766" s="24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220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149"/>
      <c r="AP766" s="149"/>
      <c r="AQ766" s="57"/>
      <c r="AR766" s="74"/>
      <c r="AS766" s="149"/>
      <c r="AT766" s="235"/>
      <c r="AU766" s="57"/>
      <c r="AV766" s="57"/>
      <c r="AW766" s="57"/>
      <c r="AX766" s="70"/>
      <c r="AY766" s="149"/>
      <c r="AZ766" s="112"/>
      <c r="BA766" s="236"/>
      <c r="BB766" s="236"/>
      <c r="BC766" s="152"/>
      <c r="BD766" s="152"/>
      <c r="BE766" s="236"/>
      <c r="BF766" s="262"/>
      <c r="BG766" s="262"/>
    </row>
    <row r="767" spans="1:59" ht="12.75" customHeight="1" x14ac:dyDescent="0.15">
      <c r="A767" s="57"/>
      <c r="B767" s="57"/>
      <c r="C767" s="57"/>
      <c r="D767" s="103"/>
      <c r="E767" s="125"/>
      <c r="F767" s="125"/>
      <c r="G767" s="57"/>
      <c r="H767" s="57"/>
      <c r="I767" s="57"/>
      <c r="J767" s="57"/>
      <c r="K767" s="57"/>
      <c r="L767" s="57"/>
      <c r="M767" s="57"/>
      <c r="N767" s="57"/>
      <c r="O767" s="70"/>
      <c r="P767" s="57"/>
      <c r="Q767" s="24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220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149"/>
      <c r="AP767" s="149"/>
      <c r="AQ767" s="57"/>
      <c r="AR767" s="74"/>
      <c r="AS767" s="149"/>
      <c r="AT767" s="235"/>
      <c r="AU767" s="57"/>
      <c r="AV767" s="57"/>
      <c r="AW767" s="57"/>
      <c r="AX767" s="70"/>
      <c r="AY767" s="149"/>
      <c r="AZ767" s="112"/>
      <c r="BA767" s="236"/>
      <c r="BB767" s="236"/>
      <c r="BC767" s="152"/>
      <c r="BD767" s="152"/>
      <c r="BE767" s="236"/>
      <c r="BF767" s="262"/>
      <c r="BG767" s="262"/>
    </row>
    <row r="768" spans="1:59" ht="12.75" customHeight="1" x14ac:dyDescent="0.15">
      <c r="A768" s="57"/>
      <c r="B768" s="57"/>
      <c r="C768" s="57"/>
      <c r="D768" s="103"/>
      <c r="E768" s="125"/>
      <c r="F768" s="125"/>
      <c r="G768" s="57"/>
      <c r="H768" s="57"/>
      <c r="I768" s="57"/>
      <c r="J768" s="57"/>
      <c r="K768" s="57"/>
      <c r="L768" s="57"/>
      <c r="M768" s="57"/>
      <c r="N768" s="57"/>
      <c r="O768" s="70"/>
      <c r="P768" s="57"/>
      <c r="Q768" s="24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220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149"/>
      <c r="AP768" s="149"/>
      <c r="AQ768" s="57"/>
      <c r="AR768" s="74"/>
      <c r="AS768" s="149"/>
      <c r="AT768" s="235"/>
      <c r="AU768" s="57"/>
      <c r="AV768" s="57"/>
      <c r="AW768" s="57"/>
      <c r="AX768" s="70"/>
      <c r="AY768" s="149"/>
      <c r="AZ768" s="112"/>
      <c r="BA768" s="236"/>
      <c r="BB768" s="236"/>
      <c r="BC768" s="152"/>
      <c r="BD768" s="152"/>
      <c r="BE768" s="236"/>
      <c r="BF768" s="262"/>
      <c r="BG768" s="262"/>
    </row>
    <row r="769" spans="1:59" ht="12.75" customHeight="1" x14ac:dyDescent="0.15">
      <c r="A769" s="57"/>
      <c r="B769" s="57"/>
      <c r="C769" s="57"/>
      <c r="D769" s="103"/>
      <c r="E769" s="125"/>
      <c r="F769" s="125"/>
      <c r="G769" s="57"/>
      <c r="H769" s="57"/>
      <c r="I769" s="57"/>
      <c r="J769" s="57"/>
      <c r="K769" s="57"/>
      <c r="L769" s="57"/>
      <c r="M769" s="57"/>
      <c r="N769" s="57"/>
      <c r="O769" s="70"/>
      <c r="P769" s="57"/>
      <c r="Q769" s="24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220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149"/>
      <c r="AP769" s="149"/>
      <c r="AQ769" s="57"/>
      <c r="AR769" s="74"/>
      <c r="AS769" s="149"/>
      <c r="AT769" s="235"/>
      <c r="AU769" s="57"/>
      <c r="AV769" s="57"/>
      <c r="AW769" s="57"/>
      <c r="AX769" s="70"/>
      <c r="AY769" s="149"/>
      <c r="AZ769" s="112"/>
      <c r="BA769" s="236"/>
      <c r="BB769" s="236"/>
      <c r="BC769" s="152"/>
      <c r="BD769" s="152"/>
      <c r="BE769" s="236"/>
      <c r="BF769" s="262"/>
      <c r="BG769" s="262"/>
    </row>
    <row r="770" spans="1:59" ht="12.75" customHeight="1" x14ac:dyDescent="0.15">
      <c r="A770" s="57"/>
      <c r="B770" s="57"/>
      <c r="C770" s="57"/>
      <c r="D770" s="103"/>
      <c r="E770" s="125"/>
      <c r="F770" s="125"/>
      <c r="G770" s="57"/>
      <c r="H770" s="57"/>
      <c r="I770" s="57"/>
      <c r="J770" s="57"/>
      <c r="K770" s="57"/>
      <c r="L770" s="57"/>
      <c r="M770" s="57"/>
      <c r="N770" s="57"/>
      <c r="O770" s="70"/>
      <c r="P770" s="57"/>
      <c r="Q770" s="24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220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149"/>
      <c r="AP770" s="149"/>
      <c r="AQ770" s="57"/>
      <c r="AR770" s="74"/>
      <c r="AS770" s="149"/>
      <c r="AT770" s="235"/>
      <c r="AU770" s="57"/>
      <c r="AV770" s="57"/>
      <c r="AW770" s="57"/>
      <c r="AX770" s="70"/>
      <c r="AY770" s="149"/>
      <c r="AZ770" s="112"/>
      <c r="BA770" s="236"/>
      <c r="BB770" s="236"/>
      <c r="BC770" s="152"/>
      <c r="BD770" s="152"/>
      <c r="BE770" s="236"/>
      <c r="BF770" s="262"/>
      <c r="BG770" s="262"/>
    </row>
    <row r="771" spans="1:59" ht="12.75" customHeight="1" x14ac:dyDescent="0.15">
      <c r="A771" s="57"/>
      <c r="B771" s="57"/>
      <c r="C771" s="57"/>
      <c r="D771" s="103"/>
      <c r="E771" s="125"/>
      <c r="F771" s="125"/>
      <c r="G771" s="57"/>
      <c r="H771" s="57"/>
      <c r="I771" s="57"/>
      <c r="J771" s="57"/>
      <c r="K771" s="57"/>
      <c r="L771" s="57"/>
      <c r="M771" s="57"/>
      <c r="N771" s="57"/>
      <c r="O771" s="70"/>
      <c r="P771" s="57"/>
      <c r="Q771" s="24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220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149"/>
      <c r="AP771" s="149"/>
      <c r="AQ771" s="57"/>
      <c r="AR771" s="74"/>
      <c r="AS771" s="149"/>
      <c r="AT771" s="235"/>
      <c r="AU771" s="57"/>
      <c r="AV771" s="57"/>
      <c r="AW771" s="57"/>
      <c r="AX771" s="70"/>
      <c r="AY771" s="149"/>
      <c r="AZ771" s="112"/>
      <c r="BA771" s="236"/>
      <c r="BB771" s="236"/>
      <c r="BC771" s="152"/>
      <c r="BD771" s="152"/>
      <c r="BE771" s="236"/>
      <c r="BF771" s="262"/>
      <c r="BG771" s="262"/>
    </row>
    <row r="772" spans="1:59" ht="12.75" customHeight="1" x14ac:dyDescent="0.15">
      <c r="A772" s="57"/>
      <c r="B772" s="57"/>
      <c r="C772" s="57"/>
      <c r="D772" s="103"/>
      <c r="E772" s="125"/>
      <c r="F772" s="125"/>
      <c r="G772" s="57"/>
      <c r="H772" s="57"/>
      <c r="I772" s="57"/>
      <c r="J772" s="57"/>
      <c r="K772" s="57"/>
      <c r="L772" s="57"/>
      <c r="M772" s="57"/>
      <c r="N772" s="57"/>
      <c r="O772" s="70"/>
      <c r="P772" s="57"/>
      <c r="Q772" s="24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220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149"/>
      <c r="AP772" s="149"/>
      <c r="AQ772" s="57"/>
      <c r="AR772" s="74"/>
      <c r="AS772" s="149"/>
      <c r="AT772" s="235"/>
      <c r="AU772" s="57"/>
      <c r="AV772" s="57"/>
      <c r="AW772" s="57"/>
      <c r="AX772" s="70"/>
      <c r="AY772" s="149"/>
      <c r="AZ772" s="112"/>
      <c r="BA772" s="236"/>
      <c r="BB772" s="236"/>
      <c r="BC772" s="152"/>
      <c r="BD772" s="152"/>
      <c r="BE772" s="236"/>
      <c r="BF772" s="262"/>
      <c r="BG772" s="262"/>
    </row>
    <row r="773" spans="1:59" ht="12.75" customHeight="1" x14ac:dyDescent="0.15">
      <c r="A773" s="57"/>
      <c r="B773" s="57"/>
      <c r="C773" s="57"/>
      <c r="D773" s="103"/>
      <c r="E773" s="125"/>
      <c r="F773" s="125"/>
      <c r="G773" s="57"/>
      <c r="H773" s="57"/>
      <c r="I773" s="57"/>
      <c r="J773" s="57"/>
      <c r="K773" s="57"/>
      <c r="L773" s="57"/>
      <c r="M773" s="57"/>
      <c r="N773" s="57"/>
      <c r="O773" s="70"/>
      <c r="P773" s="57"/>
      <c r="Q773" s="24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220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149"/>
      <c r="AP773" s="149"/>
      <c r="AQ773" s="57"/>
      <c r="AR773" s="74"/>
      <c r="AS773" s="149"/>
      <c r="AT773" s="235"/>
      <c r="AU773" s="57"/>
      <c r="AV773" s="57"/>
      <c r="AW773" s="57"/>
      <c r="AX773" s="70"/>
      <c r="AY773" s="149"/>
      <c r="AZ773" s="112"/>
      <c r="BA773" s="236"/>
      <c r="BB773" s="236"/>
      <c r="BC773" s="152"/>
      <c r="BD773" s="152"/>
      <c r="BE773" s="236"/>
      <c r="BF773" s="262"/>
      <c r="BG773" s="262"/>
    </row>
    <row r="774" spans="1:59" ht="12.75" customHeight="1" x14ac:dyDescent="0.15">
      <c r="A774" s="57"/>
      <c r="B774" s="57"/>
      <c r="C774" s="57"/>
      <c r="D774" s="103"/>
      <c r="E774" s="125"/>
      <c r="F774" s="125"/>
      <c r="G774" s="57"/>
      <c r="H774" s="57"/>
      <c r="I774" s="57"/>
      <c r="J774" s="57"/>
      <c r="K774" s="57"/>
      <c r="L774" s="57"/>
      <c r="M774" s="57"/>
      <c r="N774" s="57"/>
      <c r="O774" s="70"/>
      <c r="P774" s="57"/>
      <c r="Q774" s="24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220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149"/>
      <c r="AP774" s="149"/>
      <c r="AQ774" s="57"/>
      <c r="AR774" s="74"/>
      <c r="AS774" s="149"/>
      <c r="AT774" s="235"/>
      <c r="AU774" s="57"/>
      <c r="AV774" s="57"/>
      <c r="AW774" s="57"/>
      <c r="AX774" s="70"/>
      <c r="AY774" s="149"/>
      <c r="AZ774" s="112"/>
      <c r="BA774" s="236"/>
      <c r="BB774" s="236"/>
      <c r="BC774" s="152"/>
      <c r="BD774" s="152"/>
      <c r="BE774" s="236"/>
      <c r="BF774" s="262"/>
      <c r="BG774" s="262"/>
    </row>
    <row r="775" spans="1:59" ht="12.75" customHeight="1" x14ac:dyDescent="0.15">
      <c r="A775" s="57"/>
      <c r="B775" s="57"/>
      <c r="C775" s="57"/>
      <c r="D775" s="103"/>
      <c r="E775" s="125"/>
      <c r="F775" s="125"/>
      <c r="G775" s="57"/>
      <c r="H775" s="57"/>
      <c r="I775" s="57"/>
      <c r="J775" s="57"/>
      <c r="K775" s="57"/>
      <c r="L775" s="57"/>
      <c r="M775" s="57"/>
      <c r="N775" s="57"/>
      <c r="O775" s="70"/>
      <c r="P775" s="57"/>
      <c r="Q775" s="24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220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149"/>
      <c r="AP775" s="149"/>
      <c r="AQ775" s="57"/>
      <c r="AR775" s="74"/>
      <c r="AS775" s="149"/>
      <c r="AT775" s="235"/>
      <c r="AU775" s="57"/>
      <c r="AV775" s="57"/>
      <c r="AW775" s="57"/>
      <c r="AX775" s="70"/>
      <c r="AY775" s="149"/>
      <c r="AZ775" s="112"/>
      <c r="BA775" s="236"/>
      <c r="BB775" s="236"/>
      <c r="BC775" s="152"/>
      <c r="BD775" s="152"/>
      <c r="BE775" s="236"/>
      <c r="BF775" s="262"/>
      <c r="BG775" s="262"/>
    </row>
    <row r="776" spans="1:59" ht="12.75" customHeight="1" x14ac:dyDescent="0.15">
      <c r="A776" s="57"/>
      <c r="B776" s="57"/>
      <c r="C776" s="57"/>
      <c r="D776" s="103"/>
      <c r="E776" s="125"/>
      <c r="F776" s="125"/>
      <c r="G776" s="57"/>
      <c r="H776" s="57"/>
      <c r="I776" s="57"/>
      <c r="J776" s="57"/>
      <c r="K776" s="57"/>
      <c r="L776" s="57"/>
      <c r="M776" s="57"/>
      <c r="N776" s="57"/>
      <c r="O776" s="70"/>
      <c r="P776" s="57"/>
      <c r="Q776" s="24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220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149"/>
      <c r="AP776" s="149"/>
      <c r="AQ776" s="57"/>
      <c r="AR776" s="74"/>
      <c r="AS776" s="149"/>
      <c r="AT776" s="235"/>
      <c r="AU776" s="57"/>
      <c r="AV776" s="57"/>
      <c r="AW776" s="57"/>
      <c r="AX776" s="70"/>
      <c r="AY776" s="149"/>
      <c r="AZ776" s="112"/>
      <c r="BA776" s="236"/>
      <c r="BB776" s="236"/>
      <c r="BC776" s="152"/>
      <c r="BD776" s="152"/>
      <c r="BE776" s="236"/>
      <c r="BF776" s="262"/>
      <c r="BG776" s="262"/>
    </row>
    <row r="777" spans="1:59" ht="12.75" customHeight="1" x14ac:dyDescent="0.15">
      <c r="A777" s="57"/>
      <c r="B777" s="57"/>
      <c r="C777" s="57"/>
      <c r="D777" s="103"/>
      <c r="E777" s="125"/>
      <c r="F777" s="125"/>
      <c r="G777" s="57"/>
      <c r="H777" s="57"/>
      <c r="I777" s="57"/>
      <c r="J777" s="57"/>
      <c r="K777" s="57"/>
      <c r="L777" s="57"/>
      <c r="M777" s="57"/>
      <c r="N777" s="57"/>
      <c r="O777" s="70"/>
      <c r="P777" s="57"/>
      <c r="Q777" s="24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220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149"/>
      <c r="AP777" s="149"/>
      <c r="AQ777" s="57"/>
      <c r="AR777" s="74"/>
      <c r="AS777" s="149"/>
      <c r="AT777" s="235"/>
      <c r="AU777" s="57"/>
      <c r="AV777" s="57"/>
      <c r="AW777" s="57"/>
      <c r="AX777" s="70"/>
      <c r="AY777" s="149"/>
      <c r="AZ777" s="112"/>
      <c r="BA777" s="236"/>
      <c r="BB777" s="236"/>
      <c r="BC777" s="152"/>
      <c r="BD777" s="152"/>
      <c r="BE777" s="236"/>
      <c r="BF777" s="262"/>
      <c r="BG777" s="262"/>
    </row>
    <row r="778" spans="1:59" ht="12.75" customHeight="1" x14ac:dyDescent="0.15">
      <c r="A778" s="57"/>
      <c r="B778" s="57"/>
      <c r="C778" s="57"/>
      <c r="D778" s="103"/>
      <c r="E778" s="125"/>
      <c r="F778" s="125"/>
      <c r="G778" s="57"/>
      <c r="H778" s="57"/>
      <c r="I778" s="57"/>
      <c r="J778" s="57"/>
      <c r="K778" s="57"/>
      <c r="L778" s="57"/>
      <c r="M778" s="57"/>
      <c r="N778" s="57"/>
      <c r="O778" s="70"/>
      <c r="P778" s="57"/>
      <c r="Q778" s="24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220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149"/>
      <c r="AP778" s="149"/>
      <c r="AQ778" s="57"/>
      <c r="AR778" s="74"/>
      <c r="AS778" s="149"/>
      <c r="AT778" s="235"/>
      <c r="AU778" s="57"/>
      <c r="AV778" s="57"/>
      <c r="AW778" s="57"/>
      <c r="AX778" s="70"/>
      <c r="AY778" s="149"/>
      <c r="AZ778" s="112"/>
      <c r="BA778" s="236"/>
      <c r="BB778" s="236"/>
      <c r="BC778" s="152"/>
      <c r="BD778" s="152"/>
      <c r="BE778" s="236"/>
      <c r="BF778" s="262"/>
      <c r="BG778" s="262"/>
    </row>
    <row r="779" spans="1:59" ht="12.75" customHeight="1" x14ac:dyDescent="0.15">
      <c r="A779" s="57"/>
      <c r="B779" s="57"/>
      <c r="C779" s="57"/>
      <c r="D779" s="103"/>
      <c r="E779" s="125"/>
      <c r="F779" s="125"/>
      <c r="G779" s="57"/>
      <c r="H779" s="57"/>
      <c r="I779" s="57"/>
      <c r="J779" s="57"/>
      <c r="K779" s="57"/>
      <c r="L779" s="57"/>
      <c r="M779" s="57"/>
      <c r="N779" s="57"/>
      <c r="O779" s="70"/>
      <c r="P779" s="57"/>
      <c r="Q779" s="24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220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149"/>
      <c r="AP779" s="149"/>
      <c r="AQ779" s="57"/>
      <c r="AR779" s="74"/>
      <c r="AS779" s="149"/>
      <c r="AT779" s="235"/>
      <c r="AU779" s="57"/>
      <c r="AV779" s="57"/>
      <c r="AW779" s="57"/>
      <c r="AX779" s="70"/>
      <c r="AY779" s="149"/>
      <c r="AZ779" s="112"/>
      <c r="BA779" s="236"/>
      <c r="BB779" s="236"/>
      <c r="BC779" s="152"/>
      <c r="BD779" s="152"/>
      <c r="BE779" s="236"/>
      <c r="BF779" s="262"/>
      <c r="BG779" s="262"/>
    </row>
    <row r="780" spans="1:59" ht="12.75" customHeight="1" x14ac:dyDescent="0.15">
      <c r="A780" s="57"/>
      <c r="B780" s="57"/>
      <c r="C780" s="57"/>
      <c r="D780" s="103"/>
      <c r="E780" s="125"/>
      <c r="F780" s="125"/>
      <c r="G780" s="57"/>
      <c r="H780" s="57"/>
      <c r="I780" s="57"/>
      <c r="J780" s="57"/>
      <c r="K780" s="57"/>
      <c r="L780" s="57"/>
      <c r="M780" s="57"/>
      <c r="N780" s="57"/>
      <c r="O780" s="70"/>
      <c r="P780" s="57"/>
      <c r="Q780" s="24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220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149"/>
      <c r="AP780" s="149"/>
      <c r="AQ780" s="57"/>
      <c r="AR780" s="74"/>
      <c r="AS780" s="149"/>
      <c r="AT780" s="235"/>
      <c r="AU780" s="57"/>
      <c r="AV780" s="57"/>
      <c r="AW780" s="57"/>
      <c r="AX780" s="70"/>
      <c r="AY780" s="149"/>
      <c r="AZ780" s="112"/>
      <c r="BA780" s="236"/>
      <c r="BB780" s="236"/>
      <c r="BC780" s="152"/>
      <c r="BD780" s="152"/>
      <c r="BE780" s="236"/>
      <c r="BF780" s="262"/>
      <c r="BG780" s="262"/>
    </row>
    <row r="781" spans="1:59" ht="12.75" customHeight="1" x14ac:dyDescent="0.15">
      <c r="A781" s="57"/>
      <c r="B781" s="57"/>
      <c r="C781" s="57"/>
      <c r="D781" s="103"/>
      <c r="E781" s="125"/>
      <c r="F781" s="125"/>
      <c r="G781" s="57"/>
      <c r="H781" s="57"/>
      <c r="I781" s="57"/>
      <c r="J781" s="57"/>
      <c r="K781" s="57"/>
      <c r="L781" s="57"/>
      <c r="M781" s="57"/>
      <c r="N781" s="57"/>
      <c r="O781" s="70"/>
      <c r="P781" s="57"/>
      <c r="Q781" s="24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220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149"/>
      <c r="AP781" s="149"/>
      <c r="AQ781" s="57"/>
      <c r="AR781" s="74"/>
      <c r="AS781" s="149"/>
      <c r="AT781" s="235"/>
      <c r="AU781" s="57"/>
      <c r="AV781" s="57"/>
      <c r="AW781" s="57"/>
      <c r="AX781" s="70"/>
      <c r="AY781" s="149"/>
      <c r="AZ781" s="112"/>
      <c r="BA781" s="236"/>
      <c r="BB781" s="236"/>
      <c r="BC781" s="152"/>
      <c r="BD781" s="152"/>
      <c r="BE781" s="236"/>
      <c r="BF781" s="262"/>
      <c r="BG781" s="262"/>
    </row>
    <row r="782" spans="1:59" ht="12.75" customHeight="1" x14ac:dyDescent="0.15">
      <c r="A782" s="57"/>
      <c r="B782" s="57"/>
      <c r="C782" s="57"/>
      <c r="D782" s="103"/>
      <c r="E782" s="125"/>
      <c r="F782" s="125"/>
      <c r="G782" s="57"/>
      <c r="H782" s="57"/>
      <c r="I782" s="57"/>
      <c r="J782" s="57"/>
      <c r="K782" s="57"/>
      <c r="L782" s="57"/>
      <c r="M782" s="57"/>
      <c r="N782" s="57"/>
      <c r="O782" s="70"/>
      <c r="P782" s="57"/>
      <c r="Q782" s="24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220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149"/>
      <c r="AP782" s="149"/>
      <c r="AQ782" s="57"/>
      <c r="AR782" s="74"/>
      <c r="AS782" s="149"/>
      <c r="AT782" s="235"/>
      <c r="AU782" s="57"/>
      <c r="AV782" s="57"/>
      <c r="AW782" s="57"/>
      <c r="AX782" s="70"/>
      <c r="AY782" s="149"/>
      <c r="AZ782" s="112"/>
      <c r="BA782" s="236"/>
      <c r="BB782" s="236"/>
      <c r="BC782" s="152"/>
      <c r="BD782" s="152"/>
      <c r="BE782" s="236"/>
      <c r="BF782" s="262"/>
      <c r="BG782" s="262"/>
    </row>
    <row r="783" spans="1:59" ht="12.75" customHeight="1" x14ac:dyDescent="0.15">
      <c r="A783" s="57"/>
      <c r="B783" s="57"/>
      <c r="C783" s="57"/>
      <c r="D783" s="103"/>
      <c r="E783" s="125"/>
      <c r="F783" s="125"/>
      <c r="G783" s="57"/>
      <c r="H783" s="57"/>
      <c r="I783" s="57"/>
      <c r="J783" s="57"/>
      <c r="K783" s="57"/>
      <c r="L783" s="57"/>
      <c r="M783" s="57"/>
      <c r="N783" s="57"/>
      <c r="O783" s="70"/>
      <c r="P783" s="57"/>
      <c r="Q783" s="24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220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149"/>
      <c r="AP783" s="149"/>
      <c r="AQ783" s="57"/>
      <c r="AR783" s="74"/>
      <c r="AS783" s="149"/>
      <c r="AT783" s="235"/>
      <c r="AU783" s="57"/>
      <c r="AV783" s="57"/>
      <c r="AW783" s="57"/>
      <c r="AX783" s="70"/>
      <c r="AY783" s="149"/>
      <c r="AZ783" s="112"/>
      <c r="BA783" s="236"/>
      <c r="BB783" s="236"/>
      <c r="BC783" s="152"/>
      <c r="BD783" s="152"/>
      <c r="BE783" s="236"/>
      <c r="BF783" s="262"/>
      <c r="BG783" s="262"/>
    </row>
    <row r="784" spans="1:59" ht="12.75" customHeight="1" x14ac:dyDescent="0.15">
      <c r="A784" s="57"/>
      <c r="B784" s="57"/>
      <c r="C784" s="57"/>
      <c r="D784" s="103"/>
      <c r="E784" s="125"/>
      <c r="F784" s="125"/>
      <c r="G784" s="57"/>
      <c r="H784" s="57"/>
      <c r="I784" s="57"/>
      <c r="J784" s="57"/>
      <c r="K784" s="57"/>
      <c r="L784" s="57"/>
      <c r="M784" s="57"/>
      <c r="N784" s="57"/>
      <c r="O784" s="70"/>
      <c r="P784" s="57"/>
      <c r="Q784" s="24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220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149"/>
      <c r="AP784" s="149"/>
      <c r="AQ784" s="57"/>
      <c r="AR784" s="74"/>
      <c r="AS784" s="149"/>
      <c r="AT784" s="235"/>
      <c r="AU784" s="57"/>
      <c r="AV784" s="57"/>
      <c r="AW784" s="57"/>
      <c r="AX784" s="70"/>
      <c r="AY784" s="149"/>
      <c r="AZ784" s="112"/>
      <c r="BA784" s="236"/>
      <c r="BB784" s="236"/>
      <c r="BC784" s="152"/>
      <c r="BD784" s="152"/>
      <c r="BE784" s="236"/>
      <c r="BF784" s="262"/>
      <c r="BG784" s="262"/>
    </row>
    <row r="785" spans="1:59" ht="12.75" customHeight="1" x14ac:dyDescent="0.15">
      <c r="A785" s="57"/>
      <c r="B785" s="57"/>
      <c r="C785" s="57"/>
      <c r="D785" s="103"/>
      <c r="E785" s="125"/>
      <c r="F785" s="125"/>
      <c r="G785" s="57"/>
      <c r="H785" s="57"/>
      <c r="I785" s="57"/>
      <c r="J785" s="57"/>
      <c r="K785" s="57"/>
      <c r="L785" s="57"/>
      <c r="M785" s="57"/>
      <c r="N785" s="57"/>
      <c r="O785" s="70"/>
      <c r="P785" s="57"/>
      <c r="Q785" s="24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220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149"/>
      <c r="AP785" s="149"/>
      <c r="AQ785" s="57"/>
      <c r="AR785" s="74"/>
      <c r="AS785" s="149"/>
      <c r="AT785" s="235"/>
      <c r="AU785" s="57"/>
      <c r="AV785" s="57"/>
      <c r="AW785" s="57"/>
      <c r="AX785" s="70"/>
      <c r="AY785" s="149"/>
      <c r="AZ785" s="112"/>
      <c r="BA785" s="236"/>
      <c r="BB785" s="236"/>
      <c r="BC785" s="152"/>
      <c r="BD785" s="152"/>
      <c r="BE785" s="236"/>
      <c r="BF785" s="262"/>
      <c r="BG785" s="262"/>
    </row>
    <row r="786" spans="1:59" ht="12.75" customHeight="1" x14ac:dyDescent="0.15">
      <c r="A786" s="57"/>
      <c r="B786" s="57"/>
      <c r="C786" s="57"/>
      <c r="D786" s="103"/>
      <c r="E786" s="125"/>
      <c r="F786" s="125"/>
      <c r="G786" s="57"/>
      <c r="H786" s="57"/>
      <c r="I786" s="57"/>
      <c r="J786" s="57"/>
      <c r="K786" s="57"/>
      <c r="L786" s="57"/>
      <c r="M786" s="57"/>
      <c r="N786" s="57"/>
      <c r="O786" s="70"/>
      <c r="P786" s="57"/>
      <c r="Q786" s="24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220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149"/>
      <c r="AP786" s="149"/>
      <c r="AQ786" s="57"/>
      <c r="AR786" s="74"/>
      <c r="AS786" s="149"/>
      <c r="AT786" s="235"/>
      <c r="AU786" s="57"/>
      <c r="AV786" s="57"/>
      <c r="AW786" s="57"/>
      <c r="AX786" s="70"/>
      <c r="AY786" s="149"/>
      <c r="AZ786" s="112"/>
      <c r="BA786" s="236"/>
      <c r="BB786" s="236"/>
      <c r="BC786" s="152"/>
      <c r="BD786" s="152"/>
      <c r="BE786" s="236"/>
      <c r="BF786" s="262"/>
      <c r="BG786" s="262"/>
    </row>
    <row r="787" spans="1:59" ht="12.75" customHeight="1" x14ac:dyDescent="0.15">
      <c r="A787" s="57"/>
      <c r="B787" s="57"/>
      <c r="C787" s="57"/>
      <c r="D787" s="103"/>
      <c r="E787" s="125"/>
      <c r="F787" s="125"/>
      <c r="G787" s="57"/>
      <c r="H787" s="57"/>
      <c r="I787" s="57"/>
      <c r="J787" s="57"/>
      <c r="K787" s="57"/>
      <c r="L787" s="57"/>
      <c r="M787" s="57"/>
      <c r="N787" s="57"/>
      <c r="O787" s="70"/>
      <c r="P787" s="57"/>
      <c r="Q787" s="24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220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149"/>
      <c r="AP787" s="149"/>
      <c r="AQ787" s="57"/>
      <c r="AR787" s="74"/>
      <c r="AS787" s="149"/>
      <c r="AT787" s="235"/>
      <c r="AU787" s="57"/>
      <c r="AV787" s="57"/>
      <c r="AW787" s="57"/>
      <c r="AX787" s="70"/>
      <c r="AY787" s="149"/>
      <c r="AZ787" s="112"/>
      <c r="BA787" s="236"/>
      <c r="BB787" s="236"/>
      <c r="BC787" s="152"/>
      <c r="BD787" s="152"/>
      <c r="BE787" s="236"/>
      <c r="BF787" s="262"/>
      <c r="BG787" s="262"/>
    </row>
    <row r="788" spans="1:59" ht="12.75" customHeight="1" x14ac:dyDescent="0.15">
      <c r="A788" s="57"/>
      <c r="B788" s="57"/>
      <c r="C788" s="57"/>
      <c r="D788" s="103"/>
      <c r="E788" s="125"/>
      <c r="F788" s="125"/>
      <c r="G788" s="57"/>
      <c r="H788" s="57"/>
      <c r="I788" s="57"/>
      <c r="J788" s="57"/>
      <c r="K788" s="57"/>
      <c r="L788" s="57"/>
      <c r="M788" s="57"/>
      <c r="N788" s="57"/>
      <c r="O788" s="70"/>
      <c r="P788" s="57"/>
      <c r="Q788" s="24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220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149"/>
      <c r="AP788" s="149"/>
      <c r="AQ788" s="57"/>
      <c r="AR788" s="74"/>
      <c r="AS788" s="149"/>
      <c r="AT788" s="235"/>
      <c r="AU788" s="57"/>
      <c r="AV788" s="57"/>
      <c r="AW788" s="57"/>
      <c r="AX788" s="70"/>
      <c r="AY788" s="149"/>
      <c r="AZ788" s="112"/>
      <c r="BA788" s="236"/>
      <c r="BB788" s="236"/>
      <c r="BC788" s="152"/>
      <c r="BD788" s="152"/>
      <c r="BE788" s="236"/>
      <c r="BF788" s="262"/>
      <c r="BG788" s="262"/>
    </row>
    <row r="789" spans="1:59" ht="12.75" customHeight="1" x14ac:dyDescent="0.15">
      <c r="A789" s="57"/>
      <c r="B789" s="57"/>
      <c r="C789" s="57"/>
      <c r="D789" s="103"/>
      <c r="E789" s="125"/>
      <c r="F789" s="125"/>
      <c r="G789" s="57"/>
      <c r="H789" s="57"/>
      <c r="I789" s="57"/>
      <c r="J789" s="57"/>
      <c r="K789" s="57"/>
      <c r="L789" s="57"/>
      <c r="M789" s="57"/>
      <c r="N789" s="57"/>
      <c r="O789" s="70"/>
      <c r="P789" s="57"/>
      <c r="Q789" s="24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220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149"/>
      <c r="AP789" s="149"/>
      <c r="AQ789" s="57"/>
      <c r="AR789" s="74"/>
      <c r="AS789" s="149"/>
      <c r="AT789" s="235"/>
      <c r="AU789" s="57"/>
      <c r="AV789" s="57"/>
      <c r="AW789" s="57"/>
      <c r="AX789" s="70"/>
      <c r="AY789" s="149"/>
      <c r="AZ789" s="112"/>
      <c r="BA789" s="236"/>
      <c r="BB789" s="236"/>
      <c r="BC789" s="152"/>
      <c r="BD789" s="152"/>
      <c r="BE789" s="236"/>
      <c r="BF789" s="262"/>
      <c r="BG789" s="262"/>
    </row>
    <row r="790" spans="1:59" ht="12.75" customHeight="1" x14ac:dyDescent="0.15">
      <c r="A790" s="57"/>
      <c r="B790" s="57"/>
      <c r="C790" s="57"/>
      <c r="D790" s="103"/>
      <c r="E790" s="125"/>
      <c r="F790" s="125"/>
      <c r="G790" s="57"/>
      <c r="H790" s="57"/>
      <c r="I790" s="57"/>
      <c r="J790" s="57"/>
      <c r="K790" s="57"/>
      <c r="L790" s="57"/>
      <c r="M790" s="57"/>
      <c r="N790" s="57"/>
      <c r="O790" s="70"/>
      <c r="P790" s="57"/>
      <c r="Q790" s="24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220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149"/>
      <c r="AP790" s="149"/>
      <c r="AQ790" s="57"/>
      <c r="AR790" s="74"/>
      <c r="AS790" s="149"/>
      <c r="AT790" s="235"/>
      <c r="AU790" s="57"/>
      <c r="AV790" s="57"/>
      <c r="AW790" s="57"/>
      <c r="AX790" s="70"/>
      <c r="AY790" s="149"/>
      <c r="AZ790" s="112"/>
      <c r="BA790" s="236"/>
      <c r="BB790" s="236"/>
      <c r="BC790" s="152"/>
      <c r="BD790" s="152"/>
      <c r="BE790" s="236"/>
      <c r="BF790" s="262"/>
      <c r="BG790" s="262"/>
    </row>
    <row r="791" spans="1:59" ht="12.75" customHeight="1" x14ac:dyDescent="0.15">
      <c r="A791" s="57"/>
      <c r="B791" s="57"/>
      <c r="C791" s="57"/>
      <c r="D791" s="103"/>
      <c r="E791" s="125"/>
      <c r="F791" s="125"/>
      <c r="G791" s="57"/>
      <c r="H791" s="57"/>
      <c r="I791" s="57"/>
      <c r="J791" s="57"/>
      <c r="K791" s="57"/>
      <c r="L791" s="57"/>
      <c r="M791" s="57"/>
      <c r="N791" s="57"/>
      <c r="O791" s="70"/>
      <c r="P791" s="57"/>
      <c r="Q791" s="24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220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149"/>
      <c r="AP791" s="149"/>
      <c r="AQ791" s="57"/>
      <c r="AR791" s="74"/>
      <c r="AS791" s="149"/>
      <c r="AT791" s="235"/>
      <c r="AU791" s="57"/>
      <c r="AV791" s="57"/>
      <c r="AW791" s="57"/>
      <c r="AX791" s="70"/>
      <c r="AY791" s="149"/>
      <c r="AZ791" s="112"/>
      <c r="BA791" s="236"/>
      <c r="BB791" s="236"/>
      <c r="BC791" s="152"/>
      <c r="BD791" s="152"/>
      <c r="BE791" s="236"/>
      <c r="BF791" s="262"/>
      <c r="BG791" s="262"/>
    </row>
    <row r="792" spans="1:59" ht="12.75" customHeight="1" x14ac:dyDescent="0.15">
      <c r="A792" s="57"/>
      <c r="B792" s="57"/>
      <c r="C792" s="57"/>
      <c r="D792" s="103"/>
      <c r="E792" s="125"/>
      <c r="F792" s="125"/>
      <c r="G792" s="57"/>
      <c r="H792" s="57"/>
      <c r="I792" s="57"/>
      <c r="J792" s="57"/>
      <c r="K792" s="57"/>
      <c r="L792" s="57"/>
      <c r="M792" s="57"/>
      <c r="N792" s="57"/>
      <c r="O792" s="70"/>
      <c r="P792" s="57"/>
      <c r="Q792" s="24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220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149"/>
      <c r="AP792" s="149"/>
      <c r="AQ792" s="57"/>
      <c r="AR792" s="74"/>
      <c r="AS792" s="149"/>
      <c r="AT792" s="235"/>
      <c r="AU792" s="57"/>
      <c r="AV792" s="57"/>
      <c r="AW792" s="57"/>
      <c r="AX792" s="70"/>
      <c r="AY792" s="149"/>
      <c r="AZ792" s="112"/>
      <c r="BA792" s="236"/>
      <c r="BB792" s="236"/>
      <c r="BC792" s="152"/>
      <c r="BD792" s="152"/>
      <c r="BE792" s="236"/>
      <c r="BF792" s="262"/>
      <c r="BG792" s="262"/>
    </row>
    <row r="793" spans="1:59" ht="12.75" customHeight="1" x14ac:dyDescent="0.15">
      <c r="A793" s="57"/>
      <c r="B793" s="57"/>
      <c r="C793" s="57"/>
      <c r="D793" s="103"/>
      <c r="E793" s="125"/>
      <c r="F793" s="125"/>
      <c r="G793" s="57"/>
      <c r="H793" s="57"/>
      <c r="I793" s="57"/>
      <c r="J793" s="57"/>
      <c r="K793" s="57"/>
      <c r="L793" s="57"/>
      <c r="M793" s="57"/>
      <c r="N793" s="57"/>
      <c r="O793" s="70"/>
      <c r="P793" s="57"/>
      <c r="Q793" s="24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220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149"/>
      <c r="AP793" s="149"/>
      <c r="AQ793" s="57"/>
      <c r="AR793" s="74"/>
      <c r="AS793" s="149"/>
      <c r="AT793" s="235"/>
      <c r="AU793" s="57"/>
      <c r="AV793" s="57"/>
      <c r="AW793" s="57"/>
      <c r="AX793" s="70"/>
      <c r="AY793" s="149"/>
      <c r="AZ793" s="112"/>
      <c r="BA793" s="236"/>
      <c r="BB793" s="236"/>
      <c r="BC793" s="152"/>
      <c r="BD793" s="152"/>
      <c r="BE793" s="236"/>
      <c r="BF793" s="262"/>
      <c r="BG793" s="262"/>
    </row>
    <row r="794" spans="1:59" ht="12.75" customHeight="1" x14ac:dyDescent="0.15">
      <c r="A794" s="57"/>
      <c r="B794" s="57"/>
      <c r="C794" s="57"/>
      <c r="D794" s="103"/>
      <c r="E794" s="125"/>
      <c r="F794" s="125"/>
      <c r="G794" s="57"/>
      <c r="H794" s="57"/>
      <c r="I794" s="57"/>
      <c r="J794" s="57"/>
      <c r="K794" s="57"/>
      <c r="L794" s="57"/>
      <c r="M794" s="57"/>
      <c r="N794" s="57"/>
      <c r="O794" s="70"/>
      <c r="P794" s="57"/>
      <c r="Q794" s="24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220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149"/>
      <c r="AP794" s="149"/>
      <c r="AQ794" s="57"/>
      <c r="AR794" s="74"/>
      <c r="AS794" s="149"/>
      <c r="AT794" s="235"/>
      <c r="AU794" s="57"/>
      <c r="AV794" s="57"/>
      <c r="AW794" s="57"/>
      <c r="AX794" s="70"/>
      <c r="AY794" s="149"/>
      <c r="AZ794" s="112"/>
      <c r="BA794" s="236"/>
      <c r="BB794" s="236"/>
      <c r="BC794" s="152"/>
      <c r="BD794" s="152"/>
      <c r="BE794" s="236"/>
      <c r="BF794" s="262"/>
      <c r="BG794" s="262"/>
    </row>
    <row r="795" spans="1:59" ht="12.75" customHeight="1" x14ac:dyDescent="0.15">
      <c r="A795" s="57"/>
      <c r="B795" s="57"/>
      <c r="C795" s="57"/>
      <c r="D795" s="103"/>
      <c r="E795" s="125"/>
      <c r="F795" s="125"/>
      <c r="G795" s="57"/>
      <c r="H795" s="57"/>
      <c r="I795" s="57"/>
      <c r="J795" s="57"/>
      <c r="K795" s="57"/>
      <c r="L795" s="57"/>
      <c r="M795" s="57"/>
      <c r="N795" s="57"/>
      <c r="O795" s="70"/>
      <c r="P795" s="57"/>
      <c r="Q795" s="24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220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149"/>
      <c r="AP795" s="149"/>
      <c r="AQ795" s="57"/>
      <c r="AR795" s="74"/>
      <c r="AS795" s="149"/>
      <c r="AT795" s="235"/>
      <c r="AU795" s="57"/>
      <c r="AV795" s="57"/>
      <c r="AW795" s="57"/>
      <c r="AX795" s="70"/>
      <c r="AY795" s="149"/>
      <c r="AZ795" s="112"/>
      <c r="BA795" s="236"/>
      <c r="BB795" s="236"/>
      <c r="BC795" s="152"/>
      <c r="BD795" s="152"/>
      <c r="BE795" s="236"/>
      <c r="BF795" s="262"/>
      <c r="BG795" s="262"/>
    </row>
    <row r="796" spans="1:59" ht="12.75" customHeight="1" x14ac:dyDescent="0.15">
      <c r="A796" s="57"/>
      <c r="B796" s="57"/>
      <c r="C796" s="57"/>
      <c r="D796" s="103"/>
      <c r="E796" s="125"/>
      <c r="F796" s="125"/>
      <c r="G796" s="57"/>
      <c r="H796" s="57"/>
      <c r="I796" s="57"/>
      <c r="J796" s="57"/>
      <c r="K796" s="57"/>
      <c r="L796" s="57"/>
      <c r="M796" s="57"/>
      <c r="N796" s="57"/>
      <c r="O796" s="70"/>
      <c r="P796" s="57"/>
      <c r="Q796" s="24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220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149"/>
      <c r="AP796" s="149"/>
      <c r="AQ796" s="57"/>
      <c r="AR796" s="74"/>
      <c r="AS796" s="149"/>
      <c r="AT796" s="235"/>
      <c r="AU796" s="57"/>
      <c r="AV796" s="57"/>
      <c r="AW796" s="57"/>
      <c r="AX796" s="70"/>
      <c r="AY796" s="149"/>
      <c r="AZ796" s="112"/>
      <c r="BA796" s="236"/>
      <c r="BB796" s="236"/>
      <c r="BC796" s="152"/>
      <c r="BD796" s="152"/>
      <c r="BE796" s="236"/>
      <c r="BF796" s="262"/>
      <c r="BG796" s="262"/>
    </row>
    <row r="797" spans="1:59" ht="12.75" customHeight="1" x14ac:dyDescent="0.15">
      <c r="A797" s="57"/>
      <c r="B797" s="57"/>
      <c r="C797" s="57"/>
      <c r="D797" s="103"/>
      <c r="E797" s="125"/>
      <c r="F797" s="125"/>
      <c r="G797" s="57"/>
      <c r="H797" s="57"/>
      <c r="I797" s="57"/>
      <c r="J797" s="57"/>
      <c r="K797" s="57"/>
      <c r="L797" s="57"/>
      <c r="M797" s="57"/>
      <c r="N797" s="57"/>
      <c r="O797" s="70"/>
      <c r="P797" s="57"/>
      <c r="Q797" s="24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220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149"/>
      <c r="AP797" s="149"/>
      <c r="AQ797" s="57"/>
      <c r="AR797" s="74"/>
      <c r="AS797" s="149"/>
      <c r="AT797" s="235"/>
      <c r="AU797" s="57"/>
      <c r="AV797" s="57"/>
      <c r="AW797" s="57"/>
      <c r="AX797" s="70"/>
      <c r="AY797" s="149"/>
      <c r="AZ797" s="112"/>
      <c r="BA797" s="236"/>
      <c r="BB797" s="236"/>
      <c r="BC797" s="152"/>
      <c r="BD797" s="152"/>
      <c r="BE797" s="236"/>
      <c r="BF797" s="262"/>
      <c r="BG797" s="262"/>
    </row>
    <row r="798" spans="1:59" ht="12.75" customHeight="1" x14ac:dyDescent="0.15">
      <c r="A798" s="57"/>
      <c r="B798" s="57"/>
      <c r="C798" s="57"/>
      <c r="D798" s="103"/>
      <c r="E798" s="125"/>
      <c r="F798" s="125"/>
      <c r="G798" s="57"/>
      <c r="H798" s="57"/>
      <c r="I798" s="57"/>
      <c r="J798" s="57"/>
      <c r="K798" s="57"/>
      <c r="L798" s="57"/>
      <c r="M798" s="57"/>
      <c r="N798" s="57"/>
      <c r="O798" s="70"/>
      <c r="P798" s="57"/>
      <c r="Q798" s="24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220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149"/>
      <c r="AP798" s="149"/>
      <c r="AQ798" s="57"/>
      <c r="AR798" s="74"/>
      <c r="AS798" s="149"/>
      <c r="AT798" s="235"/>
      <c r="AU798" s="57"/>
      <c r="AV798" s="57"/>
      <c r="AW798" s="57"/>
      <c r="AX798" s="70"/>
      <c r="AY798" s="149"/>
      <c r="AZ798" s="112"/>
      <c r="BA798" s="236"/>
      <c r="BB798" s="236"/>
      <c r="BC798" s="152"/>
      <c r="BD798" s="152"/>
      <c r="BE798" s="236"/>
      <c r="BF798" s="262"/>
      <c r="BG798" s="262"/>
    </row>
    <row r="799" spans="1:59" ht="12.75" customHeight="1" x14ac:dyDescent="0.15">
      <c r="A799" s="57"/>
      <c r="B799" s="57"/>
      <c r="C799" s="57"/>
      <c r="D799" s="103"/>
      <c r="E799" s="125"/>
      <c r="F799" s="125"/>
      <c r="G799" s="57"/>
      <c r="H799" s="57"/>
      <c r="I799" s="57"/>
      <c r="J799" s="57"/>
      <c r="K799" s="57"/>
      <c r="L799" s="57"/>
      <c r="M799" s="57"/>
      <c r="N799" s="57"/>
      <c r="O799" s="70"/>
      <c r="P799" s="57"/>
      <c r="Q799" s="24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220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149"/>
      <c r="AP799" s="149"/>
      <c r="AQ799" s="57"/>
      <c r="AR799" s="74"/>
      <c r="AS799" s="149"/>
      <c r="AT799" s="235"/>
      <c r="AU799" s="57"/>
      <c r="AV799" s="57"/>
      <c r="AW799" s="57"/>
      <c r="AX799" s="70"/>
      <c r="AY799" s="149"/>
      <c r="AZ799" s="112"/>
      <c r="BA799" s="236"/>
      <c r="BB799" s="236"/>
      <c r="BC799" s="152"/>
      <c r="BD799" s="152"/>
      <c r="BE799" s="236"/>
      <c r="BF799" s="262"/>
      <c r="BG799" s="262"/>
    </row>
    <row r="800" spans="1:59" ht="12.75" customHeight="1" x14ac:dyDescent="0.15">
      <c r="A800" s="57"/>
      <c r="B800" s="57"/>
      <c r="C800" s="57"/>
      <c r="D800" s="103"/>
      <c r="E800" s="125"/>
      <c r="F800" s="125"/>
      <c r="G800" s="57"/>
      <c r="H800" s="57"/>
      <c r="I800" s="57"/>
      <c r="J800" s="57"/>
      <c r="K800" s="57"/>
      <c r="L800" s="57"/>
      <c r="M800" s="57"/>
      <c r="N800" s="57"/>
      <c r="O800" s="70"/>
      <c r="P800" s="57"/>
      <c r="Q800" s="24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220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149"/>
      <c r="AP800" s="149"/>
      <c r="AQ800" s="57"/>
      <c r="AR800" s="74"/>
      <c r="AS800" s="149"/>
      <c r="AT800" s="235"/>
      <c r="AU800" s="57"/>
      <c r="AV800" s="57"/>
      <c r="AW800" s="57"/>
      <c r="AX800" s="70"/>
      <c r="AY800" s="149"/>
      <c r="AZ800" s="112"/>
      <c r="BA800" s="236"/>
      <c r="BB800" s="236"/>
      <c r="BC800" s="152"/>
      <c r="BD800" s="152"/>
      <c r="BE800" s="236"/>
      <c r="BF800" s="262"/>
      <c r="BG800" s="262"/>
    </row>
    <row r="801" spans="1:59" ht="12.75" customHeight="1" x14ac:dyDescent="0.15">
      <c r="A801" s="57"/>
      <c r="B801" s="57"/>
      <c r="C801" s="57"/>
      <c r="D801" s="103"/>
      <c r="E801" s="125"/>
      <c r="F801" s="125"/>
      <c r="G801" s="57"/>
      <c r="H801" s="57"/>
      <c r="I801" s="57"/>
      <c r="J801" s="57"/>
      <c r="K801" s="57"/>
      <c r="L801" s="57"/>
      <c r="M801" s="57"/>
      <c r="N801" s="57"/>
      <c r="O801" s="70"/>
      <c r="P801" s="57"/>
      <c r="Q801" s="24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220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149"/>
      <c r="AP801" s="149"/>
      <c r="AQ801" s="57"/>
      <c r="AR801" s="74"/>
      <c r="AS801" s="149"/>
      <c r="AT801" s="235"/>
      <c r="AU801" s="57"/>
      <c r="AV801" s="57"/>
      <c r="AW801" s="57"/>
      <c r="AX801" s="70"/>
      <c r="AY801" s="149"/>
      <c r="AZ801" s="112"/>
      <c r="BA801" s="236"/>
      <c r="BB801" s="236"/>
      <c r="BC801" s="152"/>
      <c r="BD801" s="152"/>
      <c r="BE801" s="236"/>
      <c r="BF801" s="262"/>
      <c r="BG801" s="262"/>
    </row>
    <row r="802" spans="1:59" ht="12.75" customHeight="1" x14ac:dyDescent="0.15">
      <c r="A802" s="57"/>
      <c r="B802" s="57"/>
      <c r="C802" s="57"/>
      <c r="D802" s="103"/>
      <c r="E802" s="125"/>
      <c r="F802" s="125"/>
      <c r="G802" s="57"/>
      <c r="H802" s="57"/>
      <c r="I802" s="57"/>
      <c r="J802" s="57"/>
      <c r="K802" s="57"/>
      <c r="L802" s="57"/>
      <c r="M802" s="57"/>
      <c r="N802" s="57"/>
      <c r="O802" s="70"/>
      <c r="P802" s="57"/>
      <c r="Q802" s="24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220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149"/>
      <c r="AP802" s="149"/>
      <c r="AQ802" s="57"/>
      <c r="AR802" s="74"/>
      <c r="AS802" s="149"/>
      <c r="AT802" s="235"/>
      <c r="AU802" s="57"/>
      <c r="AV802" s="57"/>
      <c r="AW802" s="57"/>
      <c r="AX802" s="70"/>
      <c r="AY802" s="149"/>
      <c r="AZ802" s="112"/>
      <c r="BA802" s="236"/>
      <c r="BB802" s="236"/>
      <c r="BC802" s="152"/>
      <c r="BD802" s="152"/>
      <c r="BE802" s="236"/>
      <c r="BF802" s="262"/>
      <c r="BG802" s="262"/>
    </row>
    <row r="803" spans="1:59" ht="12.75" customHeight="1" x14ac:dyDescent="0.15">
      <c r="A803" s="57"/>
      <c r="B803" s="57"/>
      <c r="C803" s="57"/>
      <c r="D803" s="103"/>
      <c r="E803" s="125"/>
      <c r="F803" s="125"/>
      <c r="G803" s="57"/>
      <c r="H803" s="57"/>
      <c r="I803" s="57"/>
      <c r="J803" s="57"/>
      <c r="K803" s="57"/>
      <c r="L803" s="57"/>
      <c r="M803" s="57"/>
      <c r="N803" s="57"/>
      <c r="O803" s="70"/>
      <c r="P803" s="57"/>
      <c r="Q803" s="24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220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149"/>
      <c r="AP803" s="149"/>
      <c r="AQ803" s="57"/>
      <c r="AR803" s="74"/>
      <c r="AS803" s="149"/>
      <c r="AT803" s="235"/>
      <c r="AU803" s="57"/>
      <c r="AV803" s="57"/>
      <c r="AW803" s="57"/>
      <c r="AX803" s="70"/>
      <c r="AY803" s="149"/>
      <c r="AZ803" s="112"/>
      <c r="BA803" s="236"/>
      <c r="BB803" s="236"/>
      <c r="BC803" s="152"/>
      <c r="BD803" s="152"/>
      <c r="BE803" s="236"/>
      <c r="BF803" s="262"/>
      <c r="BG803" s="262"/>
    </row>
    <row r="804" spans="1:59" ht="12.75" customHeight="1" x14ac:dyDescent="0.15">
      <c r="A804" s="57"/>
      <c r="B804" s="57"/>
      <c r="C804" s="57"/>
      <c r="D804" s="103"/>
      <c r="E804" s="125"/>
      <c r="F804" s="125"/>
      <c r="G804" s="57"/>
      <c r="H804" s="57"/>
      <c r="I804" s="57"/>
      <c r="J804" s="57"/>
      <c r="K804" s="57"/>
      <c r="L804" s="57"/>
      <c r="M804" s="57"/>
      <c r="N804" s="57"/>
      <c r="O804" s="70"/>
      <c r="P804" s="57"/>
      <c r="Q804" s="24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220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149"/>
      <c r="AP804" s="149"/>
      <c r="AQ804" s="57"/>
      <c r="AR804" s="74"/>
      <c r="AS804" s="149"/>
      <c r="AT804" s="235"/>
      <c r="AU804" s="57"/>
      <c r="AV804" s="57"/>
      <c r="AW804" s="57"/>
      <c r="AX804" s="70"/>
      <c r="AY804" s="149"/>
      <c r="AZ804" s="112"/>
      <c r="BA804" s="236"/>
      <c r="BB804" s="236"/>
      <c r="BC804" s="152"/>
      <c r="BD804" s="152"/>
      <c r="BE804" s="236"/>
      <c r="BF804" s="262"/>
      <c r="BG804" s="262"/>
    </row>
    <row r="805" spans="1:59" ht="12.75" customHeight="1" x14ac:dyDescent="0.15">
      <c r="A805" s="57"/>
      <c r="B805" s="57"/>
      <c r="C805" s="57"/>
      <c r="D805" s="103"/>
      <c r="E805" s="125"/>
      <c r="F805" s="125"/>
      <c r="G805" s="57"/>
      <c r="H805" s="57"/>
      <c r="I805" s="57"/>
      <c r="J805" s="57"/>
      <c r="K805" s="57"/>
      <c r="L805" s="57"/>
      <c r="M805" s="57"/>
      <c r="N805" s="57"/>
      <c r="O805" s="70"/>
      <c r="P805" s="57"/>
      <c r="Q805" s="24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220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149"/>
      <c r="AP805" s="149"/>
      <c r="AQ805" s="57"/>
      <c r="AR805" s="74"/>
      <c r="AS805" s="149"/>
      <c r="AT805" s="235"/>
      <c r="AU805" s="57"/>
      <c r="AV805" s="57"/>
      <c r="AW805" s="57"/>
      <c r="AX805" s="70"/>
      <c r="AY805" s="149"/>
      <c r="AZ805" s="112"/>
      <c r="BA805" s="236"/>
      <c r="BB805" s="236"/>
      <c r="BC805" s="152"/>
      <c r="BD805" s="152"/>
      <c r="BE805" s="236"/>
      <c r="BF805" s="262"/>
      <c r="BG805" s="262"/>
    </row>
    <row r="806" spans="1:59" ht="12.75" customHeight="1" x14ac:dyDescent="0.15">
      <c r="A806" s="57"/>
      <c r="B806" s="57"/>
      <c r="C806" s="57"/>
      <c r="D806" s="103"/>
      <c r="E806" s="125"/>
      <c r="F806" s="125"/>
      <c r="G806" s="57"/>
      <c r="H806" s="57"/>
      <c r="I806" s="57"/>
      <c r="J806" s="57"/>
      <c r="K806" s="57"/>
      <c r="L806" s="57"/>
      <c r="M806" s="57"/>
      <c r="N806" s="57"/>
      <c r="O806" s="70"/>
      <c r="P806" s="57"/>
      <c r="Q806" s="24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220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149"/>
      <c r="AP806" s="149"/>
      <c r="AQ806" s="57"/>
      <c r="AR806" s="74"/>
      <c r="AS806" s="149"/>
      <c r="AT806" s="235"/>
      <c r="AU806" s="57"/>
      <c r="AV806" s="57"/>
      <c r="AW806" s="57"/>
      <c r="AX806" s="70"/>
      <c r="AY806" s="149"/>
      <c r="AZ806" s="112"/>
      <c r="BA806" s="236"/>
      <c r="BB806" s="236"/>
      <c r="BC806" s="152"/>
      <c r="BD806" s="152"/>
      <c r="BE806" s="236"/>
      <c r="BF806" s="262"/>
      <c r="BG806" s="262"/>
    </row>
    <row r="807" spans="1:59" ht="12.75" customHeight="1" x14ac:dyDescent="0.15">
      <c r="A807" s="57"/>
      <c r="B807" s="57"/>
      <c r="C807" s="57"/>
      <c r="D807" s="103"/>
      <c r="E807" s="125"/>
      <c r="F807" s="125"/>
      <c r="G807" s="57"/>
      <c r="H807" s="57"/>
      <c r="I807" s="57"/>
      <c r="J807" s="57"/>
      <c r="K807" s="57"/>
      <c r="L807" s="57"/>
      <c r="M807" s="57"/>
      <c r="N807" s="57"/>
      <c r="O807" s="70"/>
      <c r="P807" s="57"/>
      <c r="Q807" s="24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220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149"/>
      <c r="AP807" s="149"/>
      <c r="AQ807" s="57"/>
      <c r="AR807" s="74"/>
      <c r="AS807" s="149"/>
      <c r="AT807" s="235"/>
      <c r="AU807" s="57"/>
      <c r="AV807" s="57"/>
      <c r="AW807" s="57"/>
      <c r="AX807" s="70"/>
      <c r="AY807" s="149"/>
      <c r="AZ807" s="112"/>
      <c r="BA807" s="236"/>
      <c r="BB807" s="236"/>
      <c r="BC807" s="152"/>
      <c r="BD807" s="152"/>
      <c r="BE807" s="236"/>
      <c r="BF807" s="262"/>
      <c r="BG807" s="262"/>
    </row>
    <row r="808" spans="1:59" ht="12.75" customHeight="1" x14ac:dyDescent="0.15">
      <c r="A808" s="57"/>
      <c r="B808" s="57"/>
      <c r="C808" s="57"/>
      <c r="D808" s="103"/>
      <c r="E808" s="125"/>
      <c r="F808" s="125"/>
      <c r="G808" s="57"/>
      <c r="H808" s="57"/>
      <c r="I808" s="57"/>
      <c r="J808" s="57"/>
      <c r="K808" s="57"/>
      <c r="L808" s="57"/>
      <c r="M808" s="57"/>
      <c r="N808" s="57"/>
      <c r="O808" s="70"/>
      <c r="P808" s="57"/>
      <c r="Q808" s="24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220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149"/>
      <c r="AP808" s="149"/>
      <c r="AQ808" s="57"/>
      <c r="AR808" s="74"/>
      <c r="AS808" s="149"/>
      <c r="AT808" s="235"/>
      <c r="AU808" s="57"/>
      <c r="AV808" s="57"/>
      <c r="AW808" s="57"/>
      <c r="AX808" s="70"/>
      <c r="AY808" s="149"/>
      <c r="AZ808" s="112"/>
      <c r="BA808" s="236"/>
      <c r="BB808" s="236"/>
      <c r="BC808" s="152"/>
      <c r="BD808" s="152"/>
      <c r="BE808" s="236"/>
      <c r="BF808" s="262"/>
      <c r="BG808" s="262"/>
    </row>
    <row r="809" spans="1:59" ht="12.75" customHeight="1" x14ac:dyDescent="0.15">
      <c r="A809" s="57"/>
      <c r="B809" s="57"/>
      <c r="C809" s="57"/>
      <c r="D809" s="103"/>
      <c r="E809" s="125"/>
      <c r="F809" s="125"/>
      <c r="G809" s="57"/>
      <c r="H809" s="57"/>
      <c r="I809" s="57"/>
      <c r="J809" s="57"/>
      <c r="K809" s="57"/>
      <c r="L809" s="57"/>
      <c r="M809" s="57"/>
      <c r="N809" s="57"/>
      <c r="O809" s="70"/>
      <c r="P809" s="57"/>
      <c r="Q809" s="24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220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149"/>
      <c r="AP809" s="149"/>
      <c r="AQ809" s="57"/>
      <c r="AR809" s="74"/>
      <c r="AS809" s="149"/>
      <c r="AT809" s="235"/>
      <c r="AU809" s="57"/>
      <c r="AV809" s="57"/>
      <c r="AW809" s="57"/>
      <c r="AX809" s="70"/>
      <c r="AY809" s="149"/>
      <c r="AZ809" s="112"/>
      <c r="BA809" s="236"/>
      <c r="BB809" s="236"/>
      <c r="BC809" s="152"/>
      <c r="BD809" s="152"/>
      <c r="BE809" s="236"/>
      <c r="BF809" s="262"/>
      <c r="BG809" s="262"/>
    </row>
    <row r="810" spans="1:59" ht="12.75" customHeight="1" x14ac:dyDescent="0.15">
      <c r="A810" s="57"/>
      <c r="B810" s="57"/>
      <c r="C810" s="57"/>
      <c r="D810" s="103"/>
      <c r="E810" s="125"/>
      <c r="F810" s="125"/>
      <c r="G810" s="57"/>
      <c r="H810" s="57"/>
      <c r="I810" s="57"/>
      <c r="J810" s="57"/>
      <c r="K810" s="57"/>
      <c r="L810" s="57"/>
      <c r="M810" s="57"/>
      <c r="N810" s="57"/>
      <c r="O810" s="70"/>
      <c r="P810" s="57"/>
      <c r="Q810" s="24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220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149"/>
      <c r="AP810" s="149"/>
      <c r="AQ810" s="57"/>
      <c r="AR810" s="74"/>
      <c r="AS810" s="149"/>
      <c r="AT810" s="235"/>
      <c r="AU810" s="57"/>
      <c r="AV810" s="57"/>
      <c r="AW810" s="57"/>
      <c r="AX810" s="70"/>
      <c r="AY810" s="149"/>
      <c r="AZ810" s="112"/>
      <c r="BA810" s="236"/>
      <c r="BB810" s="236"/>
      <c r="BC810" s="152"/>
      <c r="BD810" s="152"/>
      <c r="BE810" s="236"/>
      <c r="BF810" s="262"/>
      <c r="BG810" s="262"/>
    </row>
    <row r="811" spans="1:59" ht="12.75" customHeight="1" x14ac:dyDescent="0.15">
      <c r="A811" s="57"/>
      <c r="B811" s="57"/>
      <c r="C811" s="57"/>
      <c r="D811" s="103"/>
      <c r="E811" s="125"/>
      <c r="F811" s="125"/>
      <c r="G811" s="57"/>
      <c r="H811" s="57"/>
      <c r="I811" s="57"/>
      <c r="J811" s="57"/>
      <c r="K811" s="57"/>
      <c r="L811" s="57"/>
      <c r="M811" s="57"/>
      <c r="N811" s="57"/>
      <c r="O811" s="70"/>
      <c r="P811" s="57"/>
      <c r="Q811" s="24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220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149"/>
      <c r="AP811" s="149"/>
      <c r="AQ811" s="57"/>
      <c r="AR811" s="74"/>
      <c r="AS811" s="149"/>
      <c r="AT811" s="235"/>
      <c r="AU811" s="57"/>
      <c r="AV811" s="57"/>
      <c r="AW811" s="57"/>
      <c r="AX811" s="70"/>
      <c r="AY811" s="149"/>
      <c r="AZ811" s="112"/>
      <c r="BA811" s="236"/>
      <c r="BB811" s="236"/>
      <c r="BC811" s="152"/>
      <c r="BD811" s="152"/>
      <c r="BE811" s="236"/>
      <c r="BF811" s="262"/>
      <c r="BG811" s="262"/>
    </row>
    <row r="812" spans="1:59" ht="12.75" customHeight="1" x14ac:dyDescent="0.15">
      <c r="A812" s="57"/>
      <c r="B812" s="57"/>
      <c r="C812" s="57"/>
      <c r="D812" s="103"/>
      <c r="E812" s="125"/>
      <c r="F812" s="125"/>
      <c r="G812" s="57"/>
      <c r="H812" s="57"/>
      <c r="I812" s="57"/>
      <c r="J812" s="57"/>
      <c r="K812" s="57"/>
      <c r="L812" s="57"/>
      <c r="M812" s="57"/>
      <c r="N812" s="57"/>
      <c r="O812" s="70"/>
      <c r="P812" s="57"/>
      <c r="Q812" s="24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220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149"/>
      <c r="AP812" s="149"/>
      <c r="AQ812" s="57"/>
      <c r="AR812" s="74"/>
      <c r="AS812" s="149"/>
      <c r="AT812" s="235"/>
      <c r="AU812" s="57"/>
      <c r="AV812" s="57"/>
      <c r="AW812" s="57"/>
      <c r="AX812" s="70"/>
      <c r="AY812" s="149"/>
      <c r="AZ812" s="112"/>
      <c r="BA812" s="236"/>
      <c r="BB812" s="236"/>
      <c r="BC812" s="152"/>
      <c r="BD812" s="152"/>
      <c r="BE812" s="236"/>
      <c r="BF812" s="262"/>
      <c r="BG812" s="262"/>
    </row>
    <row r="813" spans="1:59" ht="12.75" customHeight="1" x14ac:dyDescent="0.15">
      <c r="A813" s="57"/>
      <c r="B813" s="57"/>
      <c r="C813" s="57"/>
      <c r="D813" s="103"/>
      <c r="E813" s="125"/>
      <c r="F813" s="125"/>
      <c r="G813" s="57"/>
      <c r="H813" s="57"/>
      <c r="I813" s="57"/>
      <c r="J813" s="57"/>
      <c r="K813" s="57"/>
      <c r="L813" s="57"/>
      <c r="M813" s="57"/>
      <c r="N813" s="57"/>
      <c r="O813" s="70"/>
      <c r="P813" s="57"/>
      <c r="Q813" s="24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220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149"/>
      <c r="AP813" s="149"/>
      <c r="AQ813" s="57"/>
      <c r="AR813" s="74"/>
      <c r="AS813" s="149"/>
      <c r="AT813" s="235"/>
      <c r="AU813" s="57"/>
      <c r="AV813" s="57"/>
      <c r="AW813" s="57"/>
      <c r="AX813" s="70"/>
      <c r="AY813" s="149"/>
      <c r="AZ813" s="112"/>
      <c r="BA813" s="236"/>
      <c r="BB813" s="236"/>
      <c r="BC813" s="152"/>
      <c r="BD813" s="152"/>
      <c r="BE813" s="236"/>
      <c r="BF813" s="262"/>
      <c r="BG813" s="262"/>
    </row>
    <row r="814" spans="1:59" ht="12.75" customHeight="1" x14ac:dyDescent="0.15">
      <c r="A814" s="57"/>
      <c r="B814" s="57"/>
      <c r="C814" s="57"/>
      <c r="D814" s="103"/>
      <c r="E814" s="125"/>
      <c r="F814" s="125"/>
      <c r="G814" s="57"/>
      <c r="H814" s="57"/>
      <c r="I814" s="57"/>
      <c r="J814" s="57"/>
      <c r="K814" s="57"/>
      <c r="L814" s="57"/>
      <c r="M814" s="57"/>
      <c r="N814" s="57"/>
      <c r="O814" s="70"/>
      <c r="P814" s="57"/>
      <c r="Q814" s="24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220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149"/>
      <c r="AP814" s="149"/>
      <c r="AQ814" s="57"/>
      <c r="AR814" s="74"/>
      <c r="AS814" s="149"/>
      <c r="AT814" s="235"/>
      <c r="AU814" s="57"/>
      <c r="AV814" s="57"/>
      <c r="AW814" s="57"/>
      <c r="AX814" s="70"/>
      <c r="AY814" s="149"/>
      <c r="AZ814" s="112"/>
      <c r="BA814" s="236"/>
      <c r="BB814" s="236"/>
      <c r="BC814" s="152"/>
      <c r="BD814" s="152"/>
      <c r="BE814" s="236"/>
      <c r="BF814" s="262"/>
      <c r="BG814" s="262"/>
    </row>
    <row r="815" spans="1:59" ht="12.75" customHeight="1" x14ac:dyDescent="0.15">
      <c r="A815" s="57"/>
      <c r="B815" s="57"/>
      <c r="C815" s="57"/>
      <c r="D815" s="103"/>
      <c r="E815" s="125"/>
      <c r="F815" s="125"/>
      <c r="G815" s="57"/>
      <c r="H815" s="57"/>
      <c r="I815" s="57"/>
      <c r="J815" s="57"/>
      <c r="K815" s="57"/>
      <c r="L815" s="57"/>
      <c r="M815" s="57"/>
      <c r="N815" s="57"/>
      <c r="O815" s="70"/>
      <c r="P815" s="57"/>
      <c r="Q815" s="24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220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149"/>
      <c r="AP815" s="149"/>
      <c r="AQ815" s="57"/>
      <c r="AR815" s="74"/>
      <c r="AS815" s="149"/>
      <c r="AT815" s="235"/>
      <c r="AU815" s="57"/>
      <c r="AV815" s="57"/>
      <c r="AW815" s="57"/>
      <c r="AX815" s="70"/>
      <c r="AY815" s="149"/>
      <c r="AZ815" s="112"/>
      <c r="BA815" s="236"/>
      <c r="BB815" s="236"/>
      <c r="BC815" s="152"/>
      <c r="BD815" s="152"/>
      <c r="BE815" s="236"/>
      <c r="BF815" s="262"/>
      <c r="BG815" s="262"/>
    </row>
    <row r="816" spans="1:59" ht="12.75" customHeight="1" x14ac:dyDescent="0.15">
      <c r="A816" s="57"/>
      <c r="B816" s="57"/>
      <c r="C816" s="57"/>
      <c r="D816" s="103"/>
      <c r="E816" s="125"/>
      <c r="F816" s="125"/>
      <c r="G816" s="57"/>
      <c r="H816" s="57"/>
      <c r="I816" s="57"/>
      <c r="J816" s="57"/>
      <c r="K816" s="57"/>
      <c r="L816" s="57"/>
      <c r="M816" s="57"/>
      <c r="N816" s="57"/>
      <c r="O816" s="70"/>
      <c r="P816" s="57"/>
      <c r="Q816" s="24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220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149"/>
      <c r="AP816" s="149"/>
      <c r="AQ816" s="57"/>
      <c r="AR816" s="74"/>
      <c r="AS816" s="149"/>
      <c r="AT816" s="235"/>
      <c r="AU816" s="57"/>
      <c r="AV816" s="57"/>
      <c r="AW816" s="57"/>
      <c r="AX816" s="70"/>
      <c r="AY816" s="149"/>
      <c r="AZ816" s="112"/>
      <c r="BA816" s="236"/>
      <c r="BB816" s="236"/>
      <c r="BC816" s="152"/>
      <c r="BD816" s="152"/>
      <c r="BE816" s="236"/>
      <c r="BF816" s="262"/>
      <c r="BG816" s="262"/>
    </row>
    <row r="817" spans="1:59" ht="12.75" customHeight="1" x14ac:dyDescent="0.15">
      <c r="A817" s="57"/>
      <c r="B817" s="57"/>
      <c r="C817" s="57"/>
      <c r="D817" s="103"/>
      <c r="E817" s="125"/>
      <c r="F817" s="125"/>
      <c r="G817" s="57"/>
      <c r="H817" s="57"/>
      <c r="I817" s="57"/>
      <c r="J817" s="57"/>
      <c r="K817" s="57"/>
      <c r="L817" s="57"/>
      <c r="M817" s="57"/>
      <c r="N817" s="57"/>
      <c r="O817" s="70"/>
      <c r="P817" s="57"/>
      <c r="Q817" s="24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220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149"/>
      <c r="AP817" s="149"/>
      <c r="AQ817" s="57"/>
      <c r="AR817" s="74"/>
      <c r="AS817" s="149"/>
      <c r="AT817" s="235"/>
      <c r="AU817" s="57"/>
      <c r="AV817" s="57"/>
      <c r="AW817" s="57"/>
      <c r="AX817" s="70"/>
      <c r="AY817" s="149"/>
      <c r="AZ817" s="112"/>
      <c r="BA817" s="236"/>
      <c r="BB817" s="236"/>
      <c r="BC817" s="152"/>
      <c r="BD817" s="152"/>
      <c r="BE817" s="236"/>
      <c r="BF817" s="262"/>
      <c r="BG817" s="262"/>
    </row>
    <row r="818" spans="1:59" ht="12.75" customHeight="1" x14ac:dyDescent="0.15">
      <c r="A818" s="57"/>
      <c r="B818" s="57"/>
      <c r="C818" s="57"/>
      <c r="D818" s="103"/>
      <c r="E818" s="125"/>
      <c r="F818" s="125"/>
      <c r="G818" s="57"/>
      <c r="H818" s="57"/>
      <c r="I818" s="57"/>
      <c r="J818" s="57"/>
      <c r="K818" s="57"/>
      <c r="L818" s="57"/>
      <c r="M818" s="57"/>
      <c r="N818" s="57"/>
      <c r="O818" s="70"/>
      <c r="P818" s="57"/>
      <c r="Q818" s="24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220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149"/>
      <c r="AP818" s="149"/>
      <c r="AQ818" s="57"/>
      <c r="AR818" s="74"/>
      <c r="AS818" s="149"/>
      <c r="AT818" s="235"/>
      <c r="AU818" s="57"/>
      <c r="AV818" s="57"/>
      <c r="AW818" s="57"/>
      <c r="AX818" s="70"/>
      <c r="AY818" s="149"/>
      <c r="AZ818" s="112"/>
      <c r="BA818" s="236"/>
      <c r="BB818" s="236"/>
      <c r="BC818" s="152"/>
      <c r="BD818" s="152"/>
      <c r="BE818" s="236"/>
      <c r="BF818" s="262"/>
      <c r="BG818" s="262"/>
    </row>
    <row r="819" spans="1:59" ht="12.75" customHeight="1" x14ac:dyDescent="0.15">
      <c r="A819" s="57"/>
      <c r="B819" s="57"/>
      <c r="C819" s="57"/>
      <c r="D819" s="103"/>
      <c r="E819" s="125"/>
      <c r="F819" s="125"/>
      <c r="G819" s="57"/>
      <c r="H819" s="57"/>
      <c r="I819" s="57"/>
      <c r="J819" s="57"/>
      <c r="K819" s="57"/>
      <c r="L819" s="57"/>
      <c r="M819" s="57"/>
      <c r="N819" s="57"/>
      <c r="O819" s="70"/>
      <c r="P819" s="57"/>
      <c r="Q819" s="24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220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149"/>
      <c r="AP819" s="149"/>
      <c r="AQ819" s="57"/>
      <c r="AR819" s="74"/>
      <c r="AS819" s="149"/>
      <c r="AT819" s="235"/>
      <c r="AU819" s="57"/>
      <c r="AV819" s="57"/>
      <c r="AW819" s="57"/>
      <c r="AX819" s="70"/>
      <c r="AY819" s="149"/>
      <c r="AZ819" s="112"/>
      <c r="BA819" s="236"/>
      <c r="BB819" s="236"/>
      <c r="BC819" s="152"/>
      <c r="BD819" s="152"/>
      <c r="BE819" s="236"/>
      <c r="BF819" s="262"/>
      <c r="BG819" s="262"/>
    </row>
    <row r="820" spans="1:59" ht="12.75" customHeight="1" x14ac:dyDescent="0.15">
      <c r="A820" s="57"/>
      <c r="B820" s="57"/>
      <c r="C820" s="57"/>
      <c r="D820" s="103"/>
      <c r="E820" s="125"/>
      <c r="F820" s="125"/>
      <c r="G820" s="57"/>
      <c r="H820" s="57"/>
      <c r="I820" s="57"/>
      <c r="J820" s="57"/>
      <c r="K820" s="57"/>
      <c r="L820" s="57"/>
      <c r="M820" s="57"/>
      <c r="N820" s="57"/>
      <c r="O820" s="70"/>
      <c r="P820" s="57"/>
      <c r="Q820" s="24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220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149"/>
      <c r="AP820" s="149"/>
      <c r="AQ820" s="57"/>
      <c r="AR820" s="74"/>
      <c r="AS820" s="149"/>
      <c r="AT820" s="235"/>
      <c r="AU820" s="57"/>
      <c r="AV820" s="57"/>
      <c r="AW820" s="57"/>
      <c r="AX820" s="70"/>
      <c r="AY820" s="149"/>
      <c r="AZ820" s="112"/>
      <c r="BA820" s="236"/>
      <c r="BB820" s="236"/>
      <c r="BC820" s="152"/>
      <c r="BD820" s="152"/>
      <c r="BE820" s="236"/>
      <c r="BF820" s="262"/>
      <c r="BG820" s="262"/>
    </row>
    <row r="821" spans="1:59" ht="12.75" customHeight="1" x14ac:dyDescent="0.15">
      <c r="A821" s="57"/>
      <c r="B821" s="57"/>
      <c r="C821" s="57"/>
      <c r="D821" s="103"/>
      <c r="E821" s="125"/>
      <c r="F821" s="125"/>
      <c r="G821" s="57"/>
      <c r="H821" s="57"/>
      <c r="I821" s="57"/>
      <c r="J821" s="57"/>
      <c r="K821" s="57"/>
      <c r="L821" s="57"/>
      <c r="M821" s="57"/>
      <c r="N821" s="57"/>
      <c r="O821" s="70"/>
      <c r="P821" s="57"/>
      <c r="Q821" s="24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220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149"/>
      <c r="AP821" s="149"/>
      <c r="AQ821" s="57"/>
      <c r="AR821" s="74"/>
      <c r="AS821" s="149"/>
      <c r="AT821" s="235"/>
      <c r="AU821" s="57"/>
      <c r="AV821" s="57"/>
      <c r="AW821" s="57"/>
      <c r="AX821" s="70"/>
      <c r="AY821" s="149"/>
      <c r="AZ821" s="112"/>
      <c r="BA821" s="236"/>
      <c r="BB821" s="236"/>
      <c r="BC821" s="152"/>
      <c r="BD821" s="152"/>
      <c r="BE821" s="236"/>
      <c r="BF821" s="262"/>
      <c r="BG821" s="262"/>
    </row>
    <row r="822" spans="1:59" ht="12.75" customHeight="1" x14ac:dyDescent="0.15">
      <c r="A822" s="57"/>
      <c r="B822" s="57"/>
      <c r="C822" s="57"/>
      <c r="D822" s="103"/>
      <c r="E822" s="125"/>
      <c r="F822" s="125"/>
      <c r="G822" s="57"/>
      <c r="H822" s="57"/>
      <c r="I822" s="57"/>
      <c r="J822" s="57"/>
      <c r="K822" s="57"/>
      <c r="L822" s="57"/>
      <c r="M822" s="57"/>
      <c r="N822" s="57"/>
      <c r="O822" s="70"/>
      <c r="P822" s="57"/>
      <c r="Q822" s="24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220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149"/>
      <c r="AP822" s="149"/>
      <c r="AQ822" s="57"/>
      <c r="AR822" s="74"/>
      <c r="AS822" s="149"/>
      <c r="AT822" s="235"/>
      <c r="AU822" s="57"/>
      <c r="AV822" s="57"/>
      <c r="AW822" s="57"/>
      <c r="AX822" s="70"/>
      <c r="AY822" s="149"/>
      <c r="AZ822" s="112"/>
      <c r="BA822" s="236"/>
      <c r="BB822" s="236"/>
      <c r="BC822" s="152"/>
      <c r="BD822" s="152"/>
      <c r="BE822" s="236"/>
      <c r="BF822" s="262"/>
      <c r="BG822" s="262"/>
    </row>
    <row r="823" spans="1:59" ht="12.75" customHeight="1" x14ac:dyDescent="0.15">
      <c r="A823" s="57"/>
      <c r="B823" s="57"/>
      <c r="C823" s="57"/>
      <c r="D823" s="103"/>
      <c r="E823" s="125"/>
      <c r="F823" s="125"/>
      <c r="G823" s="57"/>
      <c r="H823" s="57"/>
      <c r="I823" s="57"/>
      <c r="J823" s="57"/>
      <c r="K823" s="57"/>
      <c r="L823" s="57"/>
      <c r="M823" s="57"/>
      <c r="N823" s="57"/>
      <c r="O823" s="70"/>
      <c r="P823" s="57"/>
      <c r="Q823" s="24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220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149"/>
      <c r="AP823" s="149"/>
      <c r="AQ823" s="57"/>
      <c r="AR823" s="74"/>
      <c r="AS823" s="149"/>
      <c r="AT823" s="235"/>
      <c r="AU823" s="57"/>
      <c r="AV823" s="57"/>
      <c r="AW823" s="57"/>
      <c r="AX823" s="70"/>
      <c r="AY823" s="149"/>
      <c r="AZ823" s="112"/>
      <c r="BA823" s="236"/>
      <c r="BB823" s="236"/>
      <c r="BC823" s="152"/>
      <c r="BD823" s="152"/>
      <c r="BE823" s="236"/>
      <c r="BF823" s="262"/>
      <c r="BG823" s="262"/>
    </row>
    <row r="824" spans="1:59" ht="12.75" customHeight="1" x14ac:dyDescent="0.15">
      <c r="A824" s="57"/>
      <c r="B824" s="57"/>
      <c r="C824" s="57"/>
      <c r="D824" s="103"/>
      <c r="E824" s="125"/>
      <c r="F824" s="125"/>
      <c r="G824" s="57"/>
      <c r="H824" s="57"/>
      <c r="I824" s="57"/>
      <c r="J824" s="57"/>
      <c r="K824" s="57"/>
      <c r="L824" s="57"/>
      <c r="M824" s="57"/>
      <c r="N824" s="57"/>
      <c r="O824" s="70"/>
      <c r="P824" s="57"/>
      <c r="Q824" s="24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220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149"/>
      <c r="AP824" s="149"/>
      <c r="AQ824" s="57"/>
      <c r="AR824" s="74"/>
      <c r="AS824" s="149"/>
      <c r="AT824" s="235"/>
      <c r="AU824" s="57"/>
      <c r="AV824" s="57"/>
      <c r="AW824" s="57"/>
      <c r="AX824" s="70"/>
      <c r="AY824" s="149"/>
      <c r="AZ824" s="112"/>
      <c r="BA824" s="236"/>
      <c r="BB824" s="236"/>
      <c r="BC824" s="152"/>
      <c r="BD824" s="152"/>
      <c r="BE824" s="236"/>
      <c r="BF824" s="262"/>
      <c r="BG824" s="262"/>
    </row>
    <row r="825" spans="1:59" ht="12.75" customHeight="1" x14ac:dyDescent="0.15">
      <c r="A825" s="57"/>
      <c r="B825" s="57"/>
      <c r="C825" s="57"/>
      <c r="D825" s="103"/>
      <c r="E825" s="125"/>
      <c r="F825" s="125"/>
      <c r="G825" s="57"/>
      <c r="H825" s="57"/>
      <c r="I825" s="57"/>
      <c r="J825" s="57"/>
      <c r="K825" s="57"/>
      <c r="L825" s="57"/>
      <c r="M825" s="57"/>
      <c r="N825" s="57"/>
      <c r="O825" s="70"/>
      <c r="P825" s="57"/>
      <c r="Q825" s="24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220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149"/>
      <c r="AP825" s="149"/>
      <c r="AQ825" s="57"/>
      <c r="AR825" s="74"/>
      <c r="AS825" s="149"/>
      <c r="AT825" s="235"/>
      <c r="AU825" s="57"/>
      <c r="AV825" s="57"/>
      <c r="AW825" s="57"/>
      <c r="AX825" s="70"/>
      <c r="AY825" s="149"/>
      <c r="AZ825" s="112"/>
      <c r="BA825" s="236"/>
      <c r="BB825" s="236"/>
      <c r="BC825" s="152"/>
      <c r="BD825" s="152"/>
      <c r="BE825" s="236"/>
      <c r="BF825" s="262"/>
      <c r="BG825" s="262"/>
    </row>
    <row r="826" spans="1:59" ht="12.75" customHeight="1" x14ac:dyDescent="0.15">
      <c r="A826" s="57"/>
      <c r="B826" s="57"/>
      <c r="C826" s="57"/>
      <c r="D826" s="103"/>
      <c r="E826" s="125"/>
      <c r="F826" s="125"/>
      <c r="G826" s="57"/>
      <c r="H826" s="57"/>
      <c r="I826" s="57"/>
      <c r="J826" s="57"/>
      <c r="K826" s="57"/>
      <c r="L826" s="57"/>
      <c r="M826" s="57"/>
      <c r="N826" s="57"/>
      <c r="O826" s="70"/>
      <c r="P826" s="57"/>
      <c r="Q826" s="24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220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149"/>
      <c r="AP826" s="149"/>
      <c r="AQ826" s="57"/>
      <c r="AR826" s="74"/>
      <c r="AS826" s="149"/>
      <c r="AT826" s="235"/>
      <c r="AU826" s="57"/>
      <c r="AV826" s="57"/>
      <c r="AW826" s="57"/>
      <c r="AX826" s="70"/>
      <c r="AY826" s="149"/>
      <c r="AZ826" s="112"/>
      <c r="BA826" s="236"/>
      <c r="BB826" s="236"/>
      <c r="BC826" s="152"/>
      <c r="BD826" s="152"/>
      <c r="BE826" s="236"/>
      <c r="BF826" s="262"/>
      <c r="BG826" s="262"/>
    </row>
    <row r="827" spans="1:59" ht="12.75" customHeight="1" x14ac:dyDescent="0.15">
      <c r="A827" s="57"/>
      <c r="B827" s="57"/>
      <c r="C827" s="57"/>
      <c r="D827" s="103"/>
      <c r="E827" s="125"/>
      <c r="F827" s="125"/>
      <c r="G827" s="57"/>
      <c r="H827" s="57"/>
      <c r="I827" s="57"/>
      <c r="J827" s="57"/>
      <c r="K827" s="57"/>
      <c r="L827" s="57"/>
      <c r="M827" s="57"/>
      <c r="N827" s="57"/>
      <c r="O827" s="70"/>
      <c r="P827" s="57"/>
      <c r="Q827" s="24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220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149"/>
      <c r="AP827" s="149"/>
      <c r="AQ827" s="57"/>
      <c r="AR827" s="74"/>
      <c r="AS827" s="149"/>
      <c r="AT827" s="235"/>
      <c r="AU827" s="57"/>
      <c r="AV827" s="57"/>
      <c r="AW827" s="57"/>
      <c r="AX827" s="70"/>
      <c r="AY827" s="149"/>
      <c r="AZ827" s="112"/>
      <c r="BA827" s="236"/>
      <c r="BB827" s="236"/>
      <c r="BC827" s="152"/>
      <c r="BD827" s="152"/>
      <c r="BE827" s="236"/>
      <c r="BF827" s="262"/>
      <c r="BG827" s="262"/>
    </row>
    <row r="828" spans="1:59" ht="12.75" customHeight="1" x14ac:dyDescent="0.15">
      <c r="A828" s="57"/>
      <c r="B828" s="57"/>
      <c r="C828" s="57"/>
      <c r="D828" s="103"/>
      <c r="E828" s="125"/>
      <c r="F828" s="125"/>
      <c r="G828" s="57"/>
      <c r="H828" s="57"/>
      <c r="I828" s="57"/>
      <c r="J828" s="57"/>
      <c r="K828" s="57"/>
      <c r="L828" s="57"/>
      <c r="M828" s="57"/>
      <c r="N828" s="57"/>
      <c r="O828" s="70"/>
      <c r="P828" s="57"/>
      <c r="Q828" s="24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220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149"/>
      <c r="AP828" s="149"/>
      <c r="AQ828" s="57"/>
      <c r="AR828" s="74"/>
      <c r="AS828" s="149"/>
      <c r="AT828" s="235"/>
      <c r="AU828" s="57"/>
      <c r="AV828" s="57"/>
      <c r="AW828" s="57"/>
      <c r="AX828" s="70"/>
      <c r="AY828" s="149"/>
      <c r="AZ828" s="112"/>
      <c r="BA828" s="236"/>
      <c r="BB828" s="236"/>
      <c r="BC828" s="152"/>
      <c r="BD828" s="152"/>
      <c r="BE828" s="236"/>
      <c r="BF828" s="262"/>
      <c r="BG828" s="262"/>
    </row>
    <row r="829" spans="1:59" ht="12.75" customHeight="1" x14ac:dyDescent="0.15">
      <c r="A829" s="57"/>
      <c r="B829" s="57"/>
      <c r="C829" s="57"/>
      <c r="D829" s="103"/>
      <c r="E829" s="125"/>
      <c r="F829" s="125"/>
      <c r="G829" s="57"/>
      <c r="H829" s="57"/>
      <c r="I829" s="57"/>
      <c r="J829" s="57"/>
      <c r="K829" s="57"/>
      <c r="L829" s="57"/>
      <c r="M829" s="57"/>
      <c r="N829" s="57"/>
      <c r="O829" s="70"/>
      <c r="P829" s="57"/>
      <c r="Q829" s="24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220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149"/>
      <c r="AP829" s="149"/>
      <c r="AQ829" s="57"/>
      <c r="AR829" s="74"/>
      <c r="AS829" s="149"/>
      <c r="AT829" s="235"/>
      <c r="AU829" s="57"/>
      <c r="AV829" s="57"/>
      <c r="AW829" s="57"/>
      <c r="AX829" s="70"/>
      <c r="AY829" s="149"/>
      <c r="AZ829" s="112"/>
      <c r="BA829" s="236"/>
      <c r="BB829" s="236"/>
      <c r="BC829" s="152"/>
      <c r="BD829" s="152"/>
      <c r="BE829" s="236"/>
      <c r="BF829" s="262"/>
      <c r="BG829" s="262"/>
    </row>
    <row r="830" spans="1:59" ht="12.75" customHeight="1" x14ac:dyDescent="0.15">
      <c r="A830" s="57"/>
      <c r="B830" s="57"/>
      <c r="C830" s="57"/>
      <c r="D830" s="103"/>
      <c r="E830" s="125"/>
      <c r="F830" s="125"/>
      <c r="G830" s="57"/>
      <c r="H830" s="57"/>
      <c r="I830" s="57"/>
      <c r="J830" s="57"/>
      <c r="K830" s="57"/>
      <c r="L830" s="57"/>
      <c r="M830" s="57"/>
      <c r="N830" s="57"/>
      <c r="O830" s="70"/>
      <c r="P830" s="57"/>
      <c r="Q830" s="24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220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149"/>
      <c r="AP830" s="149"/>
      <c r="AQ830" s="57"/>
      <c r="AR830" s="74"/>
      <c r="AS830" s="149"/>
      <c r="AT830" s="235"/>
      <c r="AU830" s="57"/>
      <c r="AV830" s="57"/>
      <c r="AW830" s="57"/>
      <c r="AX830" s="70"/>
      <c r="AY830" s="149"/>
      <c r="AZ830" s="112"/>
      <c r="BA830" s="236"/>
      <c r="BB830" s="236"/>
      <c r="BC830" s="152"/>
      <c r="BD830" s="152"/>
      <c r="BE830" s="236"/>
      <c r="BF830" s="262"/>
      <c r="BG830" s="262"/>
    </row>
    <row r="831" spans="1:59" ht="12.75" customHeight="1" x14ac:dyDescent="0.15">
      <c r="A831" s="57"/>
      <c r="B831" s="57"/>
      <c r="C831" s="57"/>
      <c r="D831" s="103"/>
      <c r="E831" s="125"/>
      <c r="F831" s="125"/>
      <c r="G831" s="57"/>
      <c r="H831" s="57"/>
      <c r="I831" s="57"/>
      <c r="J831" s="57"/>
      <c r="K831" s="57"/>
      <c r="L831" s="57"/>
      <c r="M831" s="57"/>
      <c r="N831" s="57"/>
      <c r="O831" s="70"/>
      <c r="P831" s="57"/>
      <c r="Q831" s="24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220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149"/>
      <c r="AP831" s="149"/>
      <c r="AQ831" s="57"/>
      <c r="AR831" s="74"/>
      <c r="AS831" s="149"/>
      <c r="AT831" s="235"/>
      <c r="AU831" s="57"/>
      <c r="AV831" s="57"/>
      <c r="AW831" s="57"/>
      <c r="AX831" s="70"/>
      <c r="AY831" s="149"/>
      <c r="AZ831" s="112"/>
      <c r="BA831" s="236"/>
      <c r="BB831" s="236"/>
      <c r="BC831" s="152"/>
      <c r="BD831" s="152"/>
      <c r="BE831" s="236"/>
      <c r="BF831" s="262"/>
      <c r="BG831" s="262"/>
    </row>
    <row r="832" spans="1:59" ht="12.75" customHeight="1" x14ac:dyDescent="0.15">
      <c r="A832" s="57"/>
      <c r="B832" s="57"/>
      <c r="C832" s="57"/>
      <c r="D832" s="103"/>
      <c r="E832" s="125"/>
      <c r="F832" s="125"/>
      <c r="G832" s="57"/>
      <c r="H832" s="57"/>
      <c r="I832" s="57"/>
      <c r="J832" s="57"/>
      <c r="K832" s="57"/>
      <c r="L832" s="57"/>
      <c r="M832" s="57"/>
      <c r="N832" s="57"/>
      <c r="O832" s="70"/>
      <c r="P832" s="57"/>
      <c r="Q832" s="24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220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149"/>
      <c r="AP832" s="149"/>
      <c r="AQ832" s="57"/>
      <c r="AR832" s="74"/>
      <c r="AS832" s="149"/>
      <c r="AT832" s="235"/>
      <c r="AU832" s="57"/>
      <c r="AV832" s="57"/>
      <c r="AW832" s="57"/>
      <c r="AX832" s="70"/>
      <c r="AY832" s="149"/>
      <c r="AZ832" s="112"/>
      <c r="BA832" s="236"/>
      <c r="BB832" s="236"/>
      <c r="BC832" s="152"/>
      <c r="BD832" s="152"/>
      <c r="BE832" s="236"/>
      <c r="BF832" s="262"/>
      <c r="BG832" s="262"/>
    </row>
    <row r="833" spans="1:59" ht="12.75" customHeight="1" x14ac:dyDescent="0.15">
      <c r="A833" s="57"/>
      <c r="B833" s="57"/>
      <c r="C833" s="57"/>
      <c r="D833" s="103"/>
      <c r="E833" s="125"/>
      <c r="F833" s="125"/>
      <c r="G833" s="57"/>
      <c r="H833" s="57"/>
      <c r="I833" s="57"/>
      <c r="J833" s="57"/>
      <c r="K833" s="57"/>
      <c r="L833" s="57"/>
      <c r="M833" s="57"/>
      <c r="N833" s="57"/>
      <c r="O833" s="70"/>
      <c r="P833" s="57"/>
      <c r="Q833" s="24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220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149"/>
      <c r="AP833" s="149"/>
      <c r="AQ833" s="57"/>
      <c r="AR833" s="74"/>
      <c r="AS833" s="149"/>
      <c r="AT833" s="235"/>
      <c r="AU833" s="57"/>
      <c r="AV833" s="57"/>
      <c r="AW833" s="57"/>
      <c r="AX833" s="70"/>
      <c r="AY833" s="149"/>
      <c r="AZ833" s="112"/>
      <c r="BA833" s="236"/>
      <c r="BB833" s="236"/>
      <c r="BC833" s="152"/>
      <c r="BD833" s="152"/>
      <c r="BE833" s="236"/>
      <c r="BF833" s="262"/>
      <c r="BG833" s="262"/>
    </row>
    <row r="834" spans="1:59" ht="12.75" customHeight="1" x14ac:dyDescent="0.15">
      <c r="A834" s="57"/>
      <c r="B834" s="57"/>
      <c r="C834" s="57"/>
      <c r="D834" s="103"/>
      <c r="E834" s="125"/>
      <c r="F834" s="125"/>
      <c r="G834" s="57"/>
      <c r="H834" s="57"/>
      <c r="I834" s="57"/>
      <c r="J834" s="57"/>
      <c r="K834" s="57"/>
      <c r="L834" s="57"/>
      <c r="M834" s="57"/>
      <c r="N834" s="57"/>
      <c r="O834" s="70"/>
      <c r="P834" s="57"/>
      <c r="Q834" s="24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220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149"/>
      <c r="AP834" s="149"/>
      <c r="AQ834" s="57"/>
      <c r="AR834" s="74"/>
      <c r="AS834" s="149"/>
      <c r="AT834" s="235"/>
      <c r="AU834" s="57"/>
      <c r="AV834" s="57"/>
      <c r="AW834" s="57"/>
      <c r="AX834" s="70"/>
      <c r="AY834" s="149"/>
      <c r="AZ834" s="112"/>
      <c r="BA834" s="236"/>
      <c r="BB834" s="236"/>
      <c r="BC834" s="152"/>
      <c r="BD834" s="152"/>
      <c r="BE834" s="236"/>
      <c r="BF834" s="262"/>
      <c r="BG834" s="262"/>
    </row>
    <row r="835" spans="1:59" ht="12.75" customHeight="1" x14ac:dyDescent="0.15">
      <c r="A835" s="57"/>
      <c r="B835" s="57"/>
      <c r="C835" s="57"/>
      <c r="D835" s="103"/>
      <c r="E835" s="125"/>
      <c r="F835" s="125"/>
      <c r="G835" s="57"/>
      <c r="H835" s="57"/>
      <c r="I835" s="57"/>
      <c r="J835" s="57"/>
      <c r="K835" s="57"/>
      <c r="L835" s="57"/>
      <c r="M835" s="57"/>
      <c r="N835" s="57"/>
      <c r="O835" s="70"/>
      <c r="P835" s="57"/>
      <c r="Q835" s="24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220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149"/>
      <c r="AP835" s="149"/>
      <c r="AQ835" s="57"/>
      <c r="AR835" s="74"/>
      <c r="AS835" s="149"/>
      <c r="AT835" s="235"/>
      <c r="AU835" s="57"/>
      <c r="AV835" s="57"/>
      <c r="AW835" s="57"/>
      <c r="AX835" s="70"/>
      <c r="AY835" s="149"/>
      <c r="AZ835" s="112"/>
      <c r="BA835" s="236"/>
      <c r="BB835" s="236"/>
      <c r="BC835" s="152"/>
      <c r="BD835" s="152"/>
      <c r="BE835" s="236"/>
      <c r="BF835" s="262"/>
      <c r="BG835" s="262"/>
    </row>
    <row r="836" spans="1:59" ht="12.75" customHeight="1" x14ac:dyDescent="0.15">
      <c r="A836" s="57"/>
      <c r="B836" s="57"/>
      <c r="C836" s="57"/>
      <c r="D836" s="103"/>
      <c r="E836" s="125"/>
      <c r="F836" s="125"/>
      <c r="G836" s="57"/>
      <c r="H836" s="57"/>
      <c r="I836" s="57"/>
      <c r="J836" s="57"/>
      <c r="K836" s="57"/>
      <c r="L836" s="57"/>
      <c r="M836" s="57"/>
      <c r="N836" s="57"/>
      <c r="O836" s="70"/>
      <c r="P836" s="57"/>
      <c r="Q836" s="24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220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149"/>
      <c r="AP836" s="149"/>
      <c r="AQ836" s="57"/>
      <c r="AR836" s="74"/>
      <c r="AS836" s="149"/>
      <c r="AT836" s="235"/>
      <c r="AU836" s="57"/>
      <c r="AV836" s="57"/>
      <c r="AW836" s="57"/>
      <c r="AX836" s="70"/>
      <c r="AY836" s="149"/>
      <c r="AZ836" s="112"/>
      <c r="BA836" s="236"/>
      <c r="BB836" s="236"/>
      <c r="BC836" s="152"/>
      <c r="BD836" s="152"/>
      <c r="BE836" s="236"/>
      <c r="BF836" s="262"/>
      <c r="BG836" s="262"/>
    </row>
    <row r="837" spans="1:59" ht="12.75" customHeight="1" x14ac:dyDescent="0.15">
      <c r="A837" s="57"/>
      <c r="B837" s="57"/>
      <c r="C837" s="57"/>
      <c r="D837" s="103"/>
      <c r="E837" s="125"/>
      <c r="F837" s="125"/>
      <c r="G837" s="57"/>
      <c r="H837" s="57"/>
      <c r="I837" s="57"/>
      <c r="J837" s="57"/>
      <c r="K837" s="57"/>
      <c r="L837" s="57"/>
      <c r="M837" s="57"/>
      <c r="N837" s="57"/>
      <c r="O837" s="70"/>
      <c r="P837" s="57"/>
      <c r="Q837" s="24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220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149"/>
      <c r="AP837" s="149"/>
      <c r="AQ837" s="57"/>
      <c r="AR837" s="74"/>
      <c r="AS837" s="149"/>
      <c r="AT837" s="235"/>
      <c r="AU837" s="57"/>
      <c r="AV837" s="57"/>
      <c r="AW837" s="57"/>
      <c r="AX837" s="70"/>
      <c r="AY837" s="149"/>
      <c r="AZ837" s="112"/>
      <c r="BA837" s="236"/>
      <c r="BB837" s="236"/>
      <c r="BC837" s="152"/>
      <c r="BD837" s="152"/>
      <c r="BE837" s="236"/>
      <c r="BF837" s="262"/>
      <c r="BG837" s="262"/>
    </row>
    <row r="838" spans="1:59" ht="12.75" customHeight="1" x14ac:dyDescent="0.15">
      <c r="A838" s="57"/>
      <c r="B838" s="57"/>
      <c r="C838" s="57"/>
      <c r="D838" s="103"/>
      <c r="E838" s="125"/>
      <c r="F838" s="125"/>
      <c r="G838" s="57"/>
      <c r="H838" s="57"/>
      <c r="I838" s="57"/>
      <c r="J838" s="57"/>
      <c r="K838" s="57"/>
      <c r="L838" s="57"/>
      <c r="M838" s="57"/>
      <c r="N838" s="57"/>
      <c r="O838" s="70"/>
      <c r="P838" s="57"/>
      <c r="Q838" s="24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220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149"/>
      <c r="AP838" s="149"/>
      <c r="AQ838" s="57"/>
      <c r="AR838" s="74"/>
      <c r="AS838" s="149"/>
      <c r="AT838" s="235"/>
      <c r="AU838" s="57"/>
      <c r="AV838" s="57"/>
      <c r="AW838" s="57"/>
      <c r="AX838" s="70"/>
      <c r="AY838" s="149"/>
      <c r="AZ838" s="112"/>
      <c r="BA838" s="236"/>
      <c r="BB838" s="236"/>
      <c r="BC838" s="152"/>
      <c r="BD838" s="152"/>
      <c r="BE838" s="236"/>
      <c r="BF838" s="262"/>
      <c r="BG838" s="262"/>
    </row>
    <row r="839" spans="1:59" ht="12.75" customHeight="1" x14ac:dyDescent="0.15">
      <c r="A839" s="57"/>
      <c r="B839" s="57"/>
      <c r="C839" s="57"/>
      <c r="D839" s="103"/>
      <c r="E839" s="125"/>
      <c r="F839" s="125"/>
      <c r="G839" s="57"/>
      <c r="H839" s="57"/>
      <c r="I839" s="57"/>
      <c r="J839" s="57"/>
      <c r="K839" s="57"/>
      <c r="L839" s="57"/>
      <c r="M839" s="57"/>
      <c r="N839" s="57"/>
      <c r="O839" s="70"/>
      <c r="P839" s="57"/>
      <c r="Q839" s="24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220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149"/>
      <c r="AP839" s="149"/>
      <c r="AQ839" s="57"/>
      <c r="AR839" s="74"/>
      <c r="AS839" s="149"/>
      <c r="AT839" s="235"/>
      <c r="AU839" s="57"/>
      <c r="AV839" s="57"/>
      <c r="AW839" s="57"/>
      <c r="AX839" s="70"/>
      <c r="AY839" s="149"/>
      <c r="AZ839" s="112"/>
      <c r="BA839" s="236"/>
      <c r="BB839" s="236"/>
      <c r="BC839" s="152"/>
      <c r="BD839" s="152"/>
      <c r="BE839" s="236"/>
      <c r="BF839" s="262"/>
      <c r="BG839" s="262"/>
    </row>
    <row r="840" spans="1:59" ht="12.75" customHeight="1" x14ac:dyDescent="0.15">
      <c r="A840" s="57"/>
      <c r="B840" s="57"/>
      <c r="C840" s="57"/>
      <c r="D840" s="103"/>
      <c r="E840" s="125"/>
      <c r="F840" s="125"/>
      <c r="G840" s="57"/>
      <c r="H840" s="57"/>
      <c r="I840" s="57"/>
      <c r="J840" s="57"/>
      <c r="K840" s="57"/>
      <c r="L840" s="57"/>
      <c r="M840" s="57"/>
      <c r="N840" s="57"/>
      <c r="O840" s="70"/>
      <c r="P840" s="57"/>
      <c r="Q840" s="24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220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149"/>
      <c r="AP840" s="149"/>
      <c r="AQ840" s="57"/>
      <c r="AR840" s="74"/>
      <c r="AS840" s="149"/>
      <c r="AT840" s="235"/>
      <c r="AU840" s="57"/>
      <c r="AV840" s="57"/>
      <c r="AW840" s="57"/>
      <c r="AX840" s="70"/>
      <c r="AY840" s="149"/>
      <c r="AZ840" s="112"/>
      <c r="BA840" s="236"/>
      <c r="BB840" s="236"/>
      <c r="BC840" s="152"/>
      <c r="BD840" s="152"/>
      <c r="BE840" s="236"/>
      <c r="BF840" s="262"/>
      <c r="BG840" s="262"/>
    </row>
    <row r="841" spans="1:59" ht="12.75" customHeight="1" x14ac:dyDescent="0.15">
      <c r="A841" s="57"/>
      <c r="B841" s="57"/>
      <c r="C841" s="57"/>
      <c r="D841" s="103"/>
      <c r="E841" s="125"/>
      <c r="F841" s="125"/>
      <c r="G841" s="57"/>
      <c r="H841" s="57"/>
      <c r="I841" s="57"/>
      <c r="J841" s="57"/>
      <c r="K841" s="57"/>
      <c r="L841" s="57"/>
      <c r="M841" s="57"/>
      <c r="N841" s="57"/>
      <c r="O841" s="70"/>
      <c r="P841" s="57"/>
      <c r="Q841" s="24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220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149"/>
      <c r="AP841" s="149"/>
      <c r="AQ841" s="57"/>
      <c r="AR841" s="74"/>
      <c r="AS841" s="149"/>
      <c r="AT841" s="235"/>
      <c r="AU841" s="57"/>
      <c r="AV841" s="57"/>
      <c r="AW841" s="57"/>
      <c r="AX841" s="70"/>
      <c r="AY841" s="149"/>
      <c r="AZ841" s="112"/>
      <c r="BA841" s="236"/>
      <c r="BB841" s="236"/>
      <c r="BC841" s="152"/>
      <c r="BD841" s="152"/>
      <c r="BE841" s="236"/>
      <c r="BF841" s="262"/>
      <c r="BG841" s="262"/>
    </row>
    <row r="842" spans="1:59" ht="12.75" customHeight="1" x14ac:dyDescent="0.15">
      <c r="A842" s="57"/>
      <c r="B842" s="57"/>
      <c r="C842" s="57"/>
      <c r="D842" s="103"/>
      <c r="E842" s="125"/>
      <c r="F842" s="125"/>
      <c r="G842" s="57"/>
      <c r="H842" s="57"/>
      <c r="I842" s="57"/>
      <c r="J842" s="57"/>
      <c r="K842" s="57"/>
      <c r="L842" s="57"/>
      <c r="M842" s="57"/>
      <c r="N842" s="57"/>
      <c r="O842" s="70"/>
      <c r="P842" s="57"/>
      <c r="Q842" s="24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220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149"/>
      <c r="AP842" s="149"/>
      <c r="AQ842" s="57"/>
      <c r="AR842" s="74"/>
      <c r="AS842" s="149"/>
      <c r="AT842" s="235"/>
      <c r="AU842" s="57"/>
      <c r="AV842" s="57"/>
      <c r="AW842" s="57"/>
      <c r="AX842" s="70"/>
      <c r="AY842" s="149"/>
      <c r="AZ842" s="112"/>
      <c r="BA842" s="236"/>
      <c r="BB842" s="236"/>
      <c r="BC842" s="152"/>
      <c r="BD842" s="152"/>
      <c r="BE842" s="236"/>
      <c r="BF842" s="262"/>
      <c r="BG842" s="262"/>
    </row>
    <row r="843" spans="1:59" ht="12.75" customHeight="1" x14ac:dyDescent="0.15">
      <c r="A843" s="57"/>
      <c r="B843" s="57"/>
      <c r="C843" s="57"/>
      <c r="D843" s="103"/>
      <c r="E843" s="125"/>
      <c r="F843" s="125"/>
      <c r="G843" s="57"/>
      <c r="H843" s="57"/>
      <c r="I843" s="57"/>
      <c r="J843" s="57"/>
      <c r="K843" s="57"/>
      <c r="L843" s="57"/>
      <c r="M843" s="57"/>
      <c r="N843" s="57"/>
      <c r="O843" s="70"/>
      <c r="P843" s="57"/>
      <c r="Q843" s="24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220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149"/>
      <c r="AP843" s="149"/>
      <c r="AQ843" s="57"/>
      <c r="AR843" s="74"/>
      <c r="AS843" s="149"/>
      <c r="AT843" s="235"/>
      <c r="AU843" s="57"/>
      <c r="AV843" s="57"/>
      <c r="AW843" s="57"/>
      <c r="AX843" s="70"/>
      <c r="AY843" s="149"/>
      <c r="AZ843" s="112"/>
      <c r="BA843" s="236"/>
      <c r="BB843" s="236"/>
      <c r="BC843" s="152"/>
      <c r="BD843" s="152"/>
      <c r="BE843" s="236"/>
      <c r="BF843" s="262"/>
      <c r="BG843" s="262"/>
    </row>
    <row r="844" spans="1:59" ht="12.75" customHeight="1" x14ac:dyDescent="0.15">
      <c r="A844" s="57"/>
      <c r="B844" s="57"/>
      <c r="C844" s="57"/>
      <c r="D844" s="103"/>
      <c r="E844" s="125"/>
      <c r="F844" s="125"/>
      <c r="G844" s="57"/>
      <c r="H844" s="57"/>
      <c r="I844" s="57"/>
      <c r="J844" s="57"/>
      <c r="K844" s="57"/>
      <c r="L844" s="57"/>
      <c r="M844" s="57"/>
      <c r="N844" s="57"/>
      <c r="O844" s="70"/>
      <c r="P844" s="57"/>
      <c r="Q844" s="24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220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149"/>
      <c r="AP844" s="149"/>
      <c r="AQ844" s="57"/>
      <c r="AR844" s="74"/>
      <c r="AS844" s="149"/>
      <c r="AT844" s="235"/>
      <c r="AU844" s="57"/>
      <c r="AV844" s="57"/>
      <c r="AW844" s="57"/>
      <c r="AX844" s="70"/>
      <c r="AY844" s="149"/>
      <c r="AZ844" s="112"/>
      <c r="BA844" s="236"/>
      <c r="BB844" s="236"/>
      <c r="BC844" s="152"/>
      <c r="BD844" s="152"/>
      <c r="BE844" s="236"/>
      <c r="BF844" s="262"/>
      <c r="BG844" s="262"/>
    </row>
    <row r="845" spans="1:59" ht="12.75" customHeight="1" x14ac:dyDescent="0.15">
      <c r="A845" s="57"/>
      <c r="B845" s="57"/>
      <c r="C845" s="57"/>
      <c r="D845" s="103"/>
      <c r="E845" s="125"/>
      <c r="F845" s="125"/>
      <c r="G845" s="57"/>
      <c r="H845" s="57"/>
      <c r="I845" s="57"/>
      <c r="J845" s="57"/>
      <c r="K845" s="57"/>
      <c r="L845" s="57"/>
      <c r="M845" s="57"/>
      <c r="N845" s="57"/>
      <c r="O845" s="70"/>
      <c r="P845" s="57"/>
      <c r="Q845" s="24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220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149"/>
      <c r="AP845" s="149"/>
      <c r="AQ845" s="57"/>
      <c r="AR845" s="74"/>
      <c r="AS845" s="149"/>
      <c r="AT845" s="235"/>
      <c r="AU845" s="57"/>
      <c r="AV845" s="57"/>
      <c r="AW845" s="57"/>
      <c r="AX845" s="70"/>
      <c r="AY845" s="149"/>
      <c r="AZ845" s="112"/>
      <c r="BA845" s="236"/>
      <c r="BB845" s="236"/>
      <c r="BC845" s="152"/>
      <c r="BD845" s="152"/>
      <c r="BE845" s="236"/>
      <c r="BF845" s="262"/>
      <c r="BG845" s="262"/>
    </row>
    <row r="846" spans="1:59" ht="12.75" customHeight="1" x14ac:dyDescent="0.15">
      <c r="A846" s="57"/>
      <c r="B846" s="57"/>
      <c r="C846" s="57"/>
      <c r="D846" s="103"/>
      <c r="E846" s="125"/>
      <c r="F846" s="125"/>
      <c r="G846" s="57"/>
      <c r="H846" s="57"/>
      <c r="I846" s="57"/>
      <c r="J846" s="57"/>
      <c r="K846" s="57"/>
      <c r="L846" s="57"/>
      <c r="M846" s="57"/>
      <c r="N846" s="57"/>
      <c r="O846" s="70"/>
      <c r="P846" s="57"/>
      <c r="Q846" s="24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220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149"/>
      <c r="AP846" s="149"/>
      <c r="AQ846" s="57"/>
      <c r="AR846" s="74"/>
      <c r="AS846" s="149"/>
      <c r="AT846" s="235"/>
      <c r="AU846" s="57"/>
      <c r="AV846" s="57"/>
      <c r="AW846" s="57"/>
      <c r="AX846" s="70"/>
      <c r="AY846" s="149"/>
      <c r="AZ846" s="112"/>
      <c r="BA846" s="236"/>
      <c r="BB846" s="236"/>
      <c r="BC846" s="152"/>
      <c r="BD846" s="152"/>
      <c r="BE846" s="236"/>
      <c r="BF846" s="262"/>
      <c r="BG846" s="262"/>
    </row>
    <row r="847" spans="1:59" ht="12.75" customHeight="1" x14ac:dyDescent="0.15">
      <c r="A847" s="57"/>
      <c r="B847" s="57"/>
      <c r="C847" s="57"/>
      <c r="D847" s="103"/>
      <c r="E847" s="125"/>
      <c r="F847" s="125"/>
      <c r="G847" s="57"/>
      <c r="H847" s="57"/>
      <c r="I847" s="57"/>
      <c r="J847" s="57"/>
      <c r="K847" s="57"/>
      <c r="L847" s="57"/>
      <c r="M847" s="57"/>
      <c r="N847" s="57"/>
      <c r="O847" s="70"/>
      <c r="P847" s="57"/>
      <c r="Q847" s="24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220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149"/>
      <c r="AP847" s="149"/>
      <c r="AQ847" s="57"/>
      <c r="AR847" s="74"/>
      <c r="AS847" s="149"/>
      <c r="AT847" s="235"/>
      <c r="AU847" s="57"/>
      <c r="AV847" s="57"/>
      <c r="AW847" s="57"/>
      <c r="AX847" s="70"/>
      <c r="AY847" s="149"/>
      <c r="AZ847" s="112"/>
      <c r="BA847" s="236"/>
      <c r="BB847" s="236"/>
      <c r="BC847" s="152"/>
      <c r="BD847" s="152"/>
      <c r="BE847" s="236"/>
      <c r="BF847" s="262"/>
      <c r="BG847" s="262"/>
    </row>
    <row r="848" spans="1:59" ht="12.75" customHeight="1" x14ac:dyDescent="0.15">
      <c r="A848" s="57"/>
      <c r="B848" s="57"/>
      <c r="C848" s="57"/>
      <c r="D848" s="103"/>
      <c r="E848" s="125"/>
      <c r="F848" s="125"/>
      <c r="G848" s="57"/>
      <c r="H848" s="57"/>
      <c r="I848" s="57"/>
      <c r="J848" s="57"/>
      <c r="K848" s="57"/>
      <c r="L848" s="57"/>
      <c r="M848" s="57"/>
      <c r="N848" s="57"/>
      <c r="O848" s="70"/>
      <c r="P848" s="57"/>
      <c r="Q848" s="24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220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149"/>
      <c r="AP848" s="149"/>
      <c r="AQ848" s="57"/>
      <c r="AR848" s="74"/>
      <c r="AS848" s="149"/>
      <c r="AT848" s="235"/>
      <c r="AU848" s="57"/>
      <c r="AV848" s="57"/>
      <c r="AW848" s="57"/>
      <c r="AX848" s="70"/>
      <c r="AY848" s="149"/>
      <c r="AZ848" s="112"/>
      <c r="BA848" s="236"/>
      <c r="BB848" s="236"/>
      <c r="BC848" s="152"/>
      <c r="BD848" s="152"/>
      <c r="BE848" s="236"/>
      <c r="BF848" s="262"/>
      <c r="BG848" s="262"/>
    </row>
    <row r="849" spans="1:59" ht="12.75" customHeight="1" x14ac:dyDescent="0.15">
      <c r="A849" s="57"/>
      <c r="B849" s="57"/>
      <c r="C849" s="57"/>
      <c r="D849" s="103"/>
      <c r="E849" s="125"/>
      <c r="F849" s="125"/>
      <c r="G849" s="57"/>
      <c r="H849" s="57"/>
      <c r="I849" s="57"/>
      <c r="J849" s="57"/>
      <c r="K849" s="57"/>
      <c r="L849" s="57"/>
      <c r="M849" s="57"/>
      <c r="N849" s="57"/>
      <c r="O849" s="70"/>
      <c r="P849" s="57"/>
      <c r="Q849" s="24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220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149"/>
      <c r="AP849" s="149"/>
      <c r="AQ849" s="57"/>
      <c r="AR849" s="74"/>
      <c r="AS849" s="149"/>
      <c r="AT849" s="235"/>
      <c r="AU849" s="57"/>
      <c r="AV849" s="57"/>
      <c r="AW849" s="57"/>
      <c r="AX849" s="70"/>
      <c r="AY849" s="149"/>
      <c r="AZ849" s="112"/>
      <c r="BA849" s="236"/>
      <c r="BB849" s="236"/>
      <c r="BC849" s="152"/>
      <c r="BD849" s="152"/>
      <c r="BE849" s="236"/>
      <c r="BF849" s="262"/>
      <c r="BG849" s="262"/>
    </row>
    <row r="850" spans="1:59" ht="12.75" customHeight="1" x14ac:dyDescent="0.15">
      <c r="A850" s="57"/>
      <c r="B850" s="57"/>
      <c r="C850" s="57"/>
      <c r="D850" s="103"/>
      <c r="E850" s="125"/>
      <c r="F850" s="125"/>
      <c r="G850" s="57"/>
      <c r="H850" s="57"/>
      <c r="I850" s="57"/>
      <c r="J850" s="57"/>
      <c r="K850" s="57"/>
      <c r="L850" s="57"/>
      <c r="M850" s="57"/>
      <c r="N850" s="57"/>
      <c r="O850" s="70"/>
      <c r="P850" s="57"/>
      <c r="Q850" s="24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220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149"/>
      <c r="AP850" s="149"/>
      <c r="AQ850" s="57"/>
      <c r="AR850" s="74"/>
      <c r="AS850" s="149"/>
      <c r="AT850" s="235"/>
      <c r="AU850" s="57"/>
      <c r="AV850" s="57"/>
      <c r="AW850" s="57"/>
      <c r="AX850" s="70"/>
      <c r="AY850" s="149"/>
      <c r="AZ850" s="112"/>
      <c r="BA850" s="236"/>
      <c r="BB850" s="236"/>
      <c r="BC850" s="152"/>
      <c r="BD850" s="152"/>
      <c r="BE850" s="236"/>
      <c r="BF850" s="262"/>
      <c r="BG850" s="262"/>
    </row>
    <row r="851" spans="1:59" ht="12.75" customHeight="1" x14ac:dyDescent="0.15">
      <c r="A851" s="57"/>
      <c r="B851" s="57"/>
      <c r="C851" s="57"/>
      <c r="D851" s="103"/>
      <c r="E851" s="125"/>
      <c r="F851" s="125"/>
      <c r="G851" s="57"/>
      <c r="H851" s="57"/>
      <c r="I851" s="57"/>
      <c r="J851" s="57"/>
      <c r="K851" s="57"/>
      <c r="L851" s="57"/>
      <c r="M851" s="57"/>
      <c r="N851" s="57"/>
      <c r="O851" s="70"/>
      <c r="P851" s="57"/>
      <c r="Q851" s="24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220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149"/>
      <c r="AP851" s="149"/>
      <c r="AQ851" s="57"/>
      <c r="AR851" s="74"/>
      <c r="AS851" s="149"/>
      <c r="AT851" s="235"/>
      <c r="AU851" s="57"/>
      <c r="AV851" s="57"/>
      <c r="AW851" s="57"/>
      <c r="AX851" s="70"/>
      <c r="AY851" s="149"/>
      <c r="AZ851" s="112"/>
      <c r="BA851" s="236"/>
      <c r="BB851" s="236"/>
      <c r="BC851" s="152"/>
      <c r="BD851" s="152"/>
      <c r="BE851" s="236"/>
      <c r="BF851" s="262"/>
      <c r="BG851" s="262"/>
    </row>
    <row r="852" spans="1:59" ht="12.75" customHeight="1" x14ac:dyDescent="0.15">
      <c r="A852" s="57"/>
      <c r="B852" s="57"/>
      <c r="C852" s="57"/>
      <c r="D852" s="103"/>
      <c r="E852" s="125"/>
      <c r="F852" s="125"/>
      <c r="G852" s="57"/>
      <c r="H852" s="57"/>
      <c r="I852" s="57"/>
      <c r="J852" s="57"/>
      <c r="K852" s="57"/>
      <c r="L852" s="57"/>
      <c r="M852" s="57"/>
      <c r="N852" s="57"/>
      <c r="O852" s="70"/>
      <c r="P852" s="57"/>
      <c r="Q852" s="24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220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149"/>
      <c r="AP852" s="149"/>
      <c r="AQ852" s="57"/>
      <c r="AR852" s="74"/>
      <c r="AS852" s="149"/>
      <c r="AT852" s="235"/>
      <c r="AU852" s="57"/>
      <c r="AV852" s="57"/>
      <c r="AW852" s="57"/>
      <c r="AX852" s="70"/>
      <c r="AY852" s="149"/>
      <c r="AZ852" s="112"/>
      <c r="BA852" s="236"/>
      <c r="BB852" s="236"/>
      <c r="BC852" s="152"/>
      <c r="BD852" s="152"/>
      <c r="BE852" s="236"/>
      <c r="BF852" s="262"/>
      <c r="BG852" s="262"/>
    </row>
    <row r="853" spans="1:59" ht="12.75" customHeight="1" x14ac:dyDescent="0.15">
      <c r="A853" s="57"/>
      <c r="B853" s="57"/>
      <c r="C853" s="57"/>
      <c r="D853" s="103"/>
      <c r="E853" s="125"/>
      <c r="F853" s="125"/>
      <c r="G853" s="57"/>
      <c r="H853" s="57"/>
      <c r="I853" s="57"/>
      <c r="J853" s="57"/>
      <c r="K853" s="57"/>
      <c r="L853" s="57"/>
      <c r="M853" s="57"/>
      <c r="N853" s="57"/>
      <c r="O853" s="70"/>
      <c r="P853" s="57"/>
      <c r="Q853" s="24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220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149"/>
      <c r="AP853" s="149"/>
      <c r="AQ853" s="57"/>
      <c r="AR853" s="74"/>
      <c r="AS853" s="149"/>
      <c r="AT853" s="235"/>
      <c r="AU853" s="57"/>
      <c r="AV853" s="57"/>
      <c r="AW853" s="57"/>
      <c r="AX853" s="70"/>
      <c r="AY853" s="149"/>
      <c r="AZ853" s="112"/>
      <c r="BA853" s="236"/>
      <c r="BB853" s="236"/>
      <c r="BC853" s="152"/>
      <c r="BD853" s="152"/>
      <c r="BE853" s="236"/>
      <c r="BF853" s="262"/>
      <c r="BG853" s="262"/>
    </row>
    <row r="854" spans="1:59" ht="12.75" customHeight="1" x14ac:dyDescent="0.15">
      <c r="A854" s="57"/>
      <c r="B854" s="57"/>
      <c r="C854" s="57"/>
      <c r="D854" s="103"/>
      <c r="E854" s="125"/>
      <c r="F854" s="125"/>
      <c r="G854" s="57"/>
      <c r="H854" s="57"/>
      <c r="I854" s="57"/>
      <c r="J854" s="57"/>
      <c r="K854" s="57"/>
      <c r="L854" s="57"/>
      <c r="M854" s="57"/>
      <c r="N854" s="57"/>
      <c r="O854" s="70"/>
      <c r="P854" s="57"/>
      <c r="Q854" s="24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220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149"/>
      <c r="AP854" s="149"/>
      <c r="AQ854" s="57"/>
      <c r="AR854" s="74"/>
      <c r="AS854" s="149"/>
      <c r="AT854" s="235"/>
      <c r="AU854" s="57"/>
      <c r="AV854" s="57"/>
      <c r="AW854" s="57"/>
      <c r="AX854" s="70"/>
      <c r="AY854" s="149"/>
      <c r="AZ854" s="112"/>
      <c r="BA854" s="236"/>
      <c r="BB854" s="236"/>
      <c r="BC854" s="152"/>
      <c r="BD854" s="152"/>
      <c r="BE854" s="236"/>
      <c r="BF854" s="262"/>
      <c r="BG854" s="262"/>
    </row>
    <row r="855" spans="1:59" ht="12.75" customHeight="1" x14ac:dyDescent="0.15">
      <c r="A855" s="57"/>
      <c r="B855" s="57"/>
      <c r="C855" s="57"/>
      <c r="D855" s="103"/>
      <c r="E855" s="125"/>
      <c r="F855" s="125"/>
      <c r="G855" s="57"/>
      <c r="H855" s="57"/>
      <c r="I855" s="57"/>
      <c r="J855" s="57"/>
      <c r="K855" s="57"/>
      <c r="L855" s="57"/>
      <c r="M855" s="57"/>
      <c r="N855" s="57"/>
      <c r="O855" s="70"/>
      <c r="P855" s="57"/>
      <c r="Q855" s="24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220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149"/>
      <c r="AP855" s="149"/>
      <c r="AQ855" s="57"/>
      <c r="AR855" s="74"/>
      <c r="AS855" s="149"/>
      <c r="AT855" s="235"/>
      <c r="AU855" s="57"/>
      <c r="AV855" s="57"/>
      <c r="AW855" s="57"/>
      <c r="AX855" s="70"/>
      <c r="AY855" s="149"/>
      <c r="AZ855" s="112"/>
      <c r="BA855" s="236"/>
      <c r="BB855" s="236"/>
      <c r="BC855" s="152"/>
      <c r="BD855" s="152"/>
      <c r="BE855" s="236"/>
      <c r="BF855" s="262"/>
      <c r="BG855" s="262"/>
    </row>
    <row r="856" spans="1:59" ht="12.75" customHeight="1" x14ac:dyDescent="0.15">
      <c r="A856" s="57"/>
      <c r="B856" s="57"/>
      <c r="C856" s="57"/>
      <c r="D856" s="103"/>
      <c r="E856" s="125"/>
      <c r="F856" s="125"/>
      <c r="G856" s="57"/>
      <c r="H856" s="57"/>
      <c r="I856" s="57"/>
      <c r="J856" s="57"/>
      <c r="K856" s="57"/>
      <c r="L856" s="57"/>
      <c r="M856" s="57"/>
      <c r="N856" s="57"/>
      <c r="O856" s="70"/>
      <c r="P856" s="57"/>
      <c r="Q856" s="24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220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149"/>
      <c r="AP856" s="149"/>
      <c r="AQ856" s="57"/>
      <c r="AR856" s="74"/>
      <c r="AS856" s="149"/>
      <c r="AT856" s="235"/>
      <c r="AU856" s="57"/>
      <c r="AV856" s="57"/>
      <c r="AW856" s="57"/>
      <c r="AX856" s="70"/>
      <c r="AY856" s="149"/>
      <c r="AZ856" s="112"/>
      <c r="BA856" s="236"/>
      <c r="BB856" s="236"/>
      <c r="BC856" s="152"/>
      <c r="BD856" s="152"/>
      <c r="BE856" s="236"/>
      <c r="BF856" s="262"/>
      <c r="BG856" s="262"/>
    </row>
    <row r="857" spans="1:59" ht="12.75" customHeight="1" x14ac:dyDescent="0.15">
      <c r="A857" s="57"/>
      <c r="B857" s="57"/>
      <c r="C857" s="57"/>
      <c r="D857" s="103"/>
      <c r="E857" s="125"/>
      <c r="F857" s="125"/>
      <c r="G857" s="57"/>
      <c r="H857" s="57"/>
      <c r="I857" s="57"/>
      <c r="J857" s="57"/>
      <c r="K857" s="57"/>
      <c r="L857" s="57"/>
      <c r="M857" s="57"/>
      <c r="N857" s="57"/>
      <c r="O857" s="70"/>
      <c r="P857" s="57"/>
      <c r="Q857" s="24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220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149"/>
      <c r="AP857" s="149"/>
      <c r="AQ857" s="57"/>
      <c r="AR857" s="74"/>
      <c r="AS857" s="149"/>
      <c r="AT857" s="235"/>
      <c r="AU857" s="57"/>
      <c r="AV857" s="57"/>
      <c r="AW857" s="57"/>
      <c r="AX857" s="70"/>
      <c r="AY857" s="149"/>
      <c r="AZ857" s="112"/>
      <c r="BA857" s="236"/>
      <c r="BB857" s="236"/>
      <c r="BC857" s="152"/>
      <c r="BD857" s="152"/>
      <c r="BE857" s="236"/>
      <c r="BF857" s="262"/>
      <c r="BG857" s="262"/>
    </row>
    <row r="858" spans="1:59" ht="12.75" customHeight="1" x14ac:dyDescent="0.15">
      <c r="A858" s="57"/>
      <c r="B858" s="57"/>
      <c r="C858" s="57"/>
      <c r="D858" s="103"/>
      <c r="E858" s="125"/>
      <c r="F858" s="125"/>
      <c r="G858" s="57"/>
      <c r="H858" s="57"/>
      <c r="I858" s="57"/>
      <c r="J858" s="57"/>
      <c r="K858" s="57"/>
      <c r="L858" s="57"/>
      <c r="M858" s="57"/>
      <c r="N858" s="57"/>
      <c r="O858" s="70"/>
      <c r="P858" s="57"/>
      <c r="Q858" s="24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220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149"/>
      <c r="AP858" s="149"/>
      <c r="AQ858" s="57"/>
      <c r="AR858" s="74"/>
      <c r="AS858" s="149"/>
      <c r="AT858" s="235"/>
      <c r="AU858" s="57"/>
      <c r="AV858" s="57"/>
      <c r="AW858" s="57"/>
      <c r="AX858" s="70"/>
      <c r="AY858" s="149"/>
      <c r="AZ858" s="112"/>
      <c r="BA858" s="236"/>
      <c r="BB858" s="236"/>
      <c r="BC858" s="152"/>
      <c r="BD858" s="152"/>
      <c r="BE858" s="236"/>
      <c r="BF858" s="262"/>
      <c r="BG858" s="262"/>
    </row>
    <row r="859" spans="1:59" ht="12.75" customHeight="1" x14ac:dyDescent="0.15">
      <c r="A859" s="57"/>
      <c r="B859" s="57"/>
      <c r="C859" s="57"/>
      <c r="D859" s="103"/>
      <c r="E859" s="125"/>
      <c r="F859" s="125"/>
      <c r="G859" s="57"/>
      <c r="H859" s="57"/>
      <c r="I859" s="57"/>
      <c r="J859" s="57"/>
      <c r="K859" s="57"/>
      <c r="L859" s="57"/>
      <c r="M859" s="57"/>
      <c r="N859" s="57"/>
      <c r="O859" s="70"/>
      <c r="P859" s="57"/>
      <c r="Q859" s="24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220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149"/>
      <c r="AP859" s="149"/>
      <c r="AQ859" s="57"/>
      <c r="AR859" s="74"/>
      <c r="AS859" s="149"/>
      <c r="AT859" s="235"/>
      <c r="AU859" s="57"/>
      <c r="AV859" s="57"/>
      <c r="AW859" s="57"/>
      <c r="AX859" s="70"/>
      <c r="AY859" s="149"/>
      <c r="AZ859" s="112"/>
      <c r="BA859" s="236"/>
      <c r="BB859" s="236"/>
      <c r="BC859" s="152"/>
      <c r="BD859" s="152"/>
      <c r="BE859" s="236"/>
      <c r="BF859" s="262"/>
      <c r="BG859" s="262"/>
    </row>
    <row r="860" spans="1:59" ht="12.75" customHeight="1" x14ac:dyDescent="0.15">
      <c r="A860" s="57"/>
      <c r="B860" s="57"/>
      <c r="C860" s="57"/>
      <c r="D860" s="103"/>
      <c r="E860" s="125"/>
      <c r="F860" s="125"/>
      <c r="G860" s="57"/>
      <c r="H860" s="57"/>
      <c r="I860" s="57"/>
      <c r="J860" s="57"/>
      <c r="K860" s="57"/>
      <c r="L860" s="57"/>
      <c r="M860" s="57"/>
      <c r="N860" s="57"/>
      <c r="O860" s="70"/>
      <c r="P860" s="57"/>
      <c r="Q860" s="24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220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149"/>
      <c r="AP860" s="149"/>
      <c r="AQ860" s="57"/>
      <c r="AR860" s="74"/>
      <c r="AS860" s="149"/>
      <c r="AT860" s="235"/>
      <c r="AU860" s="57"/>
      <c r="AV860" s="57"/>
      <c r="AW860" s="57"/>
      <c r="AX860" s="70"/>
      <c r="AY860" s="149"/>
      <c r="AZ860" s="112"/>
      <c r="BA860" s="236"/>
      <c r="BB860" s="236"/>
      <c r="BC860" s="152"/>
      <c r="BD860" s="152"/>
      <c r="BE860" s="236"/>
      <c r="BF860" s="262"/>
      <c r="BG860" s="262"/>
    </row>
    <row r="861" spans="1:59" ht="12.75" customHeight="1" x14ac:dyDescent="0.15">
      <c r="A861" s="57"/>
      <c r="B861" s="57"/>
      <c r="C861" s="57"/>
      <c r="D861" s="103"/>
      <c r="E861" s="125"/>
      <c r="F861" s="125"/>
      <c r="G861" s="57"/>
      <c r="H861" s="57"/>
      <c r="I861" s="57"/>
      <c r="J861" s="57"/>
      <c r="K861" s="57"/>
      <c r="L861" s="57"/>
      <c r="M861" s="57"/>
      <c r="N861" s="57"/>
      <c r="O861" s="70"/>
      <c r="P861" s="57"/>
      <c r="Q861" s="24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220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149"/>
      <c r="AP861" s="149"/>
      <c r="AQ861" s="57"/>
      <c r="AR861" s="74"/>
      <c r="AS861" s="149"/>
      <c r="AT861" s="235"/>
      <c r="AU861" s="57"/>
      <c r="AV861" s="57"/>
      <c r="AW861" s="57"/>
      <c r="AX861" s="70"/>
      <c r="AY861" s="149"/>
      <c r="AZ861" s="112"/>
      <c r="BA861" s="236"/>
      <c r="BB861" s="236"/>
      <c r="BC861" s="152"/>
      <c r="BD861" s="152"/>
      <c r="BE861" s="236"/>
      <c r="BF861" s="262"/>
      <c r="BG861" s="262"/>
    </row>
    <row r="862" spans="1:59" ht="12.75" customHeight="1" x14ac:dyDescent="0.15">
      <c r="A862" s="57"/>
      <c r="B862" s="57"/>
      <c r="C862" s="57"/>
      <c r="D862" s="103"/>
      <c r="E862" s="125"/>
      <c r="F862" s="125"/>
      <c r="G862" s="57"/>
      <c r="H862" s="57"/>
      <c r="I862" s="57"/>
      <c r="J862" s="57"/>
      <c r="K862" s="57"/>
      <c r="L862" s="57"/>
      <c r="M862" s="57"/>
      <c r="N862" s="57"/>
      <c r="O862" s="70"/>
      <c r="P862" s="57"/>
      <c r="Q862" s="24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220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149"/>
      <c r="AP862" s="149"/>
      <c r="AQ862" s="57"/>
      <c r="AR862" s="74"/>
      <c r="AS862" s="149"/>
      <c r="AT862" s="235"/>
      <c r="AU862" s="57"/>
      <c r="AV862" s="57"/>
      <c r="AW862" s="57"/>
      <c r="AX862" s="70"/>
      <c r="AY862" s="149"/>
      <c r="AZ862" s="112"/>
      <c r="BA862" s="236"/>
      <c r="BB862" s="236"/>
      <c r="BC862" s="152"/>
      <c r="BD862" s="152"/>
      <c r="BE862" s="236"/>
      <c r="BF862" s="262"/>
      <c r="BG862" s="262"/>
    </row>
    <row r="863" spans="1:59" ht="12.75" customHeight="1" x14ac:dyDescent="0.15">
      <c r="A863" s="57"/>
      <c r="B863" s="57"/>
      <c r="C863" s="57"/>
      <c r="D863" s="103"/>
      <c r="E863" s="125"/>
      <c r="F863" s="125"/>
      <c r="G863" s="57"/>
      <c r="H863" s="57"/>
      <c r="I863" s="57"/>
      <c r="J863" s="57"/>
      <c r="K863" s="57"/>
      <c r="L863" s="57"/>
      <c r="M863" s="57"/>
      <c r="N863" s="57"/>
      <c r="O863" s="70"/>
      <c r="P863" s="57"/>
      <c r="Q863" s="24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220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149"/>
      <c r="AP863" s="149"/>
      <c r="AQ863" s="57"/>
      <c r="AR863" s="74"/>
      <c r="AS863" s="149"/>
      <c r="AT863" s="235"/>
      <c r="AU863" s="57"/>
      <c r="AV863" s="57"/>
      <c r="AW863" s="57"/>
      <c r="AX863" s="70"/>
      <c r="AY863" s="149"/>
      <c r="AZ863" s="112"/>
      <c r="BA863" s="236"/>
      <c r="BB863" s="236"/>
      <c r="BC863" s="152"/>
      <c r="BD863" s="152"/>
      <c r="BE863" s="236"/>
      <c r="BF863" s="262"/>
      <c r="BG863" s="262"/>
    </row>
    <row r="864" spans="1:59" ht="12.75" customHeight="1" x14ac:dyDescent="0.15">
      <c r="A864" s="57"/>
      <c r="B864" s="57"/>
      <c r="C864" s="57"/>
      <c r="D864" s="103"/>
      <c r="E864" s="125"/>
      <c r="F864" s="125"/>
      <c r="G864" s="57"/>
      <c r="H864" s="57"/>
      <c r="I864" s="57"/>
      <c r="J864" s="57"/>
      <c r="K864" s="57"/>
      <c r="L864" s="57"/>
      <c r="M864" s="57"/>
      <c r="N864" s="57"/>
      <c r="O864" s="70"/>
      <c r="P864" s="57"/>
      <c r="Q864" s="24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220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149"/>
      <c r="AP864" s="149"/>
      <c r="AQ864" s="57"/>
      <c r="AR864" s="74"/>
      <c r="AS864" s="149"/>
      <c r="AT864" s="235"/>
      <c r="AU864" s="57"/>
      <c r="AV864" s="57"/>
      <c r="AW864" s="57"/>
      <c r="AX864" s="70"/>
      <c r="AY864" s="149"/>
      <c r="AZ864" s="112"/>
      <c r="BA864" s="236"/>
      <c r="BB864" s="236"/>
      <c r="BC864" s="152"/>
      <c r="BD864" s="152"/>
      <c r="BE864" s="236"/>
      <c r="BF864" s="262"/>
      <c r="BG864" s="262"/>
    </row>
    <row r="865" spans="1:59" ht="12.75" customHeight="1" x14ac:dyDescent="0.15">
      <c r="A865" s="57"/>
      <c r="B865" s="57"/>
      <c r="C865" s="57"/>
      <c r="D865" s="103"/>
      <c r="E865" s="125"/>
      <c r="F865" s="125"/>
      <c r="G865" s="57"/>
      <c r="H865" s="57"/>
      <c r="I865" s="57"/>
      <c r="J865" s="57"/>
      <c r="K865" s="57"/>
      <c r="L865" s="57"/>
      <c r="M865" s="57"/>
      <c r="N865" s="57"/>
      <c r="O865" s="70"/>
      <c r="P865" s="57"/>
      <c r="Q865" s="24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220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149"/>
      <c r="AP865" s="149"/>
      <c r="AQ865" s="57"/>
      <c r="AR865" s="74"/>
      <c r="AS865" s="149"/>
      <c r="AT865" s="235"/>
      <c r="AU865" s="57"/>
      <c r="AV865" s="57"/>
      <c r="AW865" s="57"/>
      <c r="AX865" s="70"/>
      <c r="AY865" s="149"/>
      <c r="AZ865" s="112"/>
      <c r="BA865" s="236"/>
      <c r="BB865" s="236"/>
      <c r="BC865" s="152"/>
      <c r="BD865" s="152"/>
      <c r="BE865" s="236"/>
      <c r="BF865" s="262"/>
      <c r="BG865" s="262"/>
    </row>
    <row r="866" spans="1:59" ht="12.75" customHeight="1" x14ac:dyDescent="0.15">
      <c r="A866" s="57"/>
      <c r="B866" s="57"/>
      <c r="C866" s="57"/>
      <c r="D866" s="103"/>
      <c r="E866" s="125"/>
      <c r="F866" s="125"/>
      <c r="G866" s="57"/>
      <c r="H866" s="57"/>
      <c r="I866" s="57"/>
      <c r="J866" s="57"/>
      <c r="K866" s="57"/>
      <c r="L866" s="57"/>
      <c r="M866" s="57"/>
      <c r="N866" s="57"/>
      <c r="O866" s="70"/>
      <c r="P866" s="57"/>
      <c r="Q866" s="24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220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149"/>
      <c r="AP866" s="149"/>
      <c r="AQ866" s="57"/>
      <c r="AR866" s="74"/>
      <c r="AS866" s="149"/>
      <c r="AT866" s="235"/>
      <c r="AU866" s="57"/>
      <c r="AV866" s="57"/>
      <c r="AW866" s="57"/>
      <c r="AX866" s="70"/>
      <c r="AY866" s="149"/>
      <c r="AZ866" s="112"/>
      <c r="BA866" s="236"/>
      <c r="BB866" s="236"/>
      <c r="BC866" s="152"/>
      <c r="BD866" s="152"/>
      <c r="BE866" s="236"/>
      <c r="BF866" s="262"/>
      <c r="BG866" s="262"/>
    </row>
    <row r="867" spans="1:59" ht="12.75" customHeight="1" x14ac:dyDescent="0.15">
      <c r="A867" s="57"/>
      <c r="B867" s="57"/>
      <c r="C867" s="57"/>
      <c r="D867" s="103"/>
      <c r="E867" s="125"/>
      <c r="F867" s="125"/>
      <c r="G867" s="57"/>
      <c r="H867" s="57"/>
      <c r="I867" s="57"/>
      <c r="J867" s="57"/>
      <c r="K867" s="57"/>
      <c r="L867" s="57"/>
      <c r="M867" s="57"/>
      <c r="N867" s="57"/>
      <c r="O867" s="70"/>
      <c r="P867" s="57"/>
      <c r="Q867" s="24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220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149"/>
      <c r="AP867" s="149"/>
      <c r="AQ867" s="57"/>
      <c r="AR867" s="74"/>
      <c r="AS867" s="149"/>
      <c r="AT867" s="235"/>
      <c r="AU867" s="57"/>
      <c r="AV867" s="57"/>
      <c r="AW867" s="57"/>
      <c r="AX867" s="70"/>
      <c r="AY867" s="149"/>
      <c r="AZ867" s="112"/>
      <c r="BA867" s="236"/>
      <c r="BB867" s="236"/>
      <c r="BC867" s="152"/>
      <c r="BD867" s="152"/>
      <c r="BE867" s="236"/>
      <c r="BF867" s="262"/>
      <c r="BG867" s="262"/>
    </row>
    <row r="868" spans="1:59" ht="12.75" customHeight="1" x14ac:dyDescent="0.15">
      <c r="A868" s="57"/>
      <c r="B868" s="57"/>
      <c r="C868" s="57"/>
      <c r="D868" s="103"/>
      <c r="E868" s="125"/>
      <c r="F868" s="125"/>
      <c r="G868" s="57"/>
      <c r="H868" s="57"/>
      <c r="I868" s="57"/>
      <c r="J868" s="57"/>
      <c r="K868" s="57"/>
      <c r="L868" s="57"/>
      <c r="M868" s="57"/>
      <c r="N868" s="57"/>
      <c r="O868" s="70"/>
      <c r="P868" s="57"/>
      <c r="Q868" s="24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220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149"/>
      <c r="AP868" s="149"/>
      <c r="AQ868" s="57"/>
      <c r="AR868" s="74"/>
      <c r="AS868" s="149"/>
      <c r="AT868" s="235"/>
      <c r="AU868" s="57"/>
      <c r="AV868" s="57"/>
      <c r="AW868" s="57"/>
      <c r="AX868" s="70"/>
      <c r="AY868" s="149"/>
      <c r="AZ868" s="112"/>
      <c r="BA868" s="236"/>
      <c r="BB868" s="236"/>
      <c r="BC868" s="152"/>
      <c r="BD868" s="152"/>
      <c r="BE868" s="236"/>
      <c r="BF868" s="262"/>
      <c r="BG868" s="262"/>
    </row>
    <row r="869" spans="1:59" ht="12.75" customHeight="1" x14ac:dyDescent="0.15">
      <c r="A869" s="57"/>
      <c r="B869" s="57"/>
      <c r="C869" s="57"/>
      <c r="D869" s="103"/>
      <c r="E869" s="125"/>
      <c r="F869" s="125"/>
      <c r="G869" s="57"/>
      <c r="H869" s="57"/>
      <c r="I869" s="57"/>
      <c r="J869" s="57"/>
      <c r="K869" s="57"/>
      <c r="L869" s="57"/>
      <c r="M869" s="57"/>
      <c r="N869" s="57"/>
      <c r="O869" s="70"/>
      <c r="P869" s="57"/>
      <c r="Q869" s="24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220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149"/>
      <c r="AP869" s="149"/>
      <c r="AQ869" s="57"/>
      <c r="AR869" s="74"/>
      <c r="AS869" s="149"/>
      <c r="AT869" s="235"/>
      <c r="AU869" s="57"/>
      <c r="AV869" s="57"/>
      <c r="AW869" s="57"/>
      <c r="AX869" s="70"/>
      <c r="AY869" s="149"/>
      <c r="AZ869" s="112"/>
      <c r="BA869" s="236"/>
      <c r="BB869" s="236"/>
      <c r="BC869" s="152"/>
      <c r="BD869" s="152"/>
      <c r="BE869" s="236"/>
      <c r="BF869" s="262"/>
      <c r="BG869" s="262"/>
    </row>
    <row r="870" spans="1:59" ht="12.75" customHeight="1" x14ac:dyDescent="0.15">
      <c r="A870" s="57"/>
      <c r="B870" s="57"/>
      <c r="C870" s="57"/>
      <c r="D870" s="103"/>
      <c r="E870" s="125"/>
      <c r="F870" s="125"/>
      <c r="G870" s="57"/>
      <c r="H870" s="57"/>
      <c r="I870" s="57"/>
      <c r="J870" s="57"/>
      <c r="K870" s="57"/>
      <c r="L870" s="57"/>
      <c r="M870" s="57"/>
      <c r="N870" s="57"/>
      <c r="O870" s="70"/>
      <c r="P870" s="57"/>
      <c r="Q870" s="24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220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149"/>
      <c r="AP870" s="149"/>
      <c r="AQ870" s="57"/>
      <c r="AR870" s="74"/>
      <c r="AS870" s="149"/>
      <c r="AT870" s="235"/>
      <c r="AU870" s="57"/>
      <c r="AV870" s="57"/>
      <c r="AW870" s="57"/>
      <c r="AX870" s="70"/>
      <c r="AY870" s="149"/>
      <c r="AZ870" s="112"/>
      <c r="BA870" s="236"/>
      <c r="BB870" s="236"/>
      <c r="BC870" s="152"/>
      <c r="BD870" s="152"/>
      <c r="BE870" s="236"/>
      <c r="BF870" s="262"/>
      <c r="BG870" s="262"/>
    </row>
    <row r="871" spans="1:59" ht="12.75" customHeight="1" x14ac:dyDescent="0.15">
      <c r="A871" s="57"/>
      <c r="B871" s="57"/>
      <c r="C871" s="57"/>
      <c r="D871" s="103"/>
      <c r="E871" s="125"/>
      <c r="F871" s="125"/>
      <c r="G871" s="57"/>
      <c r="H871" s="57"/>
      <c r="I871" s="57"/>
      <c r="J871" s="57"/>
      <c r="K871" s="57"/>
      <c r="L871" s="57"/>
      <c r="M871" s="57"/>
      <c r="N871" s="57"/>
      <c r="O871" s="70"/>
      <c r="P871" s="57"/>
      <c r="Q871" s="24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220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149"/>
      <c r="AP871" s="149"/>
      <c r="AQ871" s="57"/>
      <c r="AR871" s="74"/>
      <c r="AS871" s="149"/>
      <c r="AT871" s="235"/>
      <c r="AU871" s="57"/>
      <c r="AV871" s="57"/>
      <c r="AW871" s="57"/>
      <c r="AX871" s="70"/>
      <c r="AY871" s="149"/>
      <c r="AZ871" s="112"/>
      <c r="BA871" s="236"/>
      <c r="BB871" s="236"/>
      <c r="BC871" s="152"/>
      <c r="BD871" s="152"/>
      <c r="BE871" s="236"/>
      <c r="BF871" s="262"/>
      <c r="BG871" s="262"/>
    </row>
    <row r="872" spans="1:59" ht="12.75" customHeight="1" x14ac:dyDescent="0.15">
      <c r="A872" s="57"/>
      <c r="B872" s="57"/>
      <c r="C872" s="57"/>
      <c r="D872" s="103"/>
      <c r="E872" s="125"/>
      <c r="F872" s="125"/>
      <c r="G872" s="57"/>
      <c r="H872" s="57"/>
      <c r="I872" s="57"/>
      <c r="J872" s="57"/>
      <c r="K872" s="57"/>
      <c r="L872" s="57"/>
      <c r="M872" s="57"/>
      <c r="N872" s="57"/>
      <c r="O872" s="70"/>
      <c r="P872" s="57"/>
      <c r="Q872" s="24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220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149"/>
      <c r="AP872" s="149"/>
      <c r="AQ872" s="57"/>
      <c r="AR872" s="74"/>
      <c r="AS872" s="149"/>
      <c r="AT872" s="235"/>
      <c r="AU872" s="57"/>
      <c r="AV872" s="57"/>
      <c r="AW872" s="57"/>
      <c r="AX872" s="70"/>
      <c r="AY872" s="149"/>
      <c r="AZ872" s="112"/>
      <c r="BA872" s="236"/>
      <c r="BB872" s="236"/>
      <c r="BC872" s="152"/>
      <c r="BD872" s="152"/>
      <c r="BE872" s="236"/>
      <c r="BF872" s="262"/>
      <c r="BG872" s="262"/>
    </row>
    <row r="873" spans="1:59" ht="12.75" customHeight="1" x14ac:dyDescent="0.15">
      <c r="A873" s="57"/>
      <c r="B873" s="57"/>
      <c r="C873" s="57"/>
      <c r="D873" s="103"/>
      <c r="E873" s="125"/>
      <c r="F873" s="125"/>
      <c r="G873" s="57"/>
      <c r="H873" s="57"/>
      <c r="I873" s="57"/>
      <c r="J873" s="57"/>
      <c r="K873" s="57"/>
      <c r="L873" s="57"/>
      <c r="M873" s="57"/>
      <c r="N873" s="57"/>
      <c r="O873" s="70"/>
      <c r="P873" s="57"/>
      <c r="Q873" s="24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220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149"/>
      <c r="AP873" s="149"/>
      <c r="AQ873" s="57"/>
      <c r="AR873" s="74"/>
      <c r="AS873" s="149"/>
      <c r="AT873" s="235"/>
      <c r="AU873" s="57"/>
      <c r="AV873" s="57"/>
      <c r="AW873" s="57"/>
      <c r="AX873" s="70"/>
      <c r="AY873" s="149"/>
      <c r="AZ873" s="112"/>
      <c r="BA873" s="236"/>
      <c r="BB873" s="236"/>
      <c r="BC873" s="152"/>
      <c r="BD873" s="152"/>
      <c r="BE873" s="236"/>
      <c r="BF873" s="262"/>
      <c r="BG873" s="262"/>
    </row>
    <row r="874" spans="1:59" ht="12.75" customHeight="1" x14ac:dyDescent="0.15">
      <c r="A874" s="57"/>
      <c r="B874" s="57"/>
      <c r="C874" s="57"/>
      <c r="D874" s="103"/>
      <c r="E874" s="125"/>
      <c r="F874" s="125"/>
      <c r="G874" s="57"/>
      <c r="H874" s="57"/>
      <c r="I874" s="57"/>
      <c r="J874" s="57"/>
      <c r="K874" s="57"/>
      <c r="L874" s="57"/>
      <c r="M874" s="57"/>
      <c r="N874" s="57"/>
      <c r="O874" s="70"/>
      <c r="P874" s="57"/>
      <c r="Q874" s="24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220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149"/>
      <c r="AP874" s="149"/>
      <c r="AQ874" s="57"/>
      <c r="AR874" s="74"/>
      <c r="AS874" s="149"/>
      <c r="AT874" s="235"/>
      <c r="AU874" s="57"/>
      <c r="AV874" s="57"/>
      <c r="AW874" s="57"/>
      <c r="AX874" s="70"/>
      <c r="AY874" s="149"/>
      <c r="AZ874" s="112"/>
      <c r="BA874" s="236"/>
      <c r="BB874" s="236"/>
      <c r="BC874" s="152"/>
      <c r="BD874" s="152"/>
      <c r="BE874" s="236"/>
      <c r="BF874" s="262"/>
      <c r="BG874" s="262"/>
    </row>
    <row r="875" spans="1:59" ht="12.75" customHeight="1" x14ac:dyDescent="0.15">
      <c r="A875" s="57"/>
      <c r="B875" s="57"/>
      <c r="C875" s="57"/>
      <c r="D875" s="103"/>
      <c r="E875" s="125"/>
      <c r="F875" s="125"/>
      <c r="G875" s="57"/>
      <c r="H875" s="57"/>
      <c r="I875" s="57"/>
      <c r="J875" s="57"/>
      <c r="K875" s="57"/>
      <c r="L875" s="57"/>
      <c r="M875" s="57"/>
      <c r="N875" s="57"/>
      <c r="O875" s="70"/>
      <c r="P875" s="57"/>
      <c r="Q875" s="24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220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149"/>
      <c r="AP875" s="149"/>
      <c r="AQ875" s="57"/>
      <c r="AR875" s="74"/>
      <c r="AS875" s="149"/>
      <c r="AT875" s="235"/>
      <c r="AU875" s="57"/>
      <c r="AV875" s="57"/>
      <c r="AW875" s="57"/>
      <c r="AX875" s="70"/>
      <c r="AY875" s="149"/>
      <c r="AZ875" s="112"/>
      <c r="BA875" s="236"/>
      <c r="BB875" s="236"/>
      <c r="BC875" s="152"/>
      <c r="BD875" s="152"/>
      <c r="BE875" s="236"/>
      <c r="BF875" s="262"/>
      <c r="BG875" s="262"/>
    </row>
    <row r="876" spans="1:59" ht="12.75" customHeight="1" x14ac:dyDescent="0.15">
      <c r="A876" s="57"/>
      <c r="B876" s="57"/>
      <c r="C876" s="57"/>
      <c r="D876" s="103"/>
      <c r="E876" s="125"/>
      <c r="F876" s="125"/>
      <c r="G876" s="57"/>
      <c r="H876" s="57"/>
      <c r="I876" s="57"/>
      <c r="J876" s="57"/>
      <c r="K876" s="57"/>
      <c r="L876" s="57"/>
      <c r="M876" s="57"/>
      <c r="N876" s="57"/>
      <c r="O876" s="70"/>
      <c r="P876" s="57"/>
      <c r="Q876" s="24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220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149"/>
      <c r="AP876" s="149"/>
      <c r="AQ876" s="57"/>
      <c r="AR876" s="74"/>
      <c r="AS876" s="149"/>
      <c r="AT876" s="235"/>
      <c r="AU876" s="57"/>
      <c r="AV876" s="57"/>
      <c r="AW876" s="57"/>
      <c r="AX876" s="70"/>
      <c r="AY876" s="149"/>
      <c r="AZ876" s="112"/>
      <c r="BA876" s="236"/>
      <c r="BB876" s="236"/>
      <c r="BC876" s="152"/>
      <c r="BD876" s="152"/>
      <c r="BE876" s="236"/>
      <c r="BF876" s="262"/>
      <c r="BG876" s="262"/>
    </row>
    <row r="877" spans="1:59" ht="12.75" customHeight="1" x14ac:dyDescent="0.15">
      <c r="A877" s="57"/>
      <c r="B877" s="57"/>
      <c r="C877" s="57"/>
      <c r="D877" s="103"/>
      <c r="E877" s="125"/>
      <c r="F877" s="125"/>
      <c r="G877" s="57"/>
      <c r="H877" s="57"/>
      <c r="I877" s="57"/>
      <c r="J877" s="57"/>
      <c r="K877" s="57"/>
      <c r="L877" s="57"/>
      <c r="M877" s="57"/>
      <c r="N877" s="57"/>
      <c r="O877" s="70"/>
      <c r="P877" s="57"/>
      <c r="Q877" s="24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220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149"/>
      <c r="AP877" s="149"/>
      <c r="AQ877" s="57"/>
      <c r="AR877" s="74"/>
      <c r="AS877" s="149"/>
      <c r="AT877" s="235"/>
      <c r="AU877" s="57"/>
      <c r="AV877" s="57"/>
      <c r="AW877" s="57"/>
      <c r="AX877" s="70"/>
      <c r="AY877" s="149"/>
      <c r="AZ877" s="112"/>
      <c r="BA877" s="236"/>
      <c r="BB877" s="236"/>
      <c r="BC877" s="152"/>
      <c r="BD877" s="152"/>
      <c r="BE877" s="236"/>
      <c r="BF877" s="262"/>
      <c r="BG877" s="262"/>
    </row>
    <row r="878" spans="1:59" ht="12.75" customHeight="1" x14ac:dyDescent="0.15">
      <c r="A878" s="57"/>
      <c r="B878" s="57"/>
      <c r="C878" s="57"/>
      <c r="D878" s="103"/>
      <c r="E878" s="125"/>
      <c r="F878" s="125"/>
      <c r="G878" s="57"/>
      <c r="H878" s="57"/>
      <c r="I878" s="57"/>
      <c r="J878" s="57"/>
      <c r="K878" s="57"/>
      <c r="L878" s="57"/>
      <c r="M878" s="57"/>
      <c r="N878" s="57"/>
      <c r="O878" s="70"/>
      <c r="P878" s="57"/>
      <c r="Q878" s="24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220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149"/>
      <c r="AP878" s="149"/>
      <c r="AQ878" s="57"/>
      <c r="AR878" s="74"/>
      <c r="AS878" s="149"/>
      <c r="AT878" s="235"/>
      <c r="AU878" s="57"/>
      <c r="AV878" s="57"/>
      <c r="AW878" s="57"/>
      <c r="AX878" s="70"/>
      <c r="AY878" s="149"/>
      <c r="AZ878" s="112"/>
      <c r="BA878" s="236"/>
      <c r="BB878" s="236"/>
      <c r="BC878" s="152"/>
      <c r="BD878" s="152"/>
      <c r="BE878" s="236"/>
      <c r="BF878" s="262"/>
      <c r="BG878" s="262"/>
    </row>
    <row r="879" spans="1:59" ht="12.75" customHeight="1" x14ac:dyDescent="0.15">
      <c r="A879" s="57"/>
      <c r="B879" s="57"/>
      <c r="C879" s="57"/>
      <c r="D879" s="103"/>
      <c r="E879" s="125"/>
      <c r="F879" s="125"/>
      <c r="G879" s="57"/>
      <c r="H879" s="57"/>
      <c r="I879" s="57"/>
      <c r="J879" s="57"/>
      <c r="K879" s="57"/>
      <c r="L879" s="57"/>
      <c r="M879" s="57"/>
      <c r="N879" s="57"/>
      <c r="O879" s="70"/>
      <c r="P879" s="57"/>
      <c r="Q879" s="24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220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149"/>
      <c r="AP879" s="149"/>
      <c r="AQ879" s="57"/>
      <c r="AR879" s="74"/>
      <c r="AS879" s="149"/>
      <c r="AT879" s="235"/>
      <c r="AU879" s="57"/>
      <c r="AV879" s="57"/>
      <c r="AW879" s="57"/>
      <c r="AX879" s="70"/>
      <c r="AY879" s="149"/>
      <c r="AZ879" s="112"/>
      <c r="BA879" s="236"/>
      <c r="BB879" s="236"/>
      <c r="BC879" s="152"/>
      <c r="BD879" s="152"/>
      <c r="BE879" s="236"/>
      <c r="BF879" s="262"/>
      <c r="BG879" s="262"/>
    </row>
    <row r="880" spans="1:59" ht="12.75" customHeight="1" x14ac:dyDescent="0.15">
      <c r="A880" s="57"/>
      <c r="B880" s="57"/>
      <c r="C880" s="57"/>
      <c r="D880" s="103"/>
      <c r="E880" s="125"/>
      <c r="F880" s="125"/>
      <c r="G880" s="57"/>
      <c r="H880" s="57"/>
      <c r="I880" s="57"/>
      <c r="J880" s="57"/>
      <c r="K880" s="57"/>
      <c r="L880" s="57"/>
      <c r="M880" s="57"/>
      <c r="N880" s="57"/>
      <c r="O880" s="70"/>
      <c r="P880" s="57"/>
      <c r="Q880" s="24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220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149"/>
      <c r="AP880" s="149"/>
      <c r="AQ880" s="57"/>
      <c r="AR880" s="74"/>
      <c r="AS880" s="149"/>
      <c r="AT880" s="235"/>
      <c r="AU880" s="57"/>
      <c r="AV880" s="57"/>
      <c r="AW880" s="57"/>
      <c r="AX880" s="70"/>
      <c r="AY880" s="149"/>
      <c r="AZ880" s="112"/>
      <c r="BA880" s="236"/>
      <c r="BB880" s="236"/>
      <c r="BC880" s="152"/>
      <c r="BD880" s="152"/>
      <c r="BE880" s="236"/>
      <c r="BF880" s="262"/>
      <c r="BG880" s="262"/>
    </row>
    <row r="881" spans="1:59" ht="12.75" customHeight="1" x14ac:dyDescent="0.15">
      <c r="A881" s="57"/>
      <c r="B881" s="57"/>
      <c r="C881" s="57"/>
      <c r="D881" s="103"/>
      <c r="E881" s="125"/>
      <c r="F881" s="125"/>
      <c r="G881" s="57"/>
      <c r="H881" s="57"/>
      <c r="I881" s="57"/>
      <c r="J881" s="57"/>
      <c r="K881" s="57"/>
      <c r="L881" s="57"/>
      <c r="M881" s="57"/>
      <c r="N881" s="57"/>
      <c r="O881" s="70"/>
      <c r="P881" s="57"/>
      <c r="Q881" s="24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220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149"/>
      <c r="AP881" s="149"/>
      <c r="AQ881" s="57"/>
      <c r="AR881" s="74"/>
      <c r="AS881" s="149"/>
      <c r="AT881" s="235"/>
      <c r="AU881" s="57"/>
      <c r="AV881" s="57"/>
      <c r="AW881" s="57"/>
      <c r="AX881" s="70"/>
      <c r="AY881" s="149"/>
      <c r="AZ881" s="112"/>
      <c r="BA881" s="236"/>
      <c r="BB881" s="236"/>
      <c r="BC881" s="152"/>
      <c r="BD881" s="152"/>
      <c r="BE881" s="236"/>
      <c r="BF881" s="262"/>
      <c r="BG881" s="262"/>
    </row>
    <row r="882" spans="1:59" ht="12.75" customHeight="1" x14ac:dyDescent="0.15">
      <c r="A882" s="57"/>
      <c r="B882" s="57"/>
      <c r="C882" s="57"/>
      <c r="D882" s="103"/>
      <c r="E882" s="125"/>
      <c r="F882" s="125"/>
      <c r="G882" s="57"/>
      <c r="H882" s="57"/>
      <c r="I882" s="57"/>
      <c r="J882" s="57"/>
      <c r="K882" s="57"/>
      <c r="L882" s="57"/>
      <c r="M882" s="57"/>
      <c r="N882" s="57"/>
      <c r="O882" s="70"/>
      <c r="P882" s="57"/>
      <c r="Q882" s="24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220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149"/>
      <c r="AP882" s="149"/>
      <c r="AQ882" s="57"/>
      <c r="AR882" s="74"/>
      <c r="AS882" s="149"/>
      <c r="AT882" s="235"/>
      <c r="AU882" s="57"/>
      <c r="AV882" s="57"/>
      <c r="AW882" s="57"/>
      <c r="AX882" s="70"/>
      <c r="AY882" s="149"/>
      <c r="AZ882" s="112"/>
      <c r="BA882" s="236"/>
      <c r="BB882" s="236"/>
      <c r="BC882" s="152"/>
      <c r="BD882" s="152"/>
      <c r="BE882" s="236"/>
      <c r="BF882" s="262"/>
      <c r="BG882" s="262"/>
    </row>
    <row r="883" spans="1:59" ht="12.75" customHeight="1" x14ac:dyDescent="0.15">
      <c r="A883" s="57"/>
      <c r="B883" s="57"/>
      <c r="C883" s="57"/>
      <c r="D883" s="103"/>
      <c r="E883" s="125"/>
      <c r="F883" s="125"/>
      <c r="G883" s="57"/>
      <c r="H883" s="57"/>
      <c r="I883" s="57"/>
      <c r="J883" s="57"/>
      <c r="K883" s="57"/>
      <c r="L883" s="57"/>
      <c r="M883" s="57"/>
      <c r="N883" s="57"/>
      <c r="O883" s="70"/>
      <c r="P883" s="57"/>
      <c r="Q883" s="24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220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149"/>
      <c r="AP883" s="149"/>
      <c r="AQ883" s="57"/>
      <c r="AR883" s="74"/>
      <c r="AS883" s="149"/>
      <c r="AT883" s="235"/>
      <c r="AU883" s="57"/>
      <c r="AV883" s="57"/>
      <c r="AW883" s="57"/>
      <c r="AX883" s="70"/>
      <c r="AY883" s="149"/>
      <c r="AZ883" s="112"/>
      <c r="BA883" s="236"/>
      <c r="BB883" s="236"/>
      <c r="BC883" s="152"/>
      <c r="BD883" s="152"/>
      <c r="BE883" s="236"/>
      <c r="BF883" s="262"/>
      <c r="BG883" s="262"/>
    </row>
    <row r="884" spans="1:59" ht="12.75" customHeight="1" x14ac:dyDescent="0.15">
      <c r="A884" s="57"/>
      <c r="B884" s="57"/>
      <c r="C884" s="57"/>
      <c r="D884" s="103"/>
      <c r="E884" s="125"/>
      <c r="F884" s="125"/>
      <c r="G884" s="57"/>
      <c r="H884" s="57"/>
      <c r="I884" s="57"/>
      <c r="J884" s="57"/>
      <c r="K884" s="57"/>
      <c r="L884" s="57"/>
      <c r="M884" s="57"/>
      <c r="N884" s="57"/>
      <c r="O884" s="70"/>
      <c r="P884" s="57"/>
      <c r="Q884" s="24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220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149"/>
      <c r="AP884" s="149"/>
      <c r="AQ884" s="57"/>
      <c r="AR884" s="74"/>
      <c r="AS884" s="149"/>
      <c r="AT884" s="235"/>
      <c r="AU884" s="57"/>
      <c r="AV884" s="57"/>
      <c r="AW884" s="57"/>
      <c r="AX884" s="70"/>
      <c r="AY884" s="149"/>
      <c r="AZ884" s="112"/>
      <c r="BA884" s="236"/>
      <c r="BB884" s="236"/>
      <c r="BC884" s="152"/>
      <c r="BD884" s="152"/>
      <c r="BE884" s="236"/>
      <c r="BF884" s="262"/>
      <c r="BG884" s="262"/>
    </row>
    <row r="885" spans="1:59" ht="12.75" customHeight="1" x14ac:dyDescent="0.15">
      <c r="A885" s="57"/>
      <c r="B885" s="57"/>
      <c r="C885" s="57"/>
      <c r="D885" s="103"/>
      <c r="E885" s="125"/>
      <c r="F885" s="125"/>
      <c r="G885" s="57"/>
      <c r="H885" s="57"/>
      <c r="I885" s="57"/>
      <c r="J885" s="57"/>
      <c r="K885" s="57"/>
      <c r="L885" s="57"/>
      <c r="M885" s="57"/>
      <c r="N885" s="57"/>
      <c r="O885" s="70"/>
      <c r="P885" s="57"/>
      <c r="Q885" s="24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220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149"/>
      <c r="AP885" s="149"/>
      <c r="AQ885" s="57"/>
      <c r="AR885" s="74"/>
      <c r="AS885" s="149"/>
      <c r="AT885" s="235"/>
      <c r="AU885" s="57"/>
      <c r="AV885" s="57"/>
      <c r="AW885" s="57"/>
      <c r="AX885" s="70"/>
      <c r="AY885" s="149"/>
      <c r="AZ885" s="112"/>
      <c r="BA885" s="236"/>
      <c r="BB885" s="236"/>
      <c r="BC885" s="152"/>
      <c r="BD885" s="152"/>
      <c r="BE885" s="236"/>
      <c r="BF885" s="262"/>
      <c r="BG885" s="262"/>
    </row>
    <row r="886" spans="1:59" ht="12.75" customHeight="1" x14ac:dyDescent="0.15">
      <c r="A886" s="57"/>
      <c r="B886" s="57"/>
      <c r="C886" s="57"/>
      <c r="D886" s="103"/>
      <c r="E886" s="125"/>
      <c r="F886" s="125"/>
      <c r="G886" s="57"/>
      <c r="H886" s="57"/>
      <c r="I886" s="57"/>
      <c r="J886" s="57"/>
      <c r="K886" s="57"/>
      <c r="L886" s="57"/>
      <c r="M886" s="57"/>
      <c r="N886" s="57"/>
      <c r="O886" s="70"/>
      <c r="P886" s="57"/>
      <c r="Q886" s="24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220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149"/>
      <c r="AP886" s="149"/>
      <c r="AQ886" s="57"/>
      <c r="AR886" s="74"/>
      <c r="AS886" s="149"/>
      <c r="AT886" s="235"/>
      <c r="AU886" s="57"/>
      <c r="AV886" s="57"/>
      <c r="AW886" s="57"/>
      <c r="AX886" s="70"/>
      <c r="AY886" s="149"/>
      <c r="AZ886" s="112"/>
      <c r="BA886" s="236"/>
      <c r="BB886" s="236"/>
      <c r="BC886" s="152"/>
      <c r="BD886" s="152"/>
      <c r="BE886" s="236"/>
      <c r="BF886" s="262"/>
      <c r="BG886" s="262"/>
    </row>
    <row r="887" spans="1:59" ht="12.75" customHeight="1" x14ac:dyDescent="0.15">
      <c r="A887" s="57"/>
      <c r="B887" s="57"/>
      <c r="C887" s="57"/>
      <c r="D887" s="103"/>
      <c r="E887" s="125"/>
      <c r="F887" s="125"/>
      <c r="G887" s="57"/>
      <c r="H887" s="57"/>
      <c r="I887" s="57"/>
      <c r="J887" s="57"/>
      <c r="K887" s="57"/>
      <c r="L887" s="57"/>
      <c r="M887" s="57"/>
      <c r="N887" s="57"/>
      <c r="O887" s="70"/>
      <c r="P887" s="57"/>
      <c r="Q887" s="24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220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149"/>
      <c r="AP887" s="149"/>
      <c r="AQ887" s="57"/>
      <c r="AR887" s="74"/>
      <c r="AS887" s="149"/>
      <c r="AT887" s="235"/>
      <c r="AU887" s="57"/>
      <c r="AV887" s="57"/>
      <c r="AW887" s="57"/>
      <c r="AX887" s="70"/>
      <c r="AY887" s="149"/>
      <c r="AZ887" s="112"/>
      <c r="BA887" s="236"/>
      <c r="BB887" s="236"/>
      <c r="BC887" s="152"/>
      <c r="BD887" s="152"/>
      <c r="BE887" s="236"/>
      <c r="BF887" s="262"/>
      <c r="BG887" s="262"/>
    </row>
    <row r="888" spans="1:59" ht="12.75" customHeight="1" x14ac:dyDescent="0.15">
      <c r="A888" s="57"/>
      <c r="B888" s="57"/>
      <c r="C888" s="57"/>
      <c r="D888" s="103"/>
      <c r="E888" s="125"/>
      <c r="F888" s="125"/>
      <c r="G888" s="57"/>
      <c r="H888" s="57"/>
      <c r="I888" s="57"/>
      <c r="J888" s="57"/>
      <c r="K888" s="57"/>
      <c r="L888" s="57"/>
      <c r="M888" s="57"/>
      <c r="N888" s="57"/>
      <c r="O888" s="70"/>
      <c r="P888" s="57"/>
      <c r="Q888" s="24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220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149"/>
      <c r="AP888" s="149"/>
      <c r="AQ888" s="57"/>
      <c r="AR888" s="74"/>
      <c r="AS888" s="149"/>
      <c r="AT888" s="235"/>
      <c r="AU888" s="57"/>
      <c r="AV888" s="57"/>
      <c r="AW888" s="57"/>
      <c r="AX888" s="70"/>
      <c r="AY888" s="149"/>
      <c r="AZ888" s="112"/>
      <c r="BA888" s="236"/>
      <c r="BB888" s="236"/>
      <c r="BC888" s="152"/>
      <c r="BD888" s="152"/>
      <c r="BE888" s="236"/>
      <c r="BF888" s="262"/>
      <c r="BG888" s="262"/>
    </row>
    <row r="889" spans="1:59" ht="12.75" customHeight="1" x14ac:dyDescent="0.15">
      <c r="A889" s="57"/>
      <c r="B889" s="57"/>
      <c r="C889" s="57"/>
      <c r="D889" s="103"/>
      <c r="E889" s="125"/>
      <c r="F889" s="125"/>
      <c r="G889" s="57"/>
      <c r="H889" s="57"/>
      <c r="I889" s="57"/>
      <c r="J889" s="57"/>
      <c r="K889" s="57"/>
      <c r="L889" s="57"/>
      <c r="M889" s="57"/>
      <c r="N889" s="57"/>
      <c r="O889" s="70"/>
      <c r="P889" s="57"/>
      <c r="Q889" s="24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220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149"/>
      <c r="AP889" s="149"/>
      <c r="AQ889" s="57"/>
      <c r="AR889" s="74"/>
      <c r="AS889" s="149"/>
      <c r="AT889" s="235"/>
      <c r="AU889" s="57"/>
      <c r="AV889" s="57"/>
      <c r="AW889" s="57"/>
      <c r="AX889" s="70"/>
      <c r="AY889" s="149"/>
      <c r="AZ889" s="112"/>
      <c r="BA889" s="236"/>
      <c r="BB889" s="236"/>
      <c r="BC889" s="152"/>
      <c r="BD889" s="152"/>
      <c r="BE889" s="236"/>
      <c r="BF889" s="262"/>
      <c r="BG889" s="262"/>
    </row>
    <row r="890" spans="1:59" ht="12.75" customHeight="1" x14ac:dyDescent="0.15">
      <c r="A890" s="57"/>
      <c r="B890" s="57"/>
      <c r="C890" s="57"/>
      <c r="D890" s="103"/>
      <c r="E890" s="125"/>
      <c r="F890" s="125"/>
      <c r="G890" s="57"/>
      <c r="H890" s="57"/>
      <c r="I890" s="57"/>
      <c r="J890" s="57"/>
      <c r="K890" s="57"/>
      <c r="L890" s="57"/>
      <c r="M890" s="57"/>
      <c r="N890" s="57"/>
      <c r="O890" s="70"/>
      <c r="P890" s="57"/>
      <c r="Q890" s="24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220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149"/>
      <c r="AP890" s="149"/>
      <c r="AQ890" s="57"/>
      <c r="AR890" s="74"/>
      <c r="AS890" s="149"/>
      <c r="AT890" s="235"/>
      <c r="AU890" s="57"/>
      <c r="AV890" s="57"/>
      <c r="AW890" s="57"/>
      <c r="AX890" s="70"/>
      <c r="AY890" s="149"/>
      <c r="AZ890" s="112"/>
      <c r="BA890" s="236"/>
      <c r="BB890" s="236"/>
      <c r="BC890" s="152"/>
      <c r="BD890" s="152"/>
      <c r="BE890" s="236"/>
      <c r="BF890" s="262"/>
      <c r="BG890" s="262"/>
    </row>
    <row r="891" spans="1:59" ht="12.75" customHeight="1" x14ac:dyDescent="0.15">
      <c r="A891" s="57"/>
      <c r="B891" s="57"/>
      <c r="C891" s="57"/>
      <c r="D891" s="103"/>
      <c r="E891" s="125"/>
      <c r="F891" s="125"/>
      <c r="G891" s="57"/>
      <c r="H891" s="57"/>
      <c r="I891" s="57"/>
      <c r="J891" s="57"/>
      <c r="K891" s="57"/>
      <c r="L891" s="57"/>
      <c r="M891" s="57"/>
      <c r="N891" s="57"/>
      <c r="O891" s="70"/>
      <c r="P891" s="57"/>
      <c r="Q891" s="24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220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149"/>
      <c r="AP891" s="149"/>
      <c r="AQ891" s="57"/>
      <c r="AR891" s="74"/>
      <c r="AS891" s="149"/>
      <c r="AT891" s="235"/>
      <c r="AU891" s="57"/>
      <c r="AV891" s="57"/>
      <c r="AW891" s="57"/>
      <c r="AX891" s="70"/>
      <c r="AY891" s="149"/>
      <c r="AZ891" s="112"/>
      <c r="BA891" s="236"/>
      <c r="BB891" s="236"/>
      <c r="BC891" s="152"/>
      <c r="BD891" s="152"/>
      <c r="BE891" s="236"/>
      <c r="BF891" s="262"/>
      <c r="BG891" s="262"/>
    </row>
    <row r="892" spans="1:59" ht="12.75" customHeight="1" x14ac:dyDescent="0.15">
      <c r="A892" s="57"/>
      <c r="B892" s="57"/>
      <c r="C892" s="57"/>
      <c r="D892" s="103"/>
      <c r="E892" s="125"/>
      <c r="F892" s="125"/>
      <c r="G892" s="57"/>
      <c r="H892" s="57"/>
      <c r="I892" s="57"/>
      <c r="J892" s="57"/>
      <c r="K892" s="57"/>
      <c r="L892" s="57"/>
      <c r="M892" s="57"/>
      <c r="N892" s="57"/>
      <c r="O892" s="70"/>
      <c r="P892" s="57"/>
      <c r="Q892" s="24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220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149"/>
      <c r="AP892" s="149"/>
      <c r="AQ892" s="57"/>
      <c r="AR892" s="74"/>
      <c r="AS892" s="149"/>
      <c r="AT892" s="235"/>
      <c r="AU892" s="57"/>
      <c r="AV892" s="57"/>
      <c r="AW892" s="57"/>
      <c r="AX892" s="70"/>
      <c r="AY892" s="149"/>
      <c r="AZ892" s="112"/>
      <c r="BA892" s="236"/>
      <c r="BB892" s="236"/>
      <c r="BC892" s="152"/>
      <c r="BD892" s="152"/>
      <c r="BE892" s="236"/>
      <c r="BF892" s="262"/>
      <c r="BG892" s="262"/>
    </row>
    <row r="893" spans="1:59" ht="12.75" customHeight="1" x14ac:dyDescent="0.15">
      <c r="A893" s="57"/>
      <c r="B893" s="57"/>
      <c r="C893" s="57"/>
      <c r="D893" s="103"/>
      <c r="E893" s="125"/>
      <c r="F893" s="125"/>
      <c r="G893" s="57"/>
      <c r="H893" s="57"/>
      <c r="I893" s="57"/>
      <c r="J893" s="57"/>
      <c r="K893" s="57"/>
      <c r="L893" s="57"/>
      <c r="M893" s="57"/>
      <c r="N893" s="57"/>
      <c r="O893" s="70"/>
      <c r="P893" s="57"/>
      <c r="Q893" s="24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220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149"/>
      <c r="AP893" s="149"/>
      <c r="AQ893" s="57"/>
      <c r="AR893" s="74"/>
      <c r="AS893" s="149"/>
      <c r="AT893" s="235"/>
      <c r="AU893" s="57"/>
      <c r="AV893" s="57"/>
      <c r="AW893" s="57"/>
      <c r="AX893" s="70"/>
      <c r="AY893" s="149"/>
      <c r="AZ893" s="112"/>
      <c r="BA893" s="236"/>
      <c r="BB893" s="236"/>
      <c r="BC893" s="152"/>
      <c r="BD893" s="152"/>
      <c r="BE893" s="236"/>
      <c r="BF893" s="262"/>
      <c r="BG893" s="262"/>
    </row>
    <row r="894" spans="1:59" ht="12.75" customHeight="1" x14ac:dyDescent="0.15">
      <c r="A894" s="57"/>
      <c r="B894" s="57"/>
      <c r="C894" s="57"/>
      <c r="D894" s="103"/>
      <c r="E894" s="125"/>
      <c r="F894" s="125"/>
      <c r="G894" s="57"/>
      <c r="H894" s="57"/>
      <c r="I894" s="57"/>
      <c r="J894" s="57"/>
      <c r="K894" s="57"/>
      <c r="L894" s="57"/>
      <c r="M894" s="57"/>
      <c r="N894" s="57"/>
      <c r="O894" s="70"/>
      <c r="P894" s="57"/>
      <c r="Q894" s="24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220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149"/>
      <c r="AP894" s="149"/>
      <c r="AQ894" s="57"/>
      <c r="AR894" s="74"/>
      <c r="AS894" s="149"/>
      <c r="AT894" s="235"/>
      <c r="AU894" s="57"/>
      <c r="AV894" s="57"/>
      <c r="AW894" s="57"/>
      <c r="AX894" s="70"/>
      <c r="AY894" s="149"/>
      <c r="AZ894" s="112"/>
      <c r="BA894" s="236"/>
      <c r="BB894" s="236"/>
      <c r="BC894" s="152"/>
      <c r="BD894" s="152"/>
      <c r="BE894" s="236"/>
      <c r="BF894" s="262"/>
      <c r="BG894" s="262"/>
    </row>
    <row r="895" spans="1:59" ht="12.75" customHeight="1" x14ac:dyDescent="0.15">
      <c r="A895" s="57"/>
      <c r="B895" s="57"/>
      <c r="C895" s="57"/>
      <c r="D895" s="103"/>
      <c r="E895" s="125"/>
      <c r="F895" s="125"/>
      <c r="G895" s="57"/>
      <c r="H895" s="57"/>
      <c r="I895" s="57"/>
      <c r="J895" s="57"/>
      <c r="K895" s="57"/>
      <c r="L895" s="57"/>
      <c r="M895" s="57"/>
      <c r="N895" s="57"/>
      <c r="O895" s="70"/>
      <c r="P895" s="57"/>
      <c r="Q895" s="24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220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149"/>
      <c r="AP895" s="149"/>
      <c r="AQ895" s="57"/>
      <c r="AR895" s="74"/>
      <c r="AS895" s="149"/>
      <c r="AT895" s="235"/>
      <c r="AU895" s="57"/>
      <c r="AV895" s="57"/>
      <c r="AW895" s="57"/>
      <c r="AX895" s="70"/>
      <c r="AY895" s="149"/>
      <c r="AZ895" s="112"/>
      <c r="BA895" s="236"/>
      <c r="BB895" s="236"/>
      <c r="BC895" s="152"/>
      <c r="BD895" s="152"/>
      <c r="BE895" s="236"/>
      <c r="BF895" s="262"/>
      <c r="BG895" s="262"/>
    </row>
    <row r="896" spans="1:59" ht="12.75" customHeight="1" x14ac:dyDescent="0.15">
      <c r="A896" s="57"/>
      <c r="B896" s="57"/>
      <c r="C896" s="57"/>
      <c r="D896" s="103"/>
      <c r="E896" s="125"/>
      <c r="F896" s="125"/>
      <c r="G896" s="57"/>
      <c r="H896" s="57"/>
      <c r="I896" s="57"/>
      <c r="J896" s="57"/>
      <c r="K896" s="57"/>
      <c r="L896" s="57"/>
      <c r="M896" s="57"/>
      <c r="N896" s="57"/>
      <c r="O896" s="70"/>
      <c r="P896" s="57"/>
      <c r="Q896" s="24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220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149"/>
      <c r="AP896" s="149"/>
      <c r="AQ896" s="57"/>
      <c r="AR896" s="74"/>
      <c r="AS896" s="149"/>
      <c r="AT896" s="235"/>
      <c r="AU896" s="57"/>
      <c r="AV896" s="57"/>
      <c r="AW896" s="57"/>
      <c r="AX896" s="70"/>
      <c r="AY896" s="149"/>
      <c r="AZ896" s="112"/>
      <c r="BA896" s="236"/>
      <c r="BB896" s="236"/>
      <c r="BC896" s="152"/>
      <c r="BD896" s="152"/>
      <c r="BE896" s="236"/>
      <c r="BF896" s="262"/>
      <c r="BG896" s="262"/>
    </row>
    <row r="897" spans="1:59" ht="12.75" customHeight="1" x14ac:dyDescent="0.15">
      <c r="A897" s="57"/>
      <c r="B897" s="57"/>
      <c r="C897" s="57"/>
      <c r="D897" s="103"/>
      <c r="E897" s="125"/>
      <c r="F897" s="125"/>
      <c r="G897" s="57"/>
      <c r="H897" s="57"/>
      <c r="I897" s="57"/>
      <c r="J897" s="57"/>
      <c r="K897" s="57"/>
      <c r="L897" s="57"/>
      <c r="M897" s="57"/>
      <c r="N897" s="57"/>
      <c r="O897" s="70"/>
      <c r="P897" s="57"/>
      <c r="Q897" s="24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220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149"/>
      <c r="AP897" s="149"/>
      <c r="AQ897" s="57"/>
      <c r="AR897" s="74"/>
      <c r="AS897" s="149"/>
      <c r="AT897" s="235"/>
      <c r="AU897" s="57"/>
      <c r="AV897" s="57"/>
      <c r="AW897" s="57"/>
      <c r="AX897" s="70"/>
      <c r="AY897" s="149"/>
      <c r="AZ897" s="112"/>
      <c r="BA897" s="236"/>
      <c r="BB897" s="236"/>
      <c r="BC897" s="152"/>
      <c r="BD897" s="152"/>
      <c r="BE897" s="236"/>
      <c r="BF897" s="262"/>
      <c r="BG897" s="262"/>
    </row>
    <row r="898" spans="1:59" ht="12.75" customHeight="1" x14ac:dyDescent="0.15">
      <c r="A898" s="57"/>
      <c r="B898" s="57"/>
      <c r="C898" s="57"/>
      <c r="D898" s="103"/>
      <c r="E898" s="125"/>
      <c r="F898" s="125"/>
      <c r="G898" s="57"/>
      <c r="H898" s="57"/>
      <c r="I898" s="57"/>
      <c r="J898" s="57"/>
      <c r="K898" s="57"/>
      <c r="L898" s="57"/>
      <c r="M898" s="57"/>
      <c r="N898" s="57"/>
      <c r="O898" s="70"/>
      <c r="P898" s="57"/>
      <c r="Q898" s="24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220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149"/>
      <c r="AP898" s="149"/>
      <c r="AQ898" s="57"/>
      <c r="AR898" s="74"/>
      <c r="AS898" s="149"/>
      <c r="AT898" s="235"/>
      <c r="AU898" s="57"/>
      <c r="AV898" s="57"/>
      <c r="AW898" s="57"/>
      <c r="AX898" s="70"/>
      <c r="AY898" s="149"/>
      <c r="AZ898" s="112"/>
      <c r="BA898" s="236"/>
      <c r="BB898" s="236"/>
      <c r="BC898" s="152"/>
      <c r="BD898" s="152"/>
      <c r="BE898" s="236"/>
      <c r="BF898" s="262"/>
      <c r="BG898" s="262"/>
    </row>
    <row r="899" spans="1:59" ht="12.75" customHeight="1" x14ac:dyDescent="0.15">
      <c r="A899" s="57"/>
      <c r="B899" s="57"/>
      <c r="C899" s="57"/>
      <c r="D899" s="103"/>
      <c r="E899" s="125"/>
      <c r="F899" s="125"/>
      <c r="G899" s="57"/>
      <c r="H899" s="57"/>
      <c r="I899" s="57"/>
      <c r="J899" s="57"/>
      <c r="K899" s="57"/>
      <c r="L899" s="57"/>
      <c r="M899" s="57"/>
      <c r="N899" s="57"/>
      <c r="O899" s="70"/>
      <c r="P899" s="57"/>
      <c r="Q899" s="24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220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149"/>
      <c r="AP899" s="149"/>
      <c r="AQ899" s="57"/>
      <c r="AR899" s="74"/>
      <c r="AS899" s="149"/>
      <c r="AT899" s="235"/>
      <c r="AU899" s="57"/>
      <c r="AV899" s="57"/>
      <c r="AW899" s="57"/>
      <c r="AX899" s="70"/>
      <c r="AY899" s="149"/>
      <c r="AZ899" s="112"/>
      <c r="BA899" s="236"/>
      <c r="BB899" s="236"/>
      <c r="BC899" s="152"/>
      <c r="BD899" s="152"/>
      <c r="BE899" s="236"/>
      <c r="BF899" s="262"/>
      <c r="BG899" s="262"/>
    </row>
    <row r="900" spans="1:59" ht="12.75" customHeight="1" x14ac:dyDescent="0.15">
      <c r="A900" s="57"/>
      <c r="B900" s="57"/>
      <c r="C900" s="57"/>
      <c r="D900" s="103"/>
      <c r="E900" s="125"/>
      <c r="F900" s="125"/>
      <c r="G900" s="57"/>
      <c r="H900" s="57"/>
      <c r="I900" s="57"/>
      <c r="J900" s="57"/>
      <c r="K900" s="57"/>
      <c r="L900" s="57"/>
      <c r="M900" s="57"/>
      <c r="N900" s="57"/>
      <c r="O900" s="70"/>
      <c r="P900" s="57"/>
      <c r="Q900" s="24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220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149"/>
      <c r="AP900" s="149"/>
      <c r="AQ900" s="57"/>
      <c r="AR900" s="74"/>
      <c r="AS900" s="149"/>
      <c r="AT900" s="235"/>
      <c r="AU900" s="57"/>
      <c r="AV900" s="57"/>
      <c r="AW900" s="57"/>
      <c r="AX900" s="70"/>
      <c r="AY900" s="149"/>
      <c r="AZ900" s="112"/>
      <c r="BA900" s="236"/>
      <c r="BB900" s="236"/>
      <c r="BC900" s="152"/>
      <c r="BD900" s="152"/>
      <c r="BE900" s="236"/>
      <c r="BF900" s="262"/>
      <c r="BG900" s="262"/>
    </row>
    <row r="901" spans="1:59" ht="12.75" customHeight="1" x14ac:dyDescent="0.15">
      <c r="A901" s="57"/>
      <c r="B901" s="57"/>
      <c r="C901" s="57"/>
      <c r="D901" s="103"/>
      <c r="E901" s="125"/>
      <c r="F901" s="125"/>
      <c r="G901" s="57"/>
      <c r="H901" s="57"/>
      <c r="I901" s="57"/>
      <c r="J901" s="57"/>
      <c r="K901" s="57"/>
      <c r="L901" s="57"/>
      <c r="M901" s="57"/>
      <c r="N901" s="57"/>
      <c r="O901" s="70"/>
      <c r="P901" s="57"/>
      <c r="Q901" s="24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220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149"/>
      <c r="AP901" s="149"/>
      <c r="AQ901" s="57"/>
      <c r="AR901" s="74"/>
      <c r="AS901" s="149"/>
      <c r="AT901" s="235"/>
      <c r="AU901" s="57"/>
      <c r="AV901" s="57"/>
      <c r="AW901" s="57"/>
      <c r="AX901" s="70"/>
      <c r="AY901" s="149"/>
      <c r="AZ901" s="112"/>
      <c r="BA901" s="236"/>
      <c r="BB901" s="236"/>
      <c r="BC901" s="152"/>
      <c r="BD901" s="152"/>
      <c r="BE901" s="236"/>
      <c r="BF901" s="262"/>
      <c r="BG901" s="262"/>
    </row>
    <row r="902" spans="1:59" ht="12.75" customHeight="1" x14ac:dyDescent="0.15">
      <c r="A902" s="57"/>
      <c r="B902" s="57"/>
      <c r="C902" s="57"/>
      <c r="D902" s="103"/>
      <c r="E902" s="125"/>
      <c r="F902" s="125"/>
      <c r="G902" s="57"/>
      <c r="H902" s="57"/>
      <c r="I902" s="57"/>
      <c r="J902" s="57"/>
      <c r="K902" s="57"/>
      <c r="L902" s="57"/>
      <c r="M902" s="57"/>
      <c r="N902" s="57"/>
      <c r="O902" s="70"/>
      <c r="P902" s="57"/>
      <c r="Q902" s="24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220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149"/>
      <c r="AP902" s="149"/>
      <c r="AQ902" s="57"/>
      <c r="AR902" s="74"/>
      <c r="AS902" s="149"/>
      <c r="AT902" s="235"/>
      <c r="AU902" s="57"/>
      <c r="AV902" s="57"/>
      <c r="AW902" s="57"/>
      <c r="AX902" s="70"/>
      <c r="AY902" s="149"/>
      <c r="AZ902" s="112"/>
      <c r="BA902" s="236"/>
      <c r="BB902" s="236"/>
      <c r="BC902" s="152"/>
      <c r="BD902" s="152"/>
      <c r="BE902" s="236"/>
      <c r="BF902" s="262"/>
      <c r="BG902" s="262"/>
    </row>
    <row r="903" spans="1:59" ht="12.75" customHeight="1" x14ac:dyDescent="0.15">
      <c r="A903" s="57"/>
      <c r="B903" s="57"/>
      <c r="C903" s="57"/>
      <c r="D903" s="103"/>
      <c r="E903" s="125"/>
      <c r="F903" s="125"/>
      <c r="G903" s="57"/>
      <c r="H903" s="57"/>
      <c r="I903" s="57"/>
      <c r="J903" s="57"/>
      <c r="K903" s="57"/>
      <c r="L903" s="57"/>
      <c r="M903" s="57"/>
      <c r="N903" s="57"/>
      <c r="O903" s="70"/>
      <c r="P903" s="57"/>
      <c r="Q903" s="24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220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149"/>
      <c r="AP903" s="149"/>
      <c r="AQ903" s="57"/>
      <c r="AR903" s="74"/>
      <c r="AS903" s="149"/>
      <c r="AT903" s="235"/>
      <c r="AU903" s="57"/>
      <c r="AV903" s="57"/>
      <c r="AW903" s="57"/>
      <c r="AX903" s="70"/>
      <c r="AY903" s="149"/>
      <c r="AZ903" s="112"/>
      <c r="BA903" s="236"/>
      <c r="BB903" s="236"/>
      <c r="BC903" s="152"/>
      <c r="BD903" s="152"/>
      <c r="BE903" s="236"/>
      <c r="BF903" s="262"/>
      <c r="BG903" s="262"/>
    </row>
    <row r="904" spans="1:59" ht="12.75" customHeight="1" x14ac:dyDescent="0.15">
      <c r="A904" s="57"/>
      <c r="B904" s="57"/>
      <c r="C904" s="57"/>
      <c r="D904" s="103"/>
      <c r="E904" s="125"/>
      <c r="F904" s="125"/>
      <c r="G904" s="57"/>
      <c r="H904" s="57"/>
      <c r="I904" s="57"/>
      <c r="J904" s="57"/>
      <c r="K904" s="57"/>
      <c r="L904" s="57"/>
      <c r="M904" s="57"/>
      <c r="N904" s="57"/>
      <c r="O904" s="70"/>
      <c r="P904" s="57"/>
      <c r="Q904" s="24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220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149"/>
      <c r="AP904" s="149"/>
      <c r="AQ904" s="57"/>
      <c r="AR904" s="74"/>
      <c r="AS904" s="149"/>
      <c r="AT904" s="235"/>
      <c r="AU904" s="57"/>
      <c r="AV904" s="57"/>
      <c r="AW904" s="57"/>
      <c r="AX904" s="70"/>
      <c r="AY904" s="149"/>
      <c r="AZ904" s="112"/>
      <c r="BA904" s="236"/>
      <c r="BB904" s="236"/>
      <c r="BC904" s="152"/>
      <c r="BD904" s="152"/>
      <c r="BE904" s="236"/>
      <c r="BF904" s="262"/>
      <c r="BG904" s="262"/>
    </row>
    <row r="905" spans="1:59" ht="12.75" customHeight="1" x14ac:dyDescent="0.15">
      <c r="A905" s="57"/>
      <c r="B905" s="57"/>
      <c r="C905" s="57"/>
      <c r="D905" s="103"/>
      <c r="E905" s="125"/>
      <c r="F905" s="125"/>
      <c r="G905" s="57"/>
      <c r="H905" s="57"/>
      <c r="I905" s="57"/>
      <c r="J905" s="57"/>
      <c r="K905" s="57"/>
      <c r="L905" s="57"/>
      <c r="M905" s="57"/>
      <c r="N905" s="57"/>
      <c r="O905" s="70"/>
      <c r="P905" s="57"/>
      <c r="Q905" s="24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220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149"/>
      <c r="AP905" s="149"/>
      <c r="AQ905" s="57"/>
      <c r="AR905" s="74"/>
      <c r="AS905" s="149"/>
      <c r="AT905" s="235"/>
      <c r="AU905" s="57"/>
      <c r="AV905" s="57"/>
      <c r="AW905" s="57"/>
      <c r="AX905" s="70"/>
      <c r="AY905" s="149"/>
      <c r="AZ905" s="112"/>
      <c r="BA905" s="236"/>
      <c r="BB905" s="236"/>
      <c r="BC905" s="152"/>
      <c r="BD905" s="152"/>
      <c r="BE905" s="236"/>
      <c r="BF905" s="262"/>
      <c r="BG905" s="262"/>
    </row>
    <row r="906" spans="1:59" ht="12.75" customHeight="1" x14ac:dyDescent="0.15">
      <c r="A906" s="57"/>
      <c r="B906" s="57"/>
      <c r="C906" s="57"/>
      <c r="D906" s="103"/>
      <c r="E906" s="125"/>
      <c r="F906" s="125"/>
      <c r="G906" s="57"/>
      <c r="H906" s="57"/>
      <c r="I906" s="57"/>
      <c r="J906" s="57"/>
      <c r="K906" s="57"/>
      <c r="L906" s="57"/>
      <c r="M906" s="57"/>
      <c r="N906" s="57"/>
      <c r="O906" s="70"/>
      <c r="P906" s="57"/>
      <c r="Q906" s="24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220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149"/>
      <c r="AP906" s="149"/>
      <c r="AQ906" s="57"/>
      <c r="AR906" s="74"/>
      <c r="AS906" s="149"/>
      <c r="AT906" s="235"/>
      <c r="AU906" s="57"/>
      <c r="AV906" s="57"/>
      <c r="AW906" s="57"/>
      <c r="AX906" s="70"/>
      <c r="AY906" s="149"/>
      <c r="AZ906" s="112"/>
      <c r="BA906" s="236"/>
      <c r="BB906" s="236"/>
      <c r="BC906" s="152"/>
      <c r="BD906" s="152"/>
      <c r="BE906" s="236"/>
      <c r="BF906" s="262"/>
      <c r="BG906" s="262"/>
    </row>
    <row r="907" spans="1:59" ht="12.75" customHeight="1" x14ac:dyDescent="0.15">
      <c r="A907" s="57"/>
      <c r="B907" s="57"/>
      <c r="C907" s="57"/>
      <c r="D907" s="103"/>
      <c r="E907" s="125"/>
      <c r="F907" s="125"/>
      <c r="G907" s="57"/>
      <c r="H907" s="57"/>
      <c r="I907" s="57"/>
      <c r="J907" s="57"/>
      <c r="K907" s="57"/>
      <c r="L907" s="57"/>
      <c r="M907" s="57"/>
      <c r="N907" s="57"/>
      <c r="O907" s="70"/>
      <c r="P907" s="57"/>
      <c r="Q907" s="24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220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149"/>
      <c r="AP907" s="149"/>
      <c r="AQ907" s="57"/>
      <c r="AR907" s="74"/>
      <c r="AS907" s="149"/>
      <c r="AT907" s="235"/>
      <c r="AU907" s="57"/>
      <c r="AV907" s="57"/>
      <c r="AW907" s="57"/>
      <c r="AX907" s="70"/>
      <c r="AY907" s="149"/>
      <c r="AZ907" s="112"/>
      <c r="BA907" s="236"/>
      <c r="BB907" s="236"/>
      <c r="BC907" s="152"/>
      <c r="BD907" s="152"/>
      <c r="BE907" s="236"/>
      <c r="BF907" s="262"/>
      <c r="BG907" s="262"/>
    </row>
    <row r="908" spans="1:59" ht="12.75" customHeight="1" x14ac:dyDescent="0.15">
      <c r="A908" s="57"/>
      <c r="B908" s="57"/>
      <c r="C908" s="57"/>
      <c r="D908" s="103"/>
      <c r="E908" s="125"/>
      <c r="F908" s="125"/>
      <c r="G908" s="57"/>
      <c r="H908" s="57"/>
      <c r="I908" s="57"/>
      <c r="J908" s="57"/>
      <c r="K908" s="57"/>
      <c r="L908" s="57"/>
      <c r="M908" s="57"/>
      <c r="N908" s="57"/>
      <c r="O908" s="70"/>
      <c r="P908" s="57"/>
      <c r="Q908" s="24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220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149"/>
      <c r="AP908" s="149"/>
      <c r="AQ908" s="57"/>
      <c r="AR908" s="74"/>
      <c r="AS908" s="149"/>
      <c r="AT908" s="235"/>
      <c r="AU908" s="57"/>
      <c r="AV908" s="57"/>
      <c r="AW908" s="57"/>
      <c r="AX908" s="70"/>
      <c r="AY908" s="149"/>
      <c r="AZ908" s="112"/>
      <c r="BA908" s="236"/>
      <c r="BB908" s="236"/>
      <c r="BC908" s="152"/>
      <c r="BD908" s="152"/>
      <c r="BE908" s="236"/>
      <c r="BF908" s="262"/>
      <c r="BG908" s="262"/>
    </row>
    <row r="909" spans="1:59" ht="12.75" customHeight="1" x14ac:dyDescent="0.15">
      <c r="A909" s="57"/>
      <c r="B909" s="57"/>
      <c r="C909" s="57"/>
      <c r="D909" s="103"/>
      <c r="E909" s="125"/>
      <c r="F909" s="125"/>
      <c r="G909" s="57"/>
      <c r="H909" s="57"/>
      <c r="I909" s="57"/>
      <c r="J909" s="57"/>
      <c r="K909" s="57"/>
      <c r="L909" s="57"/>
      <c r="M909" s="57"/>
      <c r="N909" s="57"/>
      <c r="O909" s="70"/>
      <c r="P909" s="57"/>
      <c r="Q909" s="24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220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149"/>
      <c r="AP909" s="149"/>
      <c r="AQ909" s="57"/>
      <c r="AR909" s="74"/>
      <c r="AS909" s="149"/>
      <c r="AT909" s="235"/>
      <c r="AU909" s="57"/>
      <c r="AV909" s="57"/>
      <c r="AW909" s="57"/>
      <c r="AX909" s="70"/>
      <c r="AY909" s="149"/>
      <c r="AZ909" s="112"/>
      <c r="BA909" s="236"/>
      <c r="BB909" s="236"/>
      <c r="BC909" s="152"/>
      <c r="BD909" s="152"/>
      <c r="BE909" s="236"/>
      <c r="BF909" s="262"/>
      <c r="BG909" s="262"/>
    </row>
    <row r="910" spans="1:59" ht="12.75" customHeight="1" x14ac:dyDescent="0.15">
      <c r="A910" s="57"/>
      <c r="B910" s="57"/>
      <c r="C910" s="57"/>
      <c r="D910" s="103"/>
      <c r="E910" s="125"/>
      <c r="F910" s="125"/>
      <c r="G910" s="57"/>
      <c r="H910" s="57"/>
      <c r="I910" s="57"/>
      <c r="J910" s="57"/>
      <c r="K910" s="57"/>
      <c r="L910" s="57"/>
      <c r="M910" s="57"/>
      <c r="N910" s="57"/>
      <c r="O910" s="70"/>
      <c r="P910" s="57"/>
      <c r="Q910" s="24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220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149"/>
      <c r="AP910" s="149"/>
      <c r="AQ910" s="57"/>
      <c r="AR910" s="74"/>
      <c r="AS910" s="149"/>
      <c r="AT910" s="235"/>
      <c r="AU910" s="57"/>
      <c r="AV910" s="57"/>
      <c r="AW910" s="57"/>
      <c r="AX910" s="70"/>
      <c r="AY910" s="149"/>
      <c r="AZ910" s="112"/>
      <c r="BA910" s="236"/>
      <c r="BB910" s="236"/>
      <c r="BC910" s="152"/>
      <c r="BD910" s="152"/>
      <c r="BE910" s="236"/>
      <c r="BF910" s="262"/>
      <c r="BG910" s="262"/>
    </row>
    <row r="911" spans="1:59" ht="12.75" customHeight="1" x14ac:dyDescent="0.15">
      <c r="A911" s="57"/>
      <c r="B911" s="57"/>
      <c r="C911" s="57"/>
      <c r="D911" s="103"/>
      <c r="E911" s="125"/>
      <c r="F911" s="125"/>
      <c r="G911" s="57"/>
      <c r="H911" s="57"/>
      <c r="I911" s="57"/>
      <c r="J911" s="57"/>
      <c r="K911" s="57"/>
      <c r="L911" s="57"/>
      <c r="M911" s="57"/>
      <c r="N911" s="57"/>
      <c r="O911" s="70"/>
      <c r="P911" s="57"/>
      <c r="Q911" s="24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220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149"/>
      <c r="AP911" s="149"/>
      <c r="AQ911" s="57"/>
      <c r="AR911" s="74"/>
      <c r="AS911" s="149"/>
      <c r="AT911" s="235"/>
      <c r="AU911" s="57"/>
      <c r="AV911" s="57"/>
      <c r="AW911" s="57"/>
      <c r="AX911" s="70"/>
      <c r="AY911" s="149"/>
      <c r="AZ911" s="112"/>
      <c r="BA911" s="236"/>
      <c r="BB911" s="236"/>
      <c r="BC911" s="152"/>
      <c r="BD911" s="152"/>
      <c r="BE911" s="236"/>
      <c r="BF911" s="262"/>
      <c r="BG911" s="262"/>
    </row>
    <row r="912" spans="1:59" ht="12.75" customHeight="1" x14ac:dyDescent="0.15">
      <c r="A912" s="57"/>
      <c r="B912" s="57"/>
      <c r="C912" s="57"/>
      <c r="D912" s="103"/>
      <c r="E912" s="125"/>
      <c r="F912" s="125"/>
      <c r="G912" s="57"/>
      <c r="H912" s="57"/>
      <c r="I912" s="57"/>
      <c r="J912" s="57"/>
      <c r="K912" s="57"/>
      <c r="L912" s="57"/>
      <c r="M912" s="57"/>
      <c r="N912" s="57"/>
      <c r="O912" s="70"/>
      <c r="P912" s="57"/>
      <c r="Q912" s="24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220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149"/>
      <c r="AP912" s="149"/>
      <c r="AQ912" s="57"/>
      <c r="AR912" s="74"/>
      <c r="AS912" s="149"/>
      <c r="AT912" s="235"/>
      <c r="AU912" s="57"/>
      <c r="AV912" s="57"/>
      <c r="AW912" s="57"/>
      <c r="AX912" s="70"/>
      <c r="AY912" s="149"/>
      <c r="AZ912" s="112"/>
      <c r="BA912" s="236"/>
      <c r="BB912" s="236"/>
      <c r="BC912" s="152"/>
      <c r="BD912" s="152"/>
      <c r="BE912" s="236"/>
      <c r="BF912" s="262"/>
      <c r="BG912" s="262"/>
    </row>
    <row r="913" spans="1:59" ht="12.75" customHeight="1" x14ac:dyDescent="0.15">
      <c r="A913" s="57"/>
      <c r="B913" s="57"/>
      <c r="C913" s="57"/>
      <c r="D913" s="103"/>
      <c r="E913" s="125"/>
      <c r="F913" s="125"/>
      <c r="G913" s="57"/>
      <c r="H913" s="57"/>
      <c r="I913" s="57"/>
      <c r="J913" s="57"/>
      <c r="K913" s="57"/>
      <c r="L913" s="57"/>
      <c r="M913" s="57"/>
      <c r="N913" s="57"/>
      <c r="O913" s="70"/>
      <c r="P913" s="57"/>
      <c r="Q913" s="24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220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149"/>
      <c r="AP913" s="149"/>
      <c r="AQ913" s="57"/>
      <c r="AR913" s="74"/>
      <c r="AS913" s="149"/>
      <c r="AT913" s="235"/>
      <c r="AU913" s="57"/>
      <c r="AV913" s="57"/>
      <c r="AW913" s="57"/>
      <c r="AX913" s="70"/>
      <c r="AY913" s="149"/>
      <c r="AZ913" s="112"/>
      <c r="BA913" s="236"/>
      <c r="BB913" s="236"/>
      <c r="BC913" s="152"/>
      <c r="BD913" s="152"/>
      <c r="BE913" s="236"/>
      <c r="BF913" s="262"/>
      <c r="BG913" s="262"/>
    </row>
    <row r="914" spans="1:59" ht="12.75" customHeight="1" x14ac:dyDescent="0.15">
      <c r="A914" s="57"/>
      <c r="B914" s="57"/>
      <c r="C914" s="57"/>
      <c r="D914" s="103"/>
      <c r="E914" s="125"/>
      <c r="F914" s="125"/>
      <c r="G914" s="57"/>
      <c r="H914" s="57"/>
      <c r="I914" s="57"/>
      <c r="J914" s="57"/>
      <c r="K914" s="57"/>
      <c r="L914" s="57"/>
      <c r="M914" s="57"/>
      <c r="N914" s="57"/>
      <c r="O914" s="70"/>
      <c r="P914" s="57"/>
      <c r="Q914" s="24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220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149"/>
      <c r="AP914" s="149"/>
      <c r="AQ914" s="57"/>
      <c r="AR914" s="74"/>
      <c r="AS914" s="149"/>
      <c r="AT914" s="235"/>
      <c r="AU914" s="57"/>
      <c r="AV914" s="57"/>
      <c r="AW914" s="57"/>
      <c r="AX914" s="70"/>
      <c r="AY914" s="149"/>
      <c r="AZ914" s="112"/>
      <c r="BA914" s="236"/>
      <c r="BB914" s="236"/>
      <c r="BC914" s="152"/>
      <c r="BD914" s="152"/>
      <c r="BE914" s="236"/>
      <c r="BF914" s="262"/>
      <c r="BG914" s="262"/>
    </row>
    <row r="915" spans="1:59" ht="12.75" customHeight="1" x14ac:dyDescent="0.15">
      <c r="A915" s="57"/>
      <c r="B915" s="57"/>
      <c r="C915" s="57"/>
      <c r="D915" s="103"/>
      <c r="E915" s="125"/>
      <c r="F915" s="125"/>
      <c r="G915" s="57"/>
      <c r="H915" s="57"/>
      <c r="I915" s="57"/>
      <c r="J915" s="57"/>
      <c r="K915" s="57"/>
      <c r="L915" s="57"/>
      <c r="M915" s="57"/>
      <c r="N915" s="57"/>
      <c r="O915" s="70"/>
      <c r="P915" s="57"/>
      <c r="Q915" s="24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220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149"/>
      <c r="AP915" s="149"/>
      <c r="AQ915" s="57"/>
      <c r="AR915" s="74"/>
      <c r="AS915" s="149"/>
      <c r="AT915" s="235"/>
      <c r="AU915" s="57"/>
      <c r="AV915" s="57"/>
      <c r="AW915" s="57"/>
      <c r="AX915" s="70"/>
      <c r="AY915" s="149"/>
      <c r="AZ915" s="112"/>
      <c r="BA915" s="236"/>
      <c r="BB915" s="236"/>
      <c r="BC915" s="152"/>
      <c r="BD915" s="152"/>
      <c r="BE915" s="236"/>
      <c r="BF915" s="262"/>
      <c r="BG915" s="262"/>
    </row>
    <row r="916" spans="1:59" ht="12.75" customHeight="1" x14ac:dyDescent="0.15">
      <c r="A916" s="57"/>
      <c r="B916" s="57"/>
      <c r="C916" s="57"/>
      <c r="D916" s="103"/>
      <c r="E916" s="125"/>
      <c r="F916" s="125"/>
      <c r="G916" s="57"/>
      <c r="H916" s="57"/>
      <c r="I916" s="57"/>
      <c r="J916" s="57"/>
      <c r="K916" s="57"/>
      <c r="L916" s="57"/>
      <c r="M916" s="57"/>
      <c r="N916" s="57"/>
      <c r="O916" s="70"/>
      <c r="P916" s="57"/>
      <c r="Q916" s="24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220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149"/>
      <c r="AP916" s="149"/>
      <c r="AQ916" s="57"/>
      <c r="AR916" s="74"/>
      <c r="AS916" s="149"/>
      <c r="AT916" s="235"/>
      <c r="AU916" s="57"/>
      <c r="AV916" s="57"/>
      <c r="AW916" s="57"/>
      <c r="AX916" s="70"/>
      <c r="AY916" s="149"/>
      <c r="AZ916" s="112"/>
      <c r="BA916" s="236"/>
      <c r="BB916" s="236"/>
      <c r="BC916" s="152"/>
      <c r="BD916" s="152"/>
      <c r="BE916" s="236"/>
      <c r="BF916" s="262"/>
      <c r="BG916" s="262"/>
    </row>
    <row r="917" spans="1:59" ht="12.75" customHeight="1" x14ac:dyDescent="0.15">
      <c r="A917" s="57"/>
      <c r="B917" s="57"/>
      <c r="C917" s="57"/>
      <c r="D917" s="103"/>
      <c r="E917" s="125"/>
      <c r="F917" s="125"/>
      <c r="G917" s="57"/>
      <c r="H917" s="57"/>
      <c r="I917" s="57"/>
      <c r="J917" s="57"/>
      <c r="K917" s="57"/>
      <c r="L917" s="57"/>
      <c r="M917" s="57"/>
      <c r="N917" s="57"/>
      <c r="O917" s="70"/>
      <c r="P917" s="57"/>
      <c r="Q917" s="24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220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149"/>
      <c r="AP917" s="149"/>
      <c r="AQ917" s="57"/>
      <c r="AR917" s="74"/>
      <c r="AS917" s="149"/>
      <c r="AT917" s="235"/>
      <c r="AU917" s="57"/>
      <c r="AV917" s="57"/>
      <c r="AW917" s="57"/>
      <c r="AX917" s="70"/>
      <c r="AY917" s="149"/>
      <c r="AZ917" s="112"/>
      <c r="BA917" s="236"/>
      <c r="BB917" s="236"/>
      <c r="BC917" s="152"/>
      <c r="BD917" s="152"/>
      <c r="BE917" s="236"/>
      <c r="BF917" s="262"/>
      <c r="BG917" s="262"/>
    </row>
    <row r="918" spans="1:59" ht="12.75" customHeight="1" x14ac:dyDescent="0.15">
      <c r="A918" s="57"/>
      <c r="B918" s="57"/>
      <c r="C918" s="57"/>
      <c r="D918" s="103"/>
      <c r="E918" s="125"/>
      <c r="F918" s="125"/>
      <c r="G918" s="57"/>
      <c r="H918" s="57"/>
      <c r="I918" s="57"/>
      <c r="J918" s="57"/>
      <c r="K918" s="57"/>
      <c r="L918" s="57"/>
      <c r="M918" s="57"/>
      <c r="N918" s="57"/>
      <c r="O918" s="70"/>
      <c r="P918" s="57"/>
      <c r="Q918" s="24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220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149"/>
      <c r="AP918" s="149"/>
      <c r="AQ918" s="57"/>
      <c r="AR918" s="74"/>
      <c r="AS918" s="149"/>
      <c r="AT918" s="235"/>
      <c r="AU918" s="57"/>
      <c r="AV918" s="57"/>
      <c r="AW918" s="57"/>
      <c r="AX918" s="70"/>
      <c r="AY918" s="149"/>
      <c r="AZ918" s="112"/>
      <c r="BA918" s="236"/>
      <c r="BB918" s="236"/>
      <c r="BC918" s="152"/>
      <c r="BD918" s="152"/>
      <c r="BE918" s="236"/>
      <c r="BF918" s="262"/>
      <c r="BG918" s="262"/>
    </row>
    <row r="919" spans="1:59" ht="12.75" customHeight="1" x14ac:dyDescent="0.15">
      <c r="A919" s="57"/>
      <c r="B919" s="57"/>
      <c r="C919" s="57"/>
      <c r="D919" s="103"/>
      <c r="E919" s="125"/>
      <c r="F919" s="125"/>
      <c r="G919" s="57"/>
      <c r="H919" s="57"/>
      <c r="I919" s="57"/>
      <c r="J919" s="57"/>
      <c r="K919" s="57"/>
      <c r="L919" s="57"/>
      <c r="M919" s="57"/>
      <c r="N919" s="57"/>
      <c r="O919" s="70"/>
      <c r="P919" s="57"/>
      <c r="Q919" s="24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220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149"/>
      <c r="AP919" s="149"/>
      <c r="AQ919" s="57"/>
      <c r="AR919" s="74"/>
      <c r="AS919" s="149"/>
      <c r="AT919" s="235"/>
      <c r="AU919" s="57"/>
      <c r="AV919" s="57"/>
      <c r="AW919" s="57"/>
      <c r="AX919" s="70"/>
      <c r="AY919" s="149"/>
      <c r="AZ919" s="112"/>
      <c r="BA919" s="236"/>
      <c r="BB919" s="236"/>
      <c r="BC919" s="152"/>
      <c r="BD919" s="152"/>
      <c r="BE919" s="236"/>
      <c r="BF919" s="262"/>
      <c r="BG919" s="262"/>
    </row>
    <row r="920" spans="1:59" ht="12.75" customHeight="1" x14ac:dyDescent="0.15">
      <c r="A920" s="57"/>
      <c r="B920" s="57"/>
      <c r="C920" s="57"/>
      <c r="D920" s="103"/>
      <c r="E920" s="125"/>
      <c r="F920" s="125"/>
      <c r="G920" s="57"/>
      <c r="H920" s="57"/>
      <c r="I920" s="57"/>
      <c r="J920" s="57"/>
      <c r="K920" s="57"/>
      <c r="L920" s="57"/>
      <c r="M920" s="57"/>
      <c r="N920" s="57"/>
      <c r="O920" s="70"/>
      <c r="P920" s="57"/>
      <c r="Q920" s="24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220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149"/>
      <c r="AP920" s="149"/>
      <c r="AQ920" s="57"/>
      <c r="AR920" s="74"/>
      <c r="AS920" s="149"/>
      <c r="AT920" s="235"/>
      <c r="AU920" s="57"/>
      <c r="AV920" s="57"/>
      <c r="AW920" s="57"/>
      <c r="AX920" s="70"/>
      <c r="AY920" s="149"/>
      <c r="AZ920" s="112"/>
      <c r="BA920" s="236"/>
      <c r="BB920" s="236"/>
      <c r="BC920" s="152"/>
      <c r="BD920" s="152"/>
      <c r="BE920" s="236"/>
      <c r="BF920" s="262"/>
      <c r="BG920" s="262"/>
    </row>
    <row r="921" spans="1:59" ht="12.75" customHeight="1" x14ac:dyDescent="0.15">
      <c r="A921" s="57"/>
      <c r="B921" s="57"/>
      <c r="C921" s="57"/>
      <c r="D921" s="103"/>
      <c r="E921" s="125"/>
      <c r="F921" s="125"/>
      <c r="G921" s="57"/>
      <c r="H921" s="57"/>
      <c r="I921" s="57"/>
      <c r="J921" s="57"/>
      <c r="K921" s="57"/>
      <c r="L921" s="57"/>
      <c r="M921" s="57"/>
      <c r="N921" s="57"/>
      <c r="O921" s="70"/>
      <c r="P921" s="57"/>
      <c r="Q921" s="24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220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149"/>
      <c r="AP921" s="149"/>
      <c r="AQ921" s="57"/>
      <c r="AR921" s="74"/>
      <c r="AS921" s="149"/>
      <c r="AT921" s="235"/>
      <c r="AU921" s="57"/>
      <c r="AV921" s="57"/>
      <c r="AW921" s="57"/>
      <c r="AX921" s="70"/>
      <c r="AY921" s="149"/>
      <c r="AZ921" s="112"/>
      <c r="BA921" s="236"/>
      <c r="BB921" s="236"/>
      <c r="BC921" s="152"/>
      <c r="BD921" s="152"/>
      <c r="BE921" s="236"/>
      <c r="BF921" s="262"/>
      <c r="BG921" s="262"/>
    </row>
    <row r="922" spans="1:59" ht="12.75" customHeight="1" x14ac:dyDescent="0.15">
      <c r="A922" s="57"/>
      <c r="B922" s="57"/>
      <c r="C922" s="57"/>
      <c r="D922" s="103"/>
      <c r="E922" s="125"/>
      <c r="F922" s="125"/>
      <c r="G922" s="57"/>
      <c r="H922" s="57"/>
      <c r="I922" s="57"/>
      <c r="J922" s="57"/>
      <c r="K922" s="57"/>
      <c r="L922" s="57"/>
      <c r="M922" s="57"/>
      <c r="N922" s="57"/>
      <c r="O922" s="70"/>
      <c r="P922" s="57"/>
      <c r="Q922" s="24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220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149"/>
      <c r="AP922" s="149"/>
      <c r="AQ922" s="57"/>
      <c r="AR922" s="74"/>
      <c r="AS922" s="149"/>
      <c r="AT922" s="235"/>
      <c r="AU922" s="57"/>
      <c r="AV922" s="57"/>
      <c r="AW922" s="57"/>
      <c r="AX922" s="70"/>
      <c r="AY922" s="149"/>
      <c r="AZ922" s="112"/>
      <c r="BA922" s="236"/>
      <c r="BB922" s="236"/>
      <c r="BC922" s="152"/>
      <c r="BD922" s="152"/>
      <c r="BE922" s="236"/>
      <c r="BF922" s="262"/>
      <c r="BG922" s="262"/>
    </row>
    <row r="923" spans="1:59" ht="12.75" customHeight="1" x14ac:dyDescent="0.15">
      <c r="A923" s="57"/>
      <c r="B923" s="57"/>
      <c r="C923" s="57"/>
      <c r="D923" s="103"/>
      <c r="E923" s="125"/>
      <c r="F923" s="125"/>
      <c r="G923" s="57"/>
      <c r="H923" s="57"/>
      <c r="I923" s="57"/>
      <c r="J923" s="57"/>
      <c r="K923" s="57"/>
      <c r="L923" s="57"/>
      <c r="M923" s="57"/>
      <c r="N923" s="57"/>
      <c r="O923" s="70"/>
      <c r="P923" s="57"/>
      <c r="Q923" s="24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220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149"/>
      <c r="AP923" s="149"/>
      <c r="AQ923" s="57"/>
      <c r="AR923" s="74"/>
      <c r="AS923" s="149"/>
      <c r="AT923" s="235"/>
      <c r="AU923" s="57"/>
      <c r="AV923" s="57"/>
      <c r="AW923" s="57"/>
      <c r="AX923" s="70"/>
      <c r="AY923" s="149"/>
      <c r="AZ923" s="112"/>
      <c r="BA923" s="236"/>
      <c r="BB923" s="236"/>
      <c r="BC923" s="152"/>
      <c r="BD923" s="152"/>
      <c r="BE923" s="236"/>
      <c r="BF923" s="262"/>
      <c r="BG923" s="262"/>
    </row>
    <row r="924" spans="1:59" ht="12.75" customHeight="1" x14ac:dyDescent="0.15">
      <c r="A924" s="57"/>
      <c r="B924" s="57"/>
      <c r="C924" s="57"/>
      <c r="D924" s="103"/>
      <c r="E924" s="125"/>
      <c r="F924" s="125"/>
      <c r="G924" s="57"/>
      <c r="H924" s="57"/>
      <c r="I924" s="57"/>
      <c r="J924" s="57"/>
      <c r="K924" s="57"/>
      <c r="L924" s="57"/>
      <c r="M924" s="57"/>
      <c r="N924" s="57"/>
      <c r="O924" s="70"/>
      <c r="P924" s="57"/>
      <c r="Q924" s="24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220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149"/>
      <c r="AP924" s="149"/>
      <c r="AQ924" s="57"/>
      <c r="AR924" s="74"/>
      <c r="AS924" s="149"/>
      <c r="AT924" s="235"/>
      <c r="AU924" s="57"/>
      <c r="AV924" s="57"/>
      <c r="AW924" s="57"/>
      <c r="AX924" s="70"/>
      <c r="AY924" s="149"/>
      <c r="AZ924" s="112"/>
      <c r="BA924" s="236"/>
      <c r="BB924" s="236"/>
      <c r="BC924" s="152"/>
      <c r="BD924" s="152"/>
      <c r="BE924" s="236"/>
      <c r="BF924" s="262"/>
      <c r="BG924" s="262"/>
    </row>
    <row r="925" spans="1:59" ht="12.75" customHeight="1" x14ac:dyDescent="0.15">
      <c r="A925" s="57"/>
      <c r="B925" s="57"/>
      <c r="C925" s="57"/>
      <c r="D925" s="103"/>
      <c r="E925" s="125"/>
      <c r="F925" s="125"/>
      <c r="G925" s="57"/>
      <c r="H925" s="57"/>
      <c r="I925" s="57"/>
      <c r="J925" s="57"/>
      <c r="K925" s="57"/>
      <c r="L925" s="57"/>
      <c r="M925" s="57"/>
      <c r="N925" s="57"/>
      <c r="O925" s="70"/>
      <c r="P925" s="57"/>
      <c r="Q925" s="24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220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149"/>
      <c r="AP925" s="149"/>
      <c r="AQ925" s="57"/>
      <c r="AR925" s="74"/>
      <c r="AS925" s="149"/>
      <c r="AT925" s="235"/>
      <c r="AU925" s="57"/>
      <c r="AV925" s="57"/>
      <c r="AW925" s="57"/>
      <c r="AX925" s="70"/>
      <c r="AY925" s="149"/>
      <c r="AZ925" s="112"/>
      <c r="BA925" s="236"/>
      <c r="BB925" s="236"/>
      <c r="BC925" s="152"/>
      <c r="BD925" s="152"/>
      <c r="BE925" s="236"/>
      <c r="BF925" s="262"/>
      <c r="BG925" s="262"/>
    </row>
    <row r="926" spans="1:59" ht="12.75" customHeight="1" x14ac:dyDescent="0.15">
      <c r="A926" s="57"/>
      <c r="B926" s="57"/>
      <c r="C926" s="57"/>
      <c r="D926" s="103"/>
      <c r="E926" s="125"/>
      <c r="F926" s="125"/>
      <c r="G926" s="57"/>
      <c r="H926" s="57"/>
      <c r="I926" s="57"/>
      <c r="J926" s="57"/>
      <c r="K926" s="57"/>
      <c r="L926" s="57"/>
      <c r="M926" s="57"/>
      <c r="N926" s="57"/>
      <c r="O926" s="70"/>
      <c r="P926" s="57"/>
      <c r="Q926" s="24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220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149"/>
      <c r="AP926" s="149"/>
      <c r="AQ926" s="57"/>
      <c r="AR926" s="74"/>
      <c r="AS926" s="149"/>
      <c r="AT926" s="235"/>
      <c r="AU926" s="57"/>
      <c r="AV926" s="57"/>
      <c r="AW926" s="57"/>
      <c r="AX926" s="70"/>
      <c r="AY926" s="149"/>
      <c r="AZ926" s="112"/>
      <c r="BA926" s="236"/>
      <c r="BB926" s="236"/>
      <c r="BC926" s="152"/>
      <c r="BD926" s="152"/>
      <c r="BE926" s="236"/>
      <c r="BF926" s="262"/>
      <c r="BG926" s="262"/>
    </row>
    <row r="927" spans="1:59" ht="12.75" customHeight="1" x14ac:dyDescent="0.15">
      <c r="A927" s="57"/>
      <c r="B927" s="57"/>
      <c r="C927" s="57"/>
      <c r="D927" s="103"/>
      <c r="E927" s="125"/>
      <c r="F927" s="125"/>
      <c r="G927" s="57"/>
      <c r="H927" s="57"/>
      <c r="I927" s="57"/>
      <c r="J927" s="57"/>
      <c r="K927" s="57"/>
      <c r="L927" s="57"/>
      <c r="M927" s="57"/>
      <c r="N927" s="57"/>
      <c r="O927" s="70"/>
      <c r="P927" s="57"/>
      <c r="Q927" s="24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220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149"/>
      <c r="AP927" s="149"/>
      <c r="AQ927" s="57"/>
      <c r="AR927" s="74"/>
      <c r="AS927" s="149"/>
      <c r="AT927" s="235"/>
      <c r="AU927" s="57"/>
      <c r="AV927" s="57"/>
      <c r="AW927" s="57"/>
      <c r="AX927" s="70"/>
      <c r="AY927" s="149"/>
      <c r="AZ927" s="112"/>
      <c r="BA927" s="236"/>
      <c r="BB927" s="236"/>
      <c r="BC927" s="152"/>
      <c r="BD927" s="152"/>
      <c r="BE927" s="236"/>
      <c r="BF927" s="262"/>
      <c r="BG927" s="262"/>
    </row>
    <row r="928" spans="1:59" ht="12.75" customHeight="1" x14ac:dyDescent="0.15">
      <c r="A928" s="57"/>
      <c r="B928" s="57"/>
      <c r="C928" s="57"/>
      <c r="D928" s="103"/>
      <c r="E928" s="125"/>
      <c r="F928" s="125"/>
      <c r="G928" s="57"/>
      <c r="H928" s="57"/>
      <c r="I928" s="57"/>
      <c r="J928" s="57"/>
      <c r="K928" s="57"/>
      <c r="L928" s="57"/>
      <c r="M928" s="57"/>
      <c r="N928" s="57"/>
      <c r="O928" s="70"/>
      <c r="P928" s="57"/>
      <c r="Q928" s="24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220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149"/>
      <c r="AP928" s="149"/>
      <c r="AQ928" s="57"/>
      <c r="AR928" s="74"/>
      <c r="AS928" s="149"/>
      <c r="AT928" s="235"/>
      <c r="AU928" s="57"/>
      <c r="AV928" s="57"/>
      <c r="AW928" s="57"/>
      <c r="AX928" s="70"/>
      <c r="AY928" s="149"/>
      <c r="AZ928" s="112"/>
      <c r="BA928" s="236"/>
      <c r="BB928" s="236"/>
      <c r="BC928" s="152"/>
      <c r="BD928" s="152"/>
      <c r="BE928" s="236"/>
      <c r="BF928" s="262"/>
      <c r="BG928" s="262"/>
    </row>
    <row r="929" spans="1:59" ht="12.75" customHeight="1" x14ac:dyDescent="0.15">
      <c r="A929" s="57"/>
      <c r="B929" s="57"/>
      <c r="C929" s="57"/>
      <c r="D929" s="103"/>
      <c r="E929" s="125"/>
      <c r="F929" s="125"/>
      <c r="G929" s="57"/>
      <c r="H929" s="57"/>
      <c r="I929" s="57"/>
      <c r="J929" s="57"/>
      <c r="K929" s="57"/>
      <c r="L929" s="57"/>
      <c r="M929" s="57"/>
      <c r="N929" s="57"/>
      <c r="O929" s="70"/>
      <c r="P929" s="57"/>
      <c r="Q929" s="24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220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149"/>
      <c r="AP929" s="149"/>
      <c r="AQ929" s="57"/>
      <c r="AR929" s="74"/>
      <c r="AS929" s="149"/>
      <c r="AT929" s="235"/>
      <c r="AU929" s="57"/>
      <c r="AV929" s="57"/>
      <c r="AW929" s="57"/>
      <c r="AX929" s="70"/>
      <c r="AY929" s="149"/>
      <c r="AZ929" s="112"/>
      <c r="BA929" s="236"/>
      <c r="BB929" s="236"/>
      <c r="BC929" s="152"/>
      <c r="BD929" s="152"/>
      <c r="BE929" s="236"/>
      <c r="BF929" s="262"/>
      <c r="BG929" s="262"/>
    </row>
    <row r="930" spans="1:59" ht="12.75" customHeight="1" x14ac:dyDescent="0.15">
      <c r="A930" s="57"/>
      <c r="B930" s="57"/>
      <c r="C930" s="57"/>
      <c r="D930" s="103"/>
      <c r="E930" s="125"/>
      <c r="F930" s="125"/>
      <c r="G930" s="57"/>
      <c r="H930" s="57"/>
      <c r="I930" s="57"/>
      <c r="J930" s="57"/>
      <c r="K930" s="57"/>
      <c r="L930" s="57"/>
      <c r="M930" s="57"/>
      <c r="N930" s="57"/>
      <c r="O930" s="70"/>
      <c r="P930" s="57"/>
      <c r="Q930" s="24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220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149"/>
      <c r="AP930" s="149"/>
      <c r="AQ930" s="57"/>
      <c r="AR930" s="74"/>
      <c r="AS930" s="149"/>
      <c r="AT930" s="235"/>
      <c r="AU930" s="57"/>
      <c r="AV930" s="57"/>
      <c r="AW930" s="57"/>
      <c r="AX930" s="70"/>
      <c r="AY930" s="149"/>
      <c r="AZ930" s="112"/>
      <c r="BA930" s="236"/>
      <c r="BB930" s="236"/>
      <c r="BC930" s="152"/>
      <c r="BD930" s="152"/>
      <c r="BE930" s="236"/>
      <c r="BF930" s="262"/>
      <c r="BG930" s="262"/>
    </row>
    <row r="931" spans="1:59" ht="12.75" customHeight="1" x14ac:dyDescent="0.15">
      <c r="A931" s="57"/>
      <c r="B931" s="57"/>
      <c r="C931" s="57"/>
      <c r="D931" s="103"/>
      <c r="E931" s="125"/>
      <c r="F931" s="125"/>
      <c r="G931" s="57"/>
      <c r="H931" s="57"/>
      <c r="I931" s="57"/>
      <c r="J931" s="57"/>
      <c r="K931" s="57"/>
      <c r="L931" s="57"/>
      <c r="M931" s="57"/>
      <c r="N931" s="57"/>
      <c r="O931" s="70"/>
      <c r="P931" s="57"/>
      <c r="Q931" s="24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220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149"/>
      <c r="AP931" s="149"/>
      <c r="AQ931" s="57"/>
      <c r="AR931" s="74"/>
      <c r="AS931" s="149"/>
      <c r="AT931" s="235"/>
      <c r="AU931" s="57"/>
      <c r="AV931" s="57"/>
      <c r="AW931" s="57"/>
      <c r="AX931" s="70"/>
      <c r="AY931" s="149"/>
      <c r="AZ931" s="112"/>
      <c r="BA931" s="236"/>
      <c r="BB931" s="236"/>
      <c r="BC931" s="152"/>
      <c r="BD931" s="152"/>
      <c r="BE931" s="236"/>
      <c r="BF931" s="262"/>
      <c r="BG931" s="262"/>
    </row>
    <row r="932" spans="1:59" ht="12.75" customHeight="1" x14ac:dyDescent="0.15">
      <c r="A932" s="57"/>
      <c r="B932" s="57"/>
      <c r="C932" s="57"/>
      <c r="D932" s="103"/>
      <c r="E932" s="125"/>
      <c r="F932" s="125"/>
      <c r="G932" s="57"/>
      <c r="H932" s="57"/>
      <c r="I932" s="57"/>
      <c r="J932" s="57"/>
      <c r="K932" s="57"/>
      <c r="L932" s="57"/>
      <c r="M932" s="57"/>
      <c r="N932" s="57"/>
      <c r="O932" s="70"/>
      <c r="P932" s="57"/>
      <c r="Q932" s="24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220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149"/>
      <c r="AP932" s="149"/>
      <c r="AQ932" s="57"/>
      <c r="AR932" s="74"/>
      <c r="AS932" s="149"/>
      <c r="AT932" s="235"/>
      <c r="AU932" s="57"/>
      <c r="AV932" s="57"/>
      <c r="AW932" s="57"/>
      <c r="AX932" s="70"/>
      <c r="AY932" s="149"/>
      <c r="AZ932" s="112"/>
      <c r="BA932" s="236"/>
      <c r="BB932" s="236"/>
      <c r="BC932" s="152"/>
      <c r="BD932" s="152"/>
      <c r="BE932" s="236"/>
      <c r="BF932" s="262"/>
      <c r="BG932" s="262"/>
    </row>
    <row r="933" spans="1:59" ht="12.75" customHeight="1" x14ac:dyDescent="0.15">
      <c r="A933" s="57"/>
      <c r="B933" s="57"/>
      <c r="C933" s="57"/>
      <c r="D933" s="103"/>
      <c r="E933" s="125"/>
      <c r="F933" s="125"/>
      <c r="G933" s="57"/>
      <c r="H933" s="57"/>
      <c r="I933" s="57"/>
      <c r="J933" s="57"/>
      <c r="K933" s="57"/>
      <c r="L933" s="57"/>
      <c r="M933" s="57"/>
      <c r="N933" s="57"/>
      <c r="O933" s="70"/>
      <c r="P933" s="57"/>
      <c r="Q933" s="24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220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149"/>
      <c r="AP933" s="149"/>
      <c r="AQ933" s="57"/>
      <c r="AR933" s="74"/>
      <c r="AS933" s="149"/>
      <c r="AT933" s="235"/>
      <c r="AU933" s="57"/>
      <c r="AV933" s="57"/>
      <c r="AW933" s="57"/>
      <c r="AX933" s="70"/>
      <c r="AY933" s="149"/>
      <c r="AZ933" s="112"/>
      <c r="BA933" s="236"/>
      <c r="BB933" s="236"/>
      <c r="BC933" s="152"/>
      <c r="BD933" s="152"/>
      <c r="BE933" s="236"/>
      <c r="BF933" s="262"/>
      <c r="BG933" s="262"/>
    </row>
    <row r="934" spans="1:59" ht="12.75" customHeight="1" x14ac:dyDescent="0.15">
      <c r="A934" s="57"/>
      <c r="B934" s="57"/>
      <c r="C934" s="57"/>
      <c r="D934" s="103"/>
      <c r="E934" s="125"/>
      <c r="F934" s="125"/>
      <c r="G934" s="57"/>
      <c r="H934" s="57"/>
      <c r="I934" s="57"/>
      <c r="J934" s="57"/>
      <c r="K934" s="57"/>
      <c r="L934" s="57"/>
      <c r="M934" s="57"/>
      <c r="N934" s="57"/>
      <c r="O934" s="70"/>
      <c r="P934" s="57"/>
      <c r="Q934" s="24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220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149"/>
      <c r="AP934" s="149"/>
      <c r="AQ934" s="57"/>
      <c r="AR934" s="74"/>
      <c r="AS934" s="149"/>
      <c r="AT934" s="235"/>
      <c r="AU934" s="57"/>
      <c r="AV934" s="57"/>
      <c r="AW934" s="57"/>
      <c r="AX934" s="70"/>
      <c r="AY934" s="149"/>
      <c r="AZ934" s="112"/>
      <c r="BA934" s="236"/>
      <c r="BB934" s="236"/>
      <c r="BC934" s="152"/>
      <c r="BD934" s="152"/>
      <c r="BE934" s="236"/>
      <c r="BF934" s="262"/>
      <c r="BG934" s="262"/>
    </row>
    <row r="935" spans="1:59" ht="12.75" customHeight="1" x14ac:dyDescent="0.15">
      <c r="A935" s="57"/>
      <c r="B935" s="57"/>
      <c r="C935" s="57"/>
      <c r="D935" s="103"/>
      <c r="E935" s="125"/>
      <c r="F935" s="125"/>
      <c r="G935" s="57"/>
      <c r="H935" s="57"/>
      <c r="I935" s="57"/>
      <c r="J935" s="57"/>
      <c r="K935" s="57"/>
      <c r="L935" s="57"/>
      <c r="M935" s="57"/>
      <c r="N935" s="57"/>
      <c r="O935" s="70"/>
      <c r="P935" s="57"/>
      <c r="Q935" s="24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220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149"/>
      <c r="AP935" s="149"/>
      <c r="AQ935" s="57"/>
      <c r="AR935" s="74"/>
      <c r="AS935" s="149"/>
      <c r="AT935" s="235"/>
      <c r="AU935" s="57"/>
      <c r="AV935" s="57"/>
      <c r="AW935" s="57"/>
      <c r="AX935" s="70"/>
      <c r="AY935" s="149"/>
      <c r="AZ935" s="112"/>
      <c r="BA935" s="236"/>
      <c r="BB935" s="236"/>
      <c r="BC935" s="152"/>
      <c r="BD935" s="152"/>
      <c r="BE935" s="236"/>
      <c r="BF935" s="262"/>
      <c r="BG935" s="262"/>
    </row>
    <row r="936" spans="1:59" ht="12.75" customHeight="1" x14ac:dyDescent="0.15">
      <c r="A936" s="57"/>
      <c r="B936" s="57"/>
      <c r="C936" s="57"/>
      <c r="D936" s="103"/>
      <c r="E936" s="125"/>
      <c r="F936" s="125"/>
      <c r="G936" s="57"/>
      <c r="H936" s="57"/>
      <c r="I936" s="57"/>
      <c r="J936" s="57"/>
      <c r="K936" s="57"/>
      <c r="L936" s="57"/>
      <c r="M936" s="57"/>
      <c r="N936" s="57"/>
      <c r="O936" s="70"/>
      <c r="P936" s="57"/>
      <c r="Q936" s="24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220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149"/>
      <c r="AP936" s="149"/>
      <c r="AQ936" s="57"/>
      <c r="AR936" s="74"/>
      <c r="AS936" s="149"/>
      <c r="AT936" s="235"/>
      <c r="AU936" s="57"/>
      <c r="AV936" s="57"/>
      <c r="AW936" s="57"/>
      <c r="AX936" s="70"/>
      <c r="AY936" s="149"/>
      <c r="AZ936" s="112"/>
      <c r="BA936" s="236"/>
      <c r="BB936" s="236"/>
      <c r="BC936" s="152"/>
      <c r="BD936" s="152"/>
      <c r="BE936" s="236"/>
      <c r="BF936" s="262"/>
      <c r="BG936" s="262"/>
    </row>
    <row r="937" spans="1:59" ht="12.75" customHeight="1" x14ac:dyDescent="0.15">
      <c r="A937" s="57"/>
      <c r="B937" s="57"/>
      <c r="C937" s="57"/>
      <c r="D937" s="103"/>
      <c r="E937" s="125"/>
      <c r="F937" s="125"/>
      <c r="G937" s="57"/>
      <c r="H937" s="57"/>
      <c r="I937" s="57"/>
      <c r="J937" s="57"/>
      <c r="K937" s="57"/>
      <c r="L937" s="57"/>
      <c r="M937" s="57"/>
      <c r="N937" s="57"/>
      <c r="O937" s="70"/>
      <c r="P937" s="57"/>
      <c r="Q937" s="24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220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149"/>
      <c r="AP937" s="149"/>
      <c r="AQ937" s="57"/>
      <c r="AR937" s="74"/>
      <c r="AS937" s="149"/>
      <c r="AT937" s="235"/>
      <c r="AU937" s="57"/>
      <c r="AV937" s="57"/>
      <c r="AW937" s="57"/>
      <c r="AX937" s="70"/>
      <c r="AY937" s="149"/>
      <c r="AZ937" s="112"/>
      <c r="BA937" s="236"/>
      <c r="BB937" s="236"/>
      <c r="BC937" s="152"/>
      <c r="BD937" s="152"/>
      <c r="BE937" s="236"/>
      <c r="BF937" s="262"/>
      <c r="BG937" s="262"/>
    </row>
    <row r="938" spans="1:59" ht="12.75" customHeight="1" x14ac:dyDescent="0.15">
      <c r="A938" s="57"/>
      <c r="B938" s="57"/>
      <c r="C938" s="57"/>
      <c r="D938" s="103"/>
      <c r="E938" s="125"/>
      <c r="F938" s="125"/>
      <c r="G938" s="57"/>
      <c r="H938" s="57"/>
      <c r="I938" s="57"/>
      <c r="J938" s="57"/>
      <c r="K938" s="57"/>
      <c r="L938" s="57"/>
      <c r="M938" s="57"/>
      <c r="N938" s="57"/>
      <c r="O938" s="70"/>
      <c r="P938" s="57"/>
      <c r="Q938" s="24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220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149"/>
      <c r="AP938" s="149"/>
      <c r="AQ938" s="57"/>
      <c r="AR938" s="74"/>
      <c r="AS938" s="149"/>
      <c r="AT938" s="235"/>
      <c r="AU938" s="57"/>
      <c r="AV938" s="57"/>
      <c r="AW938" s="57"/>
      <c r="AX938" s="70"/>
      <c r="AY938" s="149"/>
      <c r="AZ938" s="112"/>
      <c r="BA938" s="236"/>
      <c r="BB938" s="236"/>
      <c r="BC938" s="152"/>
      <c r="BD938" s="152"/>
      <c r="BE938" s="236"/>
      <c r="BF938" s="262"/>
      <c r="BG938" s="262"/>
    </row>
    <row r="939" spans="1:59" ht="12.75" customHeight="1" x14ac:dyDescent="0.15">
      <c r="A939" s="57"/>
      <c r="B939" s="57"/>
      <c r="C939" s="57"/>
      <c r="D939" s="103"/>
      <c r="E939" s="125"/>
      <c r="F939" s="125"/>
      <c r="G939" s="57"/>
      <c r="H939" s="57"/>
      <c r="I939" s="57"/>
      <c r="J939" s="57"/>
      <c r="K939" s="57"/>
      <c r="L939" s="57"/>
      <c r="M939" s="57"/>
      <c r="N939" s="57"/>
      <c r="O939" s="70"/>
      <c r="P939" s="57"/>
      <c r="Q939" s="24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220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149"/>
      <c r="AP939" s="149"/>
      <c r="AQ939" s="57"/>
      <c r="AR939" s="74"/>
      <c r="AS939" s="149"/>
      <c r="AT939" s="235"/>
      <c r="AU939" s="57"/>
      <c r="AV939" s="57"/>
      <c r="AW939" s="57"/>
      <c r="AX939" s="70"/>
      <c r="AY939" s="149"/>
      <c r="AZ939" s="112"/>
      <c r="BA939" s="236"/>
      <c r="BB939" s="236"/>
      <c r="BC939" s="152"/>
      <c r="BD939" s="152"/>
      <c r="BE939" s="236"/>
      <c r="BF939" s="262"/>
      <c r="BG939" s="262"/>
    </row>
    <row r="940" spans="1:59" ht="12.75" customHeight="1" x14ac:dyDescent="0.15">
      <c r="A940" s="57"/>
      <c r="B940" s="57"/>
      <c r="C940" s="57"/>
      <c r="D940" s="103"/>
      <c r="E940" s="125"/>
      <c r="F940" s="125"/>
      <c r="G940" s="57"/>
      <c r="H940" s="57"/>
      <c r="I940" s="57"/>
      <c r="J940" s="57"/>
      <c r="K940" s="57"/>
      <c r="L940" s="57"/>
      <c r="M940" s="57"/>
      <c r="N940" s="57"/>
      <c r="O940" s="70"/>
      <c r="P940" s="57"/>
      <c r="Q940" s="24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220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149"/>
      <c r="AP940" s="149"/>
      <c r="AQ940" s="57"/>
      <c r="AR940" s="74"/>
      <c r="AS940" s="149"/>
      <c r="AT940" s="235"/>
      <c r="AU940" s="57"/>
      <c r="AV940" s="57"/>
      <c r="AW940" s="57"/>
      <c r="AX940" s="70"/>
      <c r="AY940" s="149"/>
      <c r="AZ940" s="112"/>
      <c r="BA940" s="236"/>
      <c r="BB940" s="236"/>
      <c r="BC940" s="152"/>
      <c r="BD940" s="152"/>
      <c r="BE940" s="236"/>
      <c r="BF940" s="262"/>
      <c r="BG940" s="262"/>
    </row>
    <row r="941" spans="1:59" ht="12.75" customHeight="1" x14ac:dyDescent="0.15">
      <c r="A941" s="57"/>
      <c r="B941" s="57"/>
      <c r="C941" s="57"/>
      <c r="D941" s="103"/>
      <c r="E941" s="125"/>
      <c r="F941" s="125"/>
      <c r="G941" s="57"/>
      <c r="H941" s="57"/>
      <c r="I941" s="57"/>
      <c r="J941" s="57"/>
      <c r="K941" s="57"/>
      <c r="L941" s="57"/>
      <c r="M941" s="57"/>
      <c r="N941" s="57"/>
      <c r="O941" s="70"/>
      <c r="P941" s="57"/>
      <c r="Q941" s="24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220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149"/>
      <c r="AP941" s="149"/>
      <c r="AQ941" s="57"/>
      <c r="AR941" s="74"/>
      <c r="AS941" s="149"/>
      <c r="AT941" s="235"/>
      <c r="AU941" s="57"/>
      <c r="AV941" s="57"/>
      <c r="AW941" s="57"/>
      <c r="AX941" s="70"/>
      <c r="AY941" s="149"/>
      <c r="AZ941" s="112"/>
      <c r="BA941" s="236"/>
      <c r="BB941" s="236"/>
      <c r="BC941" s="152"/>
      <c r="BD941" s="152"/>
      <c r="BE941" s="236"/>
      <c r="BF941" s="262"/>
      <c r="BG941" s="262"/>
    </row>
    <row r="942" spans="1:59" ht="12.75" customHeight="1" x14ac:dyDescent="0.15">
      <c r="A942" s="57"/>
      <c r="B942" s="57"/>
      <c r="C942" s="57"/>
      <c r="D942" s="103"/>
      <c r="E942" s="125"/>
      <c r="F942" s="125"/>
      <c r="G942" s="57"/>
      <c r="H942" s="57"/>
      <c r="I942" s="57"/>
      <c r="J942" s="57"/>
      <c r="K942" s="57"/>
      <c r="L942" s="57"/>
      <c r="M942" s="57"/>
      <c r="N942" s="57"/>
      <c r="O942" s="70"/>
      <c r="P942" s="57"/>
      <c r="Q942" s="24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220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149"/>
      <c r="AP942" s="149"/>
      <c r="AQ942" s="57"/>
      <c r="AR942" s="74"/>
      <c r="AS942" s="149"/>
      <c r="AT942" s="235"/>
      <c r="AU942" s="57"/>
      <c r="AV942" s="57"/>
      <c r="AW942" s="57"/>
      <c r="AX942" s="70"/>
      <c r="AY942" s="149"/>
      <c r="AZ942" s="112"/>
      <c r="BA942" s="236"/>
      <c r="BB942" s="236"/>
      <c r="BC942" s="152"/>
      <c r="BD942" s="152"/>
      <c r="BE942" s="236"/>
      <c r="BF942" s="262"/>
      <c r="BG942" s="262"/>
    </row>
    <row r="943" spans="1:59" ht="12.75" customHeight="1" x14ac:dyDescent="0.15">
      <c r="A943" s="57"/>
      <c r="B943" s="57"/>
      <c r="C943" s="57"/>
      <c r="D943" s="103"/>
      <c r="E943" s="125"/>
      <c r="F943" s="125"/>
      <c r="G943" s="57"/>
      <c r="H943" s="57"/>
      <c r="I943" s="57"/>
      <c r="J943" s="57"/>
      <c r="K943" s="57"/>
      <c r="L943" s="57"/>
      <c r="M943" s="57"/>
      <c r="N943" s="57"/>
      <c r="O943" s="70"/>
      <c r="P943" s="57"/>
      <c r="Q943" s="24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220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149"/>
      <c r="AP943" s="149"/>
      <c r="AQ943" s="57"/>
      <c r="AR943" s="74"/>
      <c r="AS943" s="149"/>
      <c r="AT943" s="235"/>
      <c r="AU943" s="57"/>
      <c r="AV943" s="57"/>
      <c r="AW943" s="57"/>
      <c r="AX943" s="70"/>
      <c r="AY943" s="149"/>
      <c r="AZ943" s="112"/>
      <c r="BA943" s="236"/>
      <c r="BB943" s="236"/>
      <c r="BC943" s="152"/>
      <c r="BD943" s="152"/>
      <c r="BE943" s="236"/>
      <c r="BF943" s="262"/>
      <c r="BG943" s="262"/>
    </row>
    <row r="944" spans="1:59" ht="12.75" customHeight="1" x14ac:dyDescent="0.15">
      <c r="A944" s="57"/>
      <c r="B944" s="57"/>
      <c r="C944" s="57"/>
      <c r="D944" s="103"/>
      <c r="E944" s="125"/>
      <c r="F944" s="125"/>
      <c r="G944" s="57"/>
      <c r="H944" s="57"/>
      <c r="I944" s="57"/>
      <c r="J944" s="57"/>
      <c r="K944" s="57"/>
      <c r="L944" s="57"/>
      <c r="M944" s="57"/>
      <c r="N944" s="57"/>
      <c r="O944" s="70"/>
      <c r="P944" s="57"/>
      <c r="Q944" s="24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220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149"/>
      <c r="AP944" s="149"/>
      <c r="AQ944" s="57"/>
      <c r="AR944" s="74"/>
      <c r="AS944" s="149"/>
      <c r="AT944" s="235"/>
      <c r="AU944" s="57"/>
      <c r="AV944" s="57"/>
      <c r="AW944" s="57"/>
      <c r="AX944" s="70"/>
      <c r="AY944" s="149"/>
      <c r="AZ944" s="112"/>
      <c r="BA944" s="236"/>
      <c r="BB944" s="236"/>
      <c r="BC944" s="152"/>
      <c r="BD944" s="152"/>
      <c r="BE944" s="236"/>
      <c r="BF944" s="262"/>
      <c r="BG944" s="262"/>
    </row>
    <row r="945" spans="1:59" ht="12.75" customHeight="1" x14ac:dyDescent="0.15">
      <c r="A945" s="57"/>
      <c r="B945" s="57"/>
      <c r="C945" s="57"/>
      <c r="D945" s="103"/>
      <c r="E945" s="125"/>
      <c r="F945" s="125"/>
      <c r="G945" s="57"/>
      <c r="H945" s="57"/>
      <c r="I945" s="57"/>
      <c r="J945" s="57"/>
      <c r="K945" s="57"/>
      <c r="L945" s="57"/>
      <c r="M945" s="57"/>
      <c r="N945" s="57"/>
      <c r="O945" s="70"/>
      <c r="P945" s="57"/>
      <c r="Q945" s="24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220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149"/>
      <c r="AP945" s="149"/>
      <c r="AQ945" s="57"/>
      <c r="AR945" s="74"/>
      <c r="AS945" s="149"/>
      <c r="AT945" s="235"/>
      <c r="AU945" s="57"/>
      <c r="AV945" s="57"/>
      <c r="AW945" s="57"/>
      <c r="AX945" s="70"/>
      <c r="AY945" s="149"/>
      <c r="AZ945" s="112"/>
      <c r="BA945" s="236"/>
      <c r="BB945" s="236"/>
      <c r="BC945" s="152"/>
      <c r="BD945" s="152"/>
      <c r="BE945" s="236"/>
      <c r="BF945" s="262"/>
      <c r="BG945" s="262"/>
    </row>
    <row r="946" spans="1:59" ht="12.75" customHeight="1" x14ac:dyDescent="0.15">
      <c r="A946" s="57"/>
      <c r="B946" s="57"/>
      <c r="C946" s="57"/>
      <c r="D946" s="103"/>
      <c r="E946" s="125"/>
      <c r="F946" s="125"/>
      <c r="G946" s="57"/>
      <c r="H946" s="57"/>
      <c r="I946" s="57"/>
      <c r="J946" s="57"/>
      <c r="K946" s="57"/>
      <c r="L946" s="57"/>
      <c r="M946" s="57"/>
      <c r="N946" s="57"/>
      <c r="O946" s="70"/>
      <c r="P946" s="57"/>
      <c r="Q946" s="24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220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149"/>
      <c r="AP946" s="149"/>
      <c r="AQ946" s="57"/>
      <c r="AR946" s="74"/>
      <c r="AS946" s="149"/>
      <c r="AT946" s="235"/>
      <c r="AU946" s="57"/>
      <c r="AV946" s="57"/>
      <c r="AW946" s="57"/>
      <c r="AX946" s="70"/>
      <c r="AY946" s="149"/>
      <c r="AZ946" s="112"/>
      <c r="BA946" s="236"/>
      <c r="BB946" s="236"/>
      <c r="BC946" s="152"/>
      <c r="BD946" s="152"/>
      <c r="BE946" s="236"/>
      <c r="BF946" s="262"/>
      <c r="BG946" s="262"/>
    </row>
    <row r="947" spans="1:59" ht="12.75" customHeight="1" x14ac:dyDescent="0.15">
      <c r="A947" s="57"/>
      <c r="B947" s="57"/>
      <c r="C947" s="57"/>
      <c r="D947" s="103"/>
      <c r="E947" s="125"/>
      <c r="F947" s="125"/>
      <c r="G947" s="57"/>
      <c r="H947" s="57"/>
      <c r="I947" s="57"/>
      <c r="J947" s="57"/>
      <c r="K947" s="57"/>
      <c r="L947" s="57"/>
      <c r="M947" s="57"/>
      <c r="N947" s="57"/>
      <c r="O947" s="70"/>
      <c r="P947" s="57"/>
      <c r="Q947" s="24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220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149"/>
      <c r="AP947" s="149"/>
      <c r="AQ947" s="57"/>
      <c r="AR947" s="74"/>
      <c r="AS947" s="149"/>
      <c r="AT947" s="235"/>
      <c r="AU947" s="57"/>
      <c r="AV947" s="57"/>
      <c r="AW947" s="57"/>
      <c r="AX947" s="70"/>
      <c r="AY947" s="149"/>
      <c r="AZ947" s="112"/>
      <c r="BA947" s="236"/>
      <c r="BB947" s="236"/>
      <c r="BC947" s="152"/>
      <c r="BD947" s="152"/>
      <c r="BE947" s="236"/>
      <c r="BF947" s="262"/>
      <c r="BG947" s="262"/>
    </row>
    <row r="948" spans="1:59" ht="12.75" customHeight="1" x14ac:dyDescent="0.15">
      <c r="A948" s="57"/>
      <c r="B948" s="57"/>
      <c r="C948" s="57"/>
      <c r="D948" s="103"/>
      <c r="E948" s="125"/>
      <c r="F948" s="125"/>
      <c r="G948" s="57"/>
      <c r="H948" s="57"/>
      <c r="I948" s="57"/>
      <c r="J948" s="57"/>
      <c r="K948" s="57"/>
      <c r="L948" s="57"/>
      <c r="M948" s="57"/>
      <c r="N948" s="57"/>
      <c r="O948" s="70"/>
      <c r="P948" s="57"/>
      <c r="Q948" s="24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220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149"/>
      <c r="AP948" s="149"/>
      <c r="AQ948" s="57"/>
      <c r="AR948" s="74"/>
      <c r="AS948" s="149"/>
      <c r="AT948" s="235"/>
      <c r="AU948" s="57"/>
      <c r="AV948" s="57"/>
      <c r="AW948" s="57"/>
      <c r="AX948" s="70"/>
      <c r="AY948" s="149"/>
      <c r="AZ948" s="112"/>
      <c r="BA948" s="236"/>
      <c r="BB948" s="236"/>
      <c r="BC948" s="152"/>
      <c r="BD948" s="152"/>
      <c r="BE948" s="236"/>
      <c r="BF948" s="262"/>
      <c r="BG948" s="262"/>
    </row>
    <row r="949" spans="1:59" ht="12.75" customHeight="1" x14ac:dyDescent="0.15">
      <c r="A949" s="57"/>
      <c r="B949" s="57"/>
      <c r="C949" s="57"/>
      <c r="D949" s="103"/>
      <c r="E949" s="125"/>
      <c r="F949" s="125"/>
      <c r="G949" s="57"/>
      <c r="H949" s="57"/>
      <c r="I949" s="57"/>
      <c r="J949" s="57"/>
      <c r="K949" s="57"/>
      <c r="L949" s="57"/>
      <c r="M949" s="57"/>
      <c r="N949" s="57"/>
      <c r="O949" s="70"/>
      <c r="P949" s="57"/>
      <c r="Q949" s="24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220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149"/>
      <c r="AP949" s="149"/>
      <c r="AQ949" s="57"/>
      <c r="AR949" s="74"/>
      <c r="AS949" s="149"/>
      <c r="AT949" s="235"/>
      <c r="AU949" s="57"/>
      <c r="AV949" s="57"/>
      <c r="AW949" s="57"/>
      <c r="AX949" s="70"/>
      <c r="AY949" s="149"/>
      <c r="AZ949" s="112"/>
      <c r="BA949" s="236"/>
      <c r="BB949" s="236"/>
      <c r="BC949" s="152"/>
      <c r="BD949" s="152"/>
      <c r="BE949" s="236"/>
      <c r="BF949" s="262"/>
      <c r="BG949" s="262"/>
    </row>
    <row r="950" spans="1:59" ht="12.75" customHeight="1" x14ac:dyDescent="0.15">
      <c r="A950" s="57"/>
      <c r="B950" s="57"/>
      <c r="C950" s="57"/>
      <c r="D950" s="103"/>
      <c r="E950" s="125"/>
      <c r="F950" s="125"/>
      <c r="G950" s="57"/>
      <c r="H950" s="57"/>
      <c r="I950" s="57"/>
      <c r="J950" s="57"/>
      <c r="K950" s="57"/>
      <c r="L950" s="57"/>
      <c r="M950" s="57"/>
      <c r="N950" s="57"/>
      <c r="O950" s="70"/>
      <c r="P950" s="57"/>
      <c r="Q950" s="24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220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149"/>
      <c r="AP950" s="149"/>
      <c r="AQ950" s="57"/>
      <c r="AR950" s="74"/>
      <c r="AS950" s="149"/>
      <c r="AT950" s="235"/>
      <c r="AU950" s="57"/>
      <c r="AV950" s="57"/>
      <c r="AW950" s="57"/>
      <c r="AX950" s="70"/>
      <c r="AY950" s="149"/>
      <c r="AZ950" s="112"/>
      <c r="BA950" s="236"/>
      <c r="BB950" s="236"/>
      <c r="BC950" s="152"/>
      <c r="BD950" s="152"/>
      <c r="BE950" s="236"/>
      <c r="BF950" s="262"/>
      <c r="BG950" s="262"/>
    </row>
    <row r="951" spans="1:59" ht="12.75" customHeight="1" x14ac:dyDescent="0.15">
      <c r="A951" s="57"/>
      <c r="B951" s="57"/>
      <c r="C951" s="57"/>
      <c r="D951" s="103"/>
      <c r="E951" s="125"/>
      <c r="F951" s="125"/>
      <c r="G951" s="57"/>
      <c r="H951" s="57"/>
      <c r="I951" s="57"/>
      <c r="J951" s="57"/>
      <c r="K951" s="57"/>
      <c r="L951" s="57"/>
      <c r="M951" s="57"/>
      <c r="N951" s="57"/>
      <c r="O951" s="70"/>
      <c r="P951" s="57"/>
      <c r="Q951" s="24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220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149"/>
      <c r="AP951" s="149"/>
      <c r="AQ951" s="57"/>
      <c r="AR951" s="74"/>
      <c r="AS951" s="149"/>
      <c r="AT951" s="235"/>
      <c r="AU951" s="57"/>
      <c r="AV951" s="57"/>
      <c r="AW951" s="57"/>
      <c r="AX951" s="70"/>
      <c r="AY951" s="149"/>
      <c r="AZ951" s="112"/>
      <c r="BA951" s="236"/>
      <c r="BB951" s="236"/>
      <c r="BC951" s="152"/>
      <c r="BD951" s="152"/>
      <c r="BE951" s="236"/>
      <c r="BF951" s="262"/>
      <c r="BG951" s="262"/>
    </row>
    <row r="952" spans="1:59" ht="12.75" customHeight="1" x14ac:dyDescent="0.15">
      <c r="A952" s="57"/>
      <c r="B952" s="57"/>
      <c r="C952" s="57"/>
      <c r="D952" s="103"/>
      <c r="E952" s="125"/>
      <c r="F952" s="125"/>
      <c r="G952" s="57"/>
      <c r="H952" s="57"/>
      <c r="I952" s="57"/>
      <c r="J952" s="57"/>
      <c r="K952" s="57"/>
      <c r="L952" s="57"/>
      <c r="M952" s="57"/>
      <c r="N952" s="57"/>
      <c r="O952" s="70"/>
      <c r="P952" s="57"/>
      <c r="Q952" s="24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220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149"/>
      <c r="AP952" s="149"/>
      <c r="AQ952" s="57"/>
      <c r="AR952" s="74"/>
      <c r="AS952" s="149"/>
      <c r="AT952" s="235"/>
      <c r="AU952" s="57"/>
      <c r="AV952" s="57"/>
      <c r="AW952" s="57"/>
      <c r="AX952" s="70"/>
      <c r="AY952" s="149"/>
      <c r="AZ952" s="112"/>
      <c r="BA952" s="236"/>
      <c r="BB952" s="236"/>
      <c r="BC952" s="152"/>
      <c r="BD952" s="152"/>
      <c r="BE952" s="236"/>
      <c r="BF952" s="262"/>
      <c r="BG952" s="262"/>
    </row>
    <row r="953" spans="1:59" ht="12.75" customHeight="1" x14ac:dyDescent="0.15">
      <c r="A953" s="57"/>
      <c r="B953" s="57"/>
      <c r="C953" s="57"/>
      <c r="D953" s="103"/>
      <c r="E953" s="125"/>
      <c r="F953" s="125"/>
      <c r="G953" s="57"/>
      <c r="H953" s="57"/>
      <c r="I953" s="57"/>
      <c r="J953" s="57"/>
      <c r="K953" s="57"/>
      <c r="L953" s="57"/>
      <c r="M953" s="57"/>
      <c r="N953" s="57"/>
      <c r="O953" s="70"/>
      <c r="P953" s="57"/>
      <c r="Q953" s="24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220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149"/>
      <c r="AP953" s="149"/>
      <c r="AQ953" s="57"/>
      <c r="AR953" s="74"/>
      <c r="AS953" s="149"/>
      <c r="AT953" s="235"/>
      <c r="AU953" s="57"/>
      <c r="AV953" s="57"/>
      <c r="AW953" s="57"/>
      <c r="AX953" s="70"/>
      <c r="AY953" s="149"/>
      <c r="AZ953" s="112"/>
      <c r="BA953" s="236"/>
      <c r="BB953" s="236"/>
      <c r="BC953" s="152"/>
      <c r="BD953" s="152"/>
      <c r="BE953" s="236"/>
      <c r="BF953" s="262"/>
      <c r="BG953" s="262"/>
    </row>
    <row r="954" spans="1:59" ht="12.75" customHeight="1" x14ac:dyDescent="0.15">
      <c r="A954" s="57"/>
      <c r="B954" s="57"/>
      <c r="C954" s="57"/>
      <c r="D954" s="103"/>
      <c r="E954" s="125"/>
      <c r="F954" s="125"/>
      <c r="G954" s="57"/>
      <c r="H954" s="57"/>
      <c r="I954" s="57"/>
      <c r="J954" s="57"/>
      <c r="K954" s="57"/>
      <c r="L954" s="57"/>
      <c r="M954" s="57"/>
      <c r="N954" s="57"/>
      <c r="O954" s="70"/>
      <c r="P954" s="57"/>
      <c r="Q954" s="24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220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149"/>
      <c r="AP954" s="149"/>
      <c r="AQ954" s="57"/>
      <c r="AR954" s="74"/>
      <c r="AS954" s="149"/>
      <c r="AT954" s="235"/>
      <c r="AU954" s="57"/>
      <c r="AV954" s="57"/>
      <c r="AW954" s="57"/>
      <c r="AX954" s="70"/>
      <c r="AY954" s="149"/>
      <c r="AZ954" s="112"/>
      <c r="BA954" s="236"/>
      <c r="BB954" s="236"/>
      <c r="BC954" s="152"/>
      <c r="BD954" s="152"/>
      <c r="BE954" s="236"/>
      <c r="BF954" s="262"/>
      <c r="BG954" s="262"/>
    </row>
    <row r="955" spans="1:59" ht="12.75" customHeight="1" x14ac:dyDescent="0.15">
      <c r="A955" s="57"/>
      <c r="B955" s="57"/>
      <c r="C955" s="57"/>
      <c r="D955" s="103"/>
      <c r="E955" s="125"/>
      <c r="F955" s="125"/>
      <c r="G955" s="57"/>
      <c r="H955" s="57"/>
      <c r="I955" s="57"/>
      <c r="J955" s="57"/>
      <c r="K955" s="57"/>
      <c r="L955" s="57"/>
      <c r="M955" s="57"/>
      <c r="N955" s="57"/>
      <c r="O955" s="70"/>
      <c r="P955" s="57"/>
      <c r="Q955" s="24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220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149"/>
      <c r="AP955" s="149"/>
      <c r="AQ955" s="57"/>
      <c r="AR955" s="74"/>
      <c r="AS955" s="149"/>
      <c r="AT955" s="235"/>
      <c r="AU955" s="57"/>
      <c r="AV955" s="57"/>
      <c r="AW955" s="57"/>
      <c r="AX955" s="70"/>
      <c r="AY955" s="149"/>
      <c r="AZ955" s="112"/>
      <c r="BA955" s="236"/>
      <c r="BB955" s="236"/>
      <c r="BC955" s="152"/>
      <c r="BD955" s="152"/>
      <c r="BE955" s="236"/>
      <c r="BF955" s="262"/>
      <c r="BG955" s="262"/>
    </row>
    <row r="956" spans="1:59" ht="12.75" customHeight="1" x14ac:dyDescent="0.15">
      <c r="A956" s="57"/>
      <c r="B956" s="57"/>
      <c r="C956" s="57"/>
      <c r="D956" s="103"/>
      <c r="E956" s="125"/>
      <c r="F956" s="125"/>
      <c r="G956" s="57"/>
      <c r="H956" s="57"/>
      <c r="I956" s="57"/>
      <c r="J956" s="57"/>
      <c r="K956" s="57"/>
      <c r="L956" s="57"/>
      <c r="M956" s="57"/>
      <c r="N956" s="57"/>
      <c r="O956" s="70"/>
      <c r="P956" s="57"/>
      <c r="Q956" s="24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220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149"/>
      <c r="AP956" s="149"/>
      <c r="AQ956" s="57"/>
      <c r="AR956" s="74"/>
      <c r="AS956" s="149"/>
      <c r="AT956" s="235"/>
      <c r="AU956" s="57"/>
      <c r="AV956" s="57"/>
      <c r="AW956" s="57"/>
      <c r="AX956" s="70"/>
      <c r="AY956" s="149"/>
      <c r="AZ956" s="112"/>
      <c r="BA956" s="236"/>
      <c r="BB956" s="236"/>
      <c r="BC956" s="152"/>
      <c r="BD956" s="152"/>
      <c r="BE956" s="236"/>
      <c r="BF956" s="262"/>
      <c r="BG956" s="262"/>
    </row>
    <row r="957" spans="1:59" ht="12.75" customHeight="1" x14ac:dyDescent="0.15">
      <c r="A957" s="57"/>
      <c r="B957" s="57"/>
      <c r="C957" s="57"/>
      <c r="D957" s="103"/>
      <c r="E957" s="125"/>
      <c r="F957" s="125"/>
      <c r="G957" s="57"/>
      <c r="H957" s="57"/>
      <c r="I957" s="57"/>
      <c r="J957" s="57"/>
      <c r="K957" s="57"/>
      <c r="L957" s="57"/>
      <c r="M957" s="57"/>
      <c r="N957" s="57"/>
      <c r="O957" s="70"/>
      <c r="P957" s="57"/>
      <c r="Q957" s="24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220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149"/>
      <c r="AP957" s="149"/>
      <c r="AQ957" s="57"/>
      <c r="AR957" s="74"/>
      <c r="AS957" s="149"/>
      <c r="AT957" s="235"/>
      <c r="AU957" s="57"/>
      <c r="AV957" s="57"/>
      <c r="AW957" s="57"/>
      <c r="AX957" s="70"/>
      <c r="AY957" s="149"/>
      <c r="AZ957" s="112"/>
      <c r="BA957" s="236"/>
      <c r="BB957" s="236"/>
      <c r="BC957" s="152"/>
      <c r="BD957" s="152"/>
      <c r="BE957" s="236"/>
      <c r="BF957" s="262"/>
      <c r="BG957" s="262"/>
    </row>
    <row r="958" spans="1:59" ht="12.75" customHeight="1" x14ac:dyDescent="0.15">
      <c r="A958" s="57"/>
      <c r="B958" s="57"/>
      <c r="C958" s="57"/>
      <c r="D958" s="103"/>
      <c r="E958" s="125"/>
      <c r="F958" s="125"/>
      <c r="G958" s="57"/>
      <c r="H958" s="57"/>
      <c r="I958" s="57"/>
      <c r="J958" s="57"/>
      <c r="K958" s="57"/>
      <c r="L958" s="57"/>
      <c r="M958" s="57"/>
      <c r="N958" s="57"/>
      <c r="O958" s="70"/>
      <c r="P958" s="57"/>
      <c r="Q958" s="24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220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149"/>
      <c r="AP958" s="149"/>
      <c r="AQ958" s="57"/>
      <c r="AR958" s="74"/>
      <c r="AS958" s="149"/>
      <c r="AT958" s="235"/>
      <c r="AU958" s="57"/>
      <c r="AV958" s="57"/>
      <c r="AW958" s="57"/>
      <c r="AX958" s="70"/>
      <c r="AY958" s="149"/>
      <c r="AZ958" s="112"/>
      <c r="BA958" s="236"/>
      <c r="BB958" s="236"/>
      <c r="BC958" s="152"/>
      <c r="BD958" s="152"/>
      <c r="BE958" s="236"/>
      <c r="BF958" s="262"/>
      <c r="BG958" s="262"/>
    </row>
    <row r="959" spans="1:59" ht="12.75" customHeight="1" x14ac:dyDescent="0.15">
      <c r="A959" s="57"/>
      <c r="B959" s="57"/>
      <c r="C959" s="57"/>
      <c r="D959" s="103"/>
      <c r="E959" s="125"/>
      <c r="F959" s="125"/>
      <c r="G959" s="57"/>
      <c r="H959" s="57"/>
      <c r="I959" s="57"/>
      <c r="J959" s="57"/>
      <c r="K959" s="57"/>
      <c r="L959" s="57"/>
      <c r="M959" s="57"/>
      <c r="N959" s="57"/>
      <c r="O959" s="70"/>
      <c r="P959" s="57"/>
      <c r="Q959" s="24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220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149"/>
      <c r="AP959" s="149"/>
      <c r="AQ959" s="57"/>
      <c r="AR959" s="74"/>
      <c r="AS959" s="149"/>
      <c r="AT959" s="235"/>
      <c r="AU959" s="57"/>
      <c r="AV959" s="57"/>
      <c r="AW959" s="57"/>
      <c r="AX959" s="70"/>
      <c r="AY959" s="149"/>
      <c r="AZ959" s="112"/>
      <c r="BA959" s="236"/>
      <c r="BB959" s="236"/>
      <c r="BC959" s="152"/>
      <c r="BD959" s="152"/>
      <c r="BE959" s="236"/>
      <c r="BF959" s="262"/>
      <c r="BG959" s="262"/>
    </row>
    <row r="960" spans="1:59" ht="12.75" customHeight="1" x14ac:dyDescent="0.15">
      <c r="A960" s="57"/>
      <c r="B960" s="57"/>
      <c r="C960" s="57"/>
      <c r="D960" s="103"/>
      <c r="E960" s="125"/>
      <c r="F960" s="125"/>
      <c r="G960" s="57"/>
      <c r="H960" s="57"/>
      <c r="I960" s="57"/>
      <c r="J960" s="57"/>
      <c r="K960" s="57"/>
      <c r="L960" s="57"/>
      <c r="M960" s="57"/>
      <c r="N960" s="57"/>
      <c r="O960" s="70"/>
      <c r="P960" s="57"/>
      <c r="Q960" s="24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220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149"/>
      <c r="AP960" s="149"/>
      <c r="AQ960" s="57"/>
      <c r="AR960" s="74"/>
      <c r="AS960" s="149"/>
      <c r="AT960" s="235"/>
      <c r="AU960" s="57"/>
      <c r="AV960" s="57"/>
      <c r="AW960" s="57"/>
      <c r="AX960" s="70"/>
      <c r="AY960" s="149"/>
      <c r="AZ960" s="112"/>
      <c r="BA960" s="236"/>
      <c r="BB960" s="236"/>
      <c r="BC960" s="152"/>
      <c r="BD960" s="152"/>
      <c r="BE960" s="236"/>
      <c r="BF960" s="262"/>
      <c r="BG960" s="262"/>
    </row>
    <row r="961" spans="1:59" ht="12.75" customHeight="1" x14ac:dyDescent="0.15">
      <c r="A961" s="57"/>
      <c r="B961" s="57"/>
      <c r="C961" s="57"/>
      <c r="D961" s="103"/>
      <c r="E961" s="125"/>
      <c r="F961" s="125"/>
      <c r="G961" s="57"/>
      <c r="H961" s="57"/>
      <c r="I961" s="57"/>
      <c r="J961" s="57"/>
      <c r="K961" s="57"/>
      <c r="L961" s="57"/>
      <c r="M961" s="57"/>
      <c r="N961" s="57"/>
      <c r="O961" s="70"/>
      <c r="P961" s="57"/>
      <c r="Q961" s="24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220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149"/>
      <c r="AP961" s="149"/>
      <c r="AQ961" s="57"/>
      <c r="AR961" s="74"/>
      <c r="AS961" s="149"/>
      <c r="AT961" s="235"/>
      <c r="AU961" s="57"/>
      <c r="AV961" s="57"/>
      <c r="AW961" s="57"/>
      <c r="AX961" s="70"/>
      <c r="AY961" s="149"/>
      <c r="AZ961" s="112"/>
      <c r="BA961" s="236"/>
      <c r="BB961" s="236"/>
      <c r="BC961" s="152"/>
      <c r="BD961" s="152"/>
      <c r="BE961" s="236"/>
      <c r="BF961" s="262"/>
      <c r="BG961" s="262"/>
    </row>
    <row r="962" spans="1:59" ht="12.75" customHeight="1" x14ac:dyDescent="0.15">
      <c r="A962" s="57"/>
      <c r="B962" s="57"/>
      <c r="C962" s="57"/>
      <c r="D962" s="103"/>
      <c r="E962" s="125"/>
      <c r="F962" s="125"/>
      <c r="G962" s="57"/>
      <c r="H962" s="57"/>
      <c r="I962" s="57"/>
      <c r="J962" s="57"/>
      <c r="K962" s="57"/>
      <c r="L962" s="57"/>
      <c r="M962" s="57"/>
      <c r="N962" s="57"/>
      <c r="O962" s="70"/>
      <c r="P962" s="57"/>
      <c r="Q962" s="24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220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149"/>
      <c r="AP962" s="149"/>
      <c r="AQ962" s="57"/>
      <c r="AR962" s="74"/>
      <c r="AS962" s="149"/>
      <c r="AT962" s="235"/>
      <c r="AU962" s="57"/>
      <c r="AV962" s="57"/>
      <c r="AW962" s="57"/>
      <c r="AX962" s="70"/>
      <c r="AY962" s="149"/>
      <c r="AZ962" s="112"/>
      <c r="BA962" s="236"/>
      <c r="BB962" s="236"/>
      <c r="BC962" s="152"/>
      <c r="BD962" s="152"/>
      <c r="BE962" s="236"/>
      <c r="BF962" s="262"/>
      <c r="BG962" s="262"/>
    </row>
    <row r="963" spans="1:59" ht="12.75" customHeight="1" x14ac:dyDescent="0.15">
      <c r="A963" s="57"/>
      <c r="B963" s="57"/>
      <c r="C963" s="57"/>
      <c r="D963" s="103"/>
      <c r="E963" s="125"/>
      <c r="F963" s="125"/>
      <c r="G963" s="57"/>
      <c r="H963" s="57"/>
      <c r="I963" s="57"/>
      <c r="J963" s="57"/>
      <c r="K963" s="57"/>
      <c r="L963" s="57"/>
      <c r="M963" s="57"/>
      <c r="N963" s="57"/>
      <c r="O963" s="70"/>
      <c r="P963" s="57"/>
      <c r="Q963" s="24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220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149"/>
      <c r="AP963" s="149"/>
      <c r="AQ963" s="57"/>
      <c r="AR963" s="74"/>
      <c r="AS963" s="149"/>
      <c r="AT963" s="235"/>
      <c r="AU963" s="57"/>
      <c r="AV963" s="57"/>
      <c r="AW963" s="57"/>
      <c r="AX963" s="70"/>
      <c r="AY963" s="149"/>
      <c r="AZ963" s="112"/>
      <c r="BA963" s="236"/>
      <c r="BB963" s="236"/>
      <c r="BC963" s="152"/>
      <c r="BD963" s="152"/>
      <c r="BE963" s="236"/>
      <c r="BF963" s="262"/>
      <c r="BG963" s="262"/>
    </row>
    <row r="964" spans="1:59" ht="12.75" customHeight="1" x14ac:dyDescent="0.15">
      <c r="A964" s="57"/>
      <c r="B964" s="57"/>
      <c r="C964" s="57"/>
      <c r="D964" s="103"/>
      <c r="E964" s="125"/>
      <c r="F964" s="125"/>
      <c r="G964" s="57"/>
      <c r="H964" s="57"/>
      <c r="I964" s="57"/>
      <c r="J964" s="57"/>
      <c r="K964" s="57"/>
      <c r="L964" s="57"/>
      <c r="M964" s="57"/>
      <c r="N964" s="57"/>
      <c r="O964" s="70"/>
      <c r="P964" s="57"/>
      <c r="Q964" s="24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220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149"/>
      <c r="AP964" s="149"/>
      <c r="AQ964" s="57"/>
      <c r="AR964" s="74"/>
      <c r="AS964" s="149"/>
      <c r="AT964" s="235"/>
      <c r="AU964" s="57"/>
      <c r="AV964" s="57"/>
      <c r="AW964" s="57"/>
      <c r="AX964" s="70"/>
      <c r="AY964" s="149"/>
      <c r="AZ964" s="112"/>
      <c r="BA964" s="236"/>
      <c r="BB964" s="236"/>
      <c r="BC964" s="152"/>
      <c r="BD964" s="152"/>
      <c r="BE964" s="236"/>
      <c r="BF964" s="262"/>
      <c r="BG964" s="262"/>
    </row>
    <row r="965" spans="1:59" ht="12.75" customHeight="1" x14ac:dyDescent="0.15">
      <c r="A965" s="57"/>
      <c r="B965" s="57"/>
      <c r="C965" s="57"/>
      <c r="D965" s="103"/>
      <c r="E965" s="125"/>
      <c r="F965" s="125"/>
      <c r="G965" s="57"/>
      <c r="H965" s="57"/>
      <c r="I965" s="57"/>
      <c r="J965" s="57"/>
      <c r="K965" s="57"/>
      <c r="L965" s="57"/>
      <c r="M965" s="57"/>
      <c r="N965" s="57"/>
      <c r="O965" s="70"/>
      <c r="P965" s="57"/>
      <c r="Q965" s="24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220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149"/>
      <c r="AP965" s="149"/>
      <c r="AQ965" s="57"/>
      <c r="AR965" s="74"/>
      <c r="AS965" s="149"/>
      <c r="AT965" s="235"/>
      <c r="AU965" s="57"/>
      <c r="AV965" s="57"/>
      <c r="AW965" s="57"/>
      <c r="AX965" s="70"/>
      <c r="AY965" s="149"/>
      <c r="AZ965" s="112"/>
      <c r="BA965" s="236"/>
      <c r="BB965" s="236"/>
      <c r="BC965" s="152"/>
      <c r="BD965" s="152"/>
      <c r="BE965" s="236"/>
      <c r="BF965" s="262"/>
      <c r="BG965" s="262"/>
    </row>
    <row r="966" spans="1:59" ht="12.75" customHeight="1" x14ac:dyDescent="0.15">
      <c r="A966" s="57"/>
      <c r="B966" s="57"/>
      <c r="C966" s="57"/>
      <c r="D966" s="103"/>
      <c r="E966" s="125"/>
      <c r="F966" s="125"/>
      <c r="G966" s="57"/>
      <c r="H966" s="57"/>
      <c r="I966" s="57"/>
      <c r="J966" s="57"/>
      <c r="K966" s="57"/>
      <c r="L966" s="57"/>
      <c r="M966" s="57"/>
      <c r="N966" s="57"/>
      <c r="O966" s="70"/>
      <c r="P966" s="57"/>
      <c r="Q966" s="24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220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149"/>
      <c r="AP966" s="149"/>
      <c r="AQ966" s="57"/>
      <c r="AR966" s="74"/>
      <c r="AS966" s="149"/>
      <c r="AT966" s="235"/>
      <c r="AU966" s="57"/>
      <c r="AV966" s="57"/>
      <c r="AW966" s="57"/>
      <c r="AX966" s="70"/>
      <c r="AY966" s="149"/>
      <c r="AZ966" s="112"/>
      <c r="BA966" s="236"/>
      <c r="BB966" s="236"/>
      <c r="BC966" s="152"/>
      <c r="BD966" s="152"/>
      <c r="BE966" s="236"/>
      <c r="BF966" s="262"/>
      <c r="BG966" s="262"/>
    </row>
    <row r="967" spans="1:59" ht="12.75" customHeight="1" x14ac:dyDescent="0.15">
      <c r="A967" s="57"/>
      <c r="B967" s="57"/>
      <c r="C967" s="57"/>
      <c r="D967" s="103"/>
      <c r="E967" s="125"/>
      <c r="F967" s="125"/>
      <c r="G967" s="57"/>
      <c r="H967" s="57"/>
      <c r="I967" s="57"/>
      <c r="J967" s="57"/>
      <c r="K967" s="57"/>
      <c r="L967" s="57"/>
      <c r="M967" s="57"/>
      <c r="N967" s="57"/>
      <c r="O967" s="70"/>
      <c r="P967" s="57"/>
      <c r="Q967" s="24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220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149"/>
      <c r="AP967" s="149"/>
      <c r="AQ967" s="57"/>
      <c r="AR967" s="74"/>
      <c r="AS967" s="149"/>
      <c r="AT967" s="235"/>
      <c r="AU967" s="57"/>
      <c r="AV967" s="57"/>
      <c r="AW967" s="57"/>
      <c r="AX967" s="70"/>
      <c r="AY967" s="149"/>
      <c r="AZ967" s="112"/>
      <c r="BA967" s="236"/>
      <c r="BB967" s="236"/>
      <c r="BC967" s="152"/>
      <c r="BD967" s="152"/>
      <c r="BE967" s="236"/>
      <c r="BF967" s="262"/>
      <c r="BG967" s="262"/>
    </row>
    <row r="968" spans="1:59" ht="12.75" customHeight="1" x14ac:dyDescent="0.15">
      <c r="A968" s="57"/>
      <c r="B968" s="57"/>
      <c r="C968" s="57"/>
      <c r="D968" s="103"/>
      <c r="E968" s="125"/>
      <c r="F968" s="125"/>
      <c r="G968" s="57"/>
      <c r="H968" s="57"/>
      <c r="I968" s="57"/>
      <c r="J968" s="57"/>
      <c r="K968" s="57"/>
      <c r="L968" s="57"/>
      <c r="M968" s="57"/>
      <c r="N968" s="57"/>
      <c r="O968" s="70"/>
      <c r="P968" s="57"/>
      <c r="Q968" s="24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220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149"/>
      <c r="AP968" s="149"/>
      <c r="AQ968" s="57"/>
      <c r="AR968" s="74"/>
      <c r="AS968" s="149"/>
      <c r="AT968" s="235"/>
      <c r="AU968" s="57"/>
      <c r="AV968" s="57"/>
      <c r="AW968" s="57"/>
      <c r="AX968" s="70"/>
      <c r="AY968" s="149"/>
      <c r="AZ968" s="112"/>
      <c r="BA968" s="236"/>
      <c r="BB968" s="236"/>
      <c r="BC968" s="152"/>
      <c r="BD968" s="152"/>
      <c r="BE968" s="236"/>
      <c r="BF968" s="262"/>
      <c r="BG968" s="262"/>
    </row>
    <row r="969" spans="1:59" ht="12.75" customHeight="1" x14ac:dyDescent="0.15">
      <c r="A969" s="57"/>
      <c r="B969" s="57"/>
      <c r="C969" s="57"/>
      <c r="D969" s="103"/>
      <c r="E969" s="125"/>
      <c r="F969" s="125"/>
      <c r="G969" s="57"/>
      <c r="H969" s="57"/>
      <c r="I969" s="57"/>
      <c r="J969" s="57"/>
      <c r="K969" s="57"/>
      <c r="L969" s="57"/>
      <c r="M969" s="57"/>
      <c r="N969" s="57"/>
      <c r="O969" s="70"/>
      <c r="P969" s="57"/>
      <c r="Q969" s="24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220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149"/>
      <c r="AP969" s="149"/>
      <c r="AQ969" s="57"/>
      <c r="AR969" s="74"/>
      <c r="AS969" s="149"/>
      <c r="AT969" s="235"/>
      <c r="AU969" s="57"/>
      <c r="AV969" s="57"/>
      <c r="AW969" s="57"/>
      <c r="AX969" s="70"/>
      <c r="AY969" s="149"/>
      <c r="AZ969" s="112"/>
      <c r="BA969" s="236"/>
      <c r="BB969" s="236"/>
      <c r="BC969" s="152"/>
      <c r="BD969" s="152"/>
      <c r="BE969" s="236"/>
      <c r="BF969" s="262"/>
      <c r="BG969" s="262"/>
    </row>
    <row r="970" spans="1:59" ht="12.75" customHeight="1" x14ac:dyDescent="0.15">
      <c r="A970" s="57"/>
      <c r="B970" s="57"/>
      <c r="C970" s="57"/>
      <c r="D970" s="103"/>
      <c r="E970" s="125"/>
      <c r="F970" s="125"/>
      <c r="G970" s="57"/>
      <c r="H970" s="57"/>
      <c r="I970" s="57"/>
      <c r="J970" s="57"/>
      <c r="K970" s="57"/>
      <c r="L970" s="57"/>
      <c r="M970" s="57"/>
      <c r="N970" s="57"/>
      <c r="O970" s="70"/>
      <c r="P970" s="57"/>
      <c r="Q970" s="24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220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149"/>
      <c r="AP970" s="149"/>
      <c r="AQ970" s="57"/>
      <c r="AR970" s="74"/>
      <c r="AS970" s="149"/>
      <c r="AT970" s="235"/>
      <c r="AU970" s="57"/>
      <c r="AV970" s="57"/>
      <c r="AW970" s="57"/>
      <c r="AX970" s="70"/>
      <c r="AY970" s="149"/>
      <c r="AZ970" s="112"/>
      <c r="BA970" s="236"/>
      <c r="BB970" s="236"/>
      <c r="BC970" s="152"/>
      <c r="BD970" s="152"/>
      <c r="BE970" s="236"/>
      <c r="BF970" s="262"/>
      <c r="BG970" s="262"/>
    </row>
    <row r="971" spans="1:59" ht="12.75" customHeight="1" x14ac:dyDescent="0.15">
      <c r="A971" s="57"/>
      <c r="B971" s="57"/>
      <c r="C971" s="57"/>
      <c r="D971" s="103"/>
      <c r="E971" s="125"/>
      <c r="F971" s="125"/>
      <c r="G971" s="57"/>
      <c r="H971" s="57"/>
      <c r="I971" s="57"/>
      <c r="J971" s="57"/>
      <c r="K971" s="57"/>
      <c r="L971" s="57"/>
      <c r="M971" s="57"/>
      <c r="N971" s="57"/>
      <c r="O971" s="70"/>
      <c r="P971" s="57"/>
      <c r="Q971" s="24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220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149"/>
      <c r="AP971" s="149"/>
      <c r="AQ971" s="57"/>
      <c r="AR971" s="74"/>
      <c r="AS971" s="149"/>
      <c r="AT971" s="235"/>
      <c r="AU971" s="57"/>
      <c r="AV971" s="57"/>
      <c r="AW971" s="57"/>
      <c r="AX971" s="70"/>
      <c r="AY971" s="149"/>
      <c r="AZ971" s="112"/>
      <c r="BA971" s="236"/>
      <c r="BB971" s="236"/>
      <c r="BC971" s="152"/>
      <c r="BD971" s="152"/>
      <c r="BE971" s="236"/>
      <c r="BF971" s="262"/>
      <c r="BG971" s="262"/>
    </row>
    <row r="972" spans="1:59" ht="12.75" customHeight="1" x14ac:dyDescent="0.15">
      <c r="A972" s="57"/>
      <c r="B972" s="57"/>
      <c r="C972" s="57"/>
      <c r="D972" s="103"/>
      <c r="E972" s="125"/>
      <c r="F972" s="125"/>
      <c r="G972" s="57"/>
      <c r="H972" s="57"/>
      <c r="I972" s="57"/>
      <c r="J972" s="57"/>
      <c r="K972" s="57"/>
      <c r="L972" s="57"/>
      <c r="M972" s="57"/>
      <c r="N972" s="57"/>
      <c r="O972" s="70"/>
      <c r="P972" s="57"/>
      <c r="Q972" s="24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220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149"/>
      <c r="AP972" s="149"/>
      <c r="AQ972" s="57"/>
      <c r="AR972" s="74"/>
      <c r="AS972" s="149"/>
      <c r="AT972" s="235"/>
      <c r="AU972" s="57"/>
      <c r="AV972" s="57"/>
      <c r="AW972" s="57"/>
      <c r="AX972" s="70"/>
      <c r="AY972" s="149"/>
      <c r="AZ972" s="112"/>
      <c r="BA972" s="236"/>
      <c r="BB972" s="236"/>
      <c r="BC972" s="152"/>
      <c r="BD972" s="152"/>
      <c r="BE972" s="236"/>
      <c r="BF972" s="262"/>
      <c r="BG972" s="262"/>
    </row>
    <row r="973" spans="1:59" ht="12.75" customHeight="1" x14ac:dyDescent="0.15">
      <c r="A973" s="57"/>
      <c r="B973" s="57"/>
      <c r="C973" s="57"/>
      <c r="D973" s="103"/>
      <c r="E973" s="125"/>
      <c r="F973" s="125"/>
      <c r="G973" s="57"/>
      <c r="H973" s="57"/>
      <c r="I973" s="57"/>
      <c r="J973" s="57"/>
      <c r="K973" s="57"/>
      <c r="L973" s="57"/>
      <c r="M973" s="57"/>
      <c r="N973" s="57"/>
      <c r="O973" s="70"/>
      <c r="P973" s="57"/>
      <c r="Q973" s="24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220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149"/>
      <c r="AP973" s="149"/>
      <c r="AQ973" s="57"/>
      <c r="AR973" s="74"/>
      <c r="AS973" s="149"/>
      <c r="AT973" s="235"/>
      <c r="AU973" s="57"/>
      <c r="AV973" s="57"/>
      <c r="AW973" s="57"/>
      <c r="AX973" s="70"/>
      <c r="AY973" s="149"/>
      <c r="AZ973" s="112"/>
      <c r="BA973" s="236"/>
      <c r="BB973" s="236"/>
      <c r="BC973" s="152"/>
      <c r="BD973" s="152"/>
      <c r="BE973" s="236"/>
      <c r="BF973" s="262"/>
      <c r="BG973" s="262"/>
    </row>
    <row r="974" spans="1:59" ht="12.75" customHeight="1" x14ac:dyDescent="0.15">
      <c r="A974" s="57"/>
      <c r="B974" s="57"/>
      <c r="C974" s="57"/>
      <c r="D974" s="103"/>
      <c r="E974" s="125"/>
      <c r="F974" s="125"/>
      <c r="G974" s="57"/>
      <c r="H974" s="57"/>
      <c r="I974" s="57"/>
      <c r="J974" s="57"/>
      <c r="K974" s="57"/>
      <c r="L974" s="57"/>
      <c r="M974" s="57"/>
      <c r="N974" s="57"/>
      <c r="O974" s="70"/>
      <c r="P974" s="57"/>
      <c r="Q974" s="24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220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149"/>
      <c r="AP974" s="149"/>
      <c r="AQ974" s="57"/>
      <c r="AR974" s="74"/>
      <c r="AS974" s="149"/>
      <c r="AT974" s="235"/>
      <c r="AU974" s="57"/>
      <c r="AV974" s="57"/>
      <c r="AW974" s="57"/>
      <c r="AX974" s="70"/>
      <c r="AY974" s="149"/>
      <c r="AZ974" s="112"/>
      <c r="BA974" s="236"/>
      <c r="BB974" s="236"/>
      <c r="BC974" s="152"/>
      <c r="BD974" s="152"/>
      <c r="BE974" s="236"/>
      <c r="BF974" s="262"/>
      <c r="BG974" s="262"/>
    </row>
    <row r="975" spans="1:59" ht="12.75" customHeight="1" x14ac:dyDescent="0.15">
      <c r="A975" s="57"/>
      <c r="B975" s="57"/>
      <c r="C975" s="57"/>
      <c r="D975" s="103"/>
      <c r="E975" s="125"/>
      <c r="F975" s="125"/>
      <c r="G975" s="57"/>
      <c r="H975" s="57"/>
      <c r="I975" s="57"/>
      <c r="J975" s="57"/>
      <c r="K975" s="57"/>
      <c r="L975" s="57"/>
      <c r="M975" s="57"/>
      <c r="N975" s="57"/>
      <c r="O975" s="70"/>
      <c r="P975" s="57"/>
      <c r="Q975" s="24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220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149"/>
      <c r="AP975" s="149"/>
      <c r="AQ975" s="57"/>
      <c r="AR975" s="74"/>
      <c r="AS975" s="149"/>
      <c r="AT975" s="235"/>
      <c r="AU975" s="57"/>
      <c r="AV975" s="57"/>
      <c r="AW975" s="57"/>
      <c r="AX975" s="70"/>
      <c r="AY975" s="149"/>
      <c r="AZ975" s="112"/>
      <c r="BA975" s="236"/>
      <c r="BB975" s="236"/>
      <c r="BC975" s="152"/>
      <c r="BD975" s="152"/>
      <c r="BE975" s="236"/>
      <c r="BF975" s="262"/>
      <c r="BG975" s="262"/>
    </row>
    <row r="976" spans="1:59" ht="12.75" customHeight="1" x14ac:dyDescent="0.15">
      <c r="A976" s="57"/>
      <c r="B976" s="57"/>
      <c r="C976" s="57"/>
      <c r="D976" s="103"/>
      <c r="E976" s="125"/>
      <c r="F976" s="125"/>
      <c r="G976" s="57"/>
      <c r="H976" s="57"/>
      <c r="I976" s="57"/>
      <c r="J976" s="57"/>
      <c r="K976" s="57"/>
      <c r="L976" s="57"/>
      <c r="M976" s="57"/>
      <c r="N976" s="57"/>
      <c r="O976" s="70"/>
      <c r="P976" s="57"/>
      <c r="Q976" s="24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220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149"/>
      <c r="AP976" s="149"/>
      <c r="AQ976" s="57"/>
      <c r="AR976" s="74"/>
      <c r="AS976" s="149"/>
      <c r="AT976" s="235"/>
      <c r="AU976" s="57"/>
      <c r="AV976" s="57"/>
      <c r="AW976" s="57"/>
      <c r="AX976" s="70"/>
      <c r="AY976" s="149"/>
      <c r="AZ976" s="112"/>
      <c r="BA976" s="236"/>
      <c r="BB976" s="236"/>
      <c r="BC976" s="152"/>
      <c r="BD976" s="152"/>
      <c r="BE976" s="236"/>
      <c r="BF976" s="262"/>
      <c r="BG976" s="262"/>
    </row>
    <row r="977" spans="1:59" ht="12.75" customHeight="1" x14ac:dyDescent="0.15">
      <c r="A977" s="57"/>
      <c r="B977" s="57"/>
      <c r="C977" s="57"/>
      <c r="D977" s="103"/>
      <c r="E977" s="125"/>
      <c r="F977" s="125"/>
      <c r="G977" s="57"/>
      <c r="H977" s="57"/>
      <c r="I977" s="57"/>
      <c r="J977" s="57"/>
      <c r="K977" s="57"/>
      <c r="L977" s="57"/>
      <c r="M977" s="57"/>
      <c r="N977" s="57"/>
      <c r="O977" s="70"/>
      <c r="P977" s="57"/>
      <c r="Q977" s="24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220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149"/>
      <c r="AP977" s="149"/>
      <c r="AQ977" s="57"/>
      <c r="AR977" s="74"/>
      <c r="AS977" s="149"/>
      <c r="AT977" s="235"/>
      <c r="AU977" s="57"/>
      <c r="AV977" s="57"/>
      <c r="AW977" s="57"/>
      <c r="AX977" s="70"/>
      <c r="AY977" s="149"/>
      <c r="AZ977" s="112"/>
      <c r="BA977" s="236"/>
      <c r="BB977" s="236"/>
      <c r="BC977" s="152"/>
      <c r="BD977" s="152"/>
      <c r="BE977" s="236"/>
      <c r="BF977" s="262"/>
      <c r="BG977" s="262"/>
    </row>
    <row r="978" spans="1:59" ht="12.75" customHeight="1" x14ac:dyDescent="0.15">
      <c r="A978" s="57"/>
      <c r="B978" s="57"/>
      <c r="C978" s="57"/>
      <c r="D978" s="103"/>
      <c r="E978" s="125"/>
      <c r="F978" s="125"/>
      <c r="G978" s="57"/>
      <c r="H978" s="57"/>
      <c r="I978" s="57"/>
      <c r="J978" s="57"/>
      <c r="K978" s="57"/>
      <c r="L978" s="57"/>
      <c r="M978" s="57"/>
      <c r="N978" s="57"/>
      <c r="O978" s="70"/>
      <c r="P978" s="57"/>
      <c r="Q978" s="24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220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149"/>
      <c r="AP978" s="149"/>
      <c r="AQ978" s="57"/>
      <c r="AR978" s="74"/>
      <c r="AS978" s="149"/>
      <c r="AT978" s="235"/>
      <c r="AU978" s="57"/>
      <c r="AV978" s="57"/>
      <c r="AW978" s="57"/>
      <c r="AX978" s="70"/>
      <c r="AY978" s="149"/>
      <c r="AZ978" s="112"/>
      <c r="BA978" s="236"/>
      <c r="BB978" s="236"/>
      <c r="BC978" s="152"/>
      <c r="BD978" s="152"/>
      <c r="BE978" s="236"/>
      <c r="BF978" s="262"/>
      <c r="BG978" s="262"/>
    </row>
    <row r="979" spans="1:59" ht="12.75" customHeight="1" x14ac:dyDescent="0.15">
      <c r="A979" s="57"/>
      <c r="B979" s="57"/>
      <c r="C979" s="57"/>
      <c r="D979" s="103"/>
      <c r="E979" s="125"/>
      <c r="F979" s="125"/>
      <c r="G979" s="57"/>
      <c r="H979" s="57"/>
      <c r="I979" s="57"/>
      <c r="J979" s="57"/>
      <c r="K979" s="57"/>
      <c r="L979" s="57"/>
      <c r="M979" s="57"/>
      <c r="N979" s="57"/>
      <c r="O979" s="70"/>
      <c r="P979" s="57"/>
      <c r="Q979" s="24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220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149"/>
      <c r="AP979" s="149"/>
      <c r="AQ979" s="57"/>
      <c r="AR979" s="74"/>
      <c r="AS979" s="149"/>
      <c r="AT979" s="235"/>
      <c r="AU979" s="57"/>
      <c r="AV979" s="57"/>
      <c r="AW979" s="57"/>
      <c r="AX979" s="70"/>
      <c r="AY979" s="149"/>
      <c r="AZ979" s="112"/>
      <c r="BA979" s="236"/>
      <c r="BB979" s="236"/>
      <c r="BC979" s="152"/>
      <c r="BD979" s="152"/>
      <c r="BE979" s="236"/>
      <c r="BF979" s="262"/>
      <c r="BG979" s="262"/>
    </row>
    <row r="980" spans="1:59" ht="12.75" customHeight="1" x14ac:dyDescent="0.15">
      <c r="A980" s="57"/>
      <c r="B980" s="57"/>
      <c r="C980" s="57"/>
      <c r="D980" s="103"/>
      <c r="E980" s="125"/>
      <c r="F980" s="125"/>
      <c r="G980" s="57"/>
      <c r="H980" s="57"/>
      <c r="I980" s="57"/>
      <c r="J980" s="57"/>
      <c r="K980" s="57"/>
      <c r="L980" s="57"/>
      <c r="M980" s="57"/>
      <c r="N980" s="57"/>
      <c r="O980" s="70"/>
      <c r="P980" s="57"/>
      <c r="Q980" s="24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220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149"/>
      <c r="AP980" s="149"/>
      <c r="AQ980" s="57"/>
      <c r="AR980" s="74"/>
      <c r="AS980" s="149"/>
      <c r="AT980" s="235"/>
      <c r="AU980" s="57"/>
      <c r="AV980" s="57"/>
      <c r="AW980" s="57"/>
      <c r="AX980" s="70"/>
      <c r="AY980" s="149"/>
      <c r="AZ980" s="112"/>
      <c r="BA980" s="236"/>
      <c r="BB980" s="236"/>
      <c r="BC980" s="152"/>
      <c r="BD980" s="152"/>
      <c r="BE980" s="236"/>
      <c r="BF980" s="262"/>
      <c r="BG980" s="262"/>
    </row>
    <row r="981" spans="1:59" ht="12.75" customHeight="1" x14ac:dyDescent="0.15">
      <c r="A981" s="57"/>
      <c r="B981" s="57"/>
      <c r="C981" s="57"/>
      <c r="D981" s="103"/>
      <c r="E981" s="125"/>
      <c r="F981" s="125"/>
      <c r="G981" s="57"/>
      <c r="H981" s="57"/>
      <c r="I981" s="57"/>
      <c r="J981" s="57"/>
      <c r="K981" s="57"/>
      <c r="L981" s="57"/>
      <c r="M981" s="57"/>
      <c r="N981" s="57"/>
      <c r="O981" s="70"/>
      <c r="P981" s="57"/>
      <c r="Q981" s="24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220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149"/>
      <c r="AP981" s="149"/>
      <c r="AQ981" s="57"/>
      <c r="AR981" s="74"/>
      <c r="AS981" s="149"/>
      <c r="AT981" s="235"/>
      <c r="AU981" s="57"/>
      <c r="AV981" s="57"/>
      <c r="AW981" s="57"/>
      <c r="AX981" s="70"/>
      <c r="AY981" s="149"/>
      <c r="AZ981" s="112"/>
      <c r="BA981" s="236"/>
      <c r="BB981" s="236"/>
      <c r="BC981" s="152"/>
      <c r="BD981" s="152"/>
      <c r="BE981" s="236"/>
      <c r="BF981" s="262"/>
      <c r="BG981" s="262"/>
    </row>
    <row r="982" spans="1:59" ht="12.75" customHeight="1" x14ac:dyDescent="0.15">
      <c r="A982" s="57"/>
      <c r="B982" s="57"/>
      <c r="C982" s="57"/>
      <c r="D982" s="103"/>
      <c r="E982" s="125"/>
      <c r="F982" s="125"/>
      <c r="G982" s="57"/>
      <c r="H982" s="57"/>
      <c r="I982" s="57"/>
      <c r="J982" s="57"/>
      <c r="K982" s="57"/>
      <c r="L982" s="57"/>
      <c r="M982" s="57"/>
      <c r="N982" s="57"/>
      <c r="O982" s="70"/>
      <c r="P982" s="57"/>
      <c r="Q982" s="24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220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149"/>
      <c r="AP982" s="149"/>
      <c r="AQ982" s="57"/>
      <c r="AR982" s="74"/>
      <c r="AS982" s="149"/>
      <c r="AT982" s="235"/>
      <c r="AU982" s="57"/>
      <c r="AV982" s="57"/>
      <c r="AW982" s="57"/>
      <c r="AX982" s="70"/>
      <c r="AY982" s="149"/>
      <c r="AZ982" s="112"/>
      <c r="BA982" s="236"/>
      <c r="BB982" s="236"/>
      <c r="BC982" s="152"/>
      <c r="BD982" s="152"/>
      <c r="BE982" s="236"/>
      <c r="BF982" s="262"/>
      <c r="BG982" s="262"/>
    </row>
    <row r="983" spans="1:59" ht="12.75" customHeight="1" x14ac:dyDescent="0.15">
      <c r="A983" s="57"/>
      <c r="B983" s="57"/>
      <c r="C983" s="57"/>
      <c r="D983" s="103"/>
      <c r="E983" s="125"/>
      <c r="F983" s="125"/>
      <c r="G983" s="57"/>
      <c r="H983" s="57"/>
      <c r="I983" s="57"/>
      <c r="J983" s="57"/>
      <c r="K983" s="57"/>
      <c r="L983" s="57"/>
      <c r="M983" s="57"/>
      <c r="N983" s="57"/>
      <c r="O983" s="70"/>
      <c r="P983" s="57"/>
      <c r="Q983" s="24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220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149"/>
      <c r="AP983" s="149"/>
      <c r="AQ983" s="57"/>
      <c r="AR983" s="74"/>
      <c r="AS983" s="149"/>
      <c r="AT983" s="235"/>
      <c r="AU983" s="57"/>
      <c r="AV983" s="57"/>
      <c r="AW983" s="57"/>
      <c r="AX983" s="70"/>
      <c r="AY983" s="149"/>
      <c r="AZ983" s="112"/>
      <c r="BA983" s="236"/>
      <c r="BB983" s="236"/>
      <c r="BC983" s="152"/>
      <c r="BD983" s="152"/>
      <c r="BE983" s="236"/>
      <c r="BF983" s="262"/>
      <c r="BG983" s="262"/>
    </row>
    <row r="984" spans="1:59" ht="12.75" customHeight="1" x14ac:dyDescent="0.15">
      <c r="A984" s="57"/>
      <c r="B984" s="57"/>
      <c r="C984" s="57"/>
      <c r="D984" s="103"/>
      <c r="E984" s="125"/>
      <c r="F984" s="125"/>
      <c r="G984" s="57"/>
      <c r="H984" s="57"/>
      <c r="I984" s="57"/>
      <c r="J984" s="57"/>
      <c r="K984" s="57"/>
      <c r="L984" s="57"/>
      <c r="M984" s="57"/>
      <c r="N984" s="57"/>
      <c r="O984" s="70"/>
      <c r="P984" s="57"/>
      <c r="Q984" s="24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220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149"/>
      <c r="AP984" s="149"/>
      <c r="AQ984" s="57"/>
      <c r="AR984" s="74"/>
      <c r="AS984" s="149"/>
      <c r="AT984" s="235"/>
      <c r="AU984" s="57"/>
      <c r="AV984" s="57"/>
      <c r="AW984" s="57"/>
      <c r="AX984" s="70"/>
      <c r="AY984" s="149"/>
      <c r="AZ984" s="112"/>
      <c r="BA984" s="236"/>
      <c r="BB984" s="236"/>
      <c r="BC984" s="152"/>
      <c r="BD984" s="152"/>
      <c r="BE984" s="236"/>
      <c r="BF984" s="262"/>
      <c r="BG984" s="262"/>
    </row>
    <row r="985" spans="1:59" ht="12.75" customHeight="1" x14ac:dyDescent="0.15">
      <c r="A985" s="57"/>
      <c r="B985" s="57"/>
      <c r="C985" s="57"/>
      <c r="D985" s="103"/>
      <c r="E985" s="125"/>
      <c r="F985" s="125"/>
      <c r="G985" s="57"/>
      <c r="H985" s="57"/>
      <c r="I985" s="57"/>
      <c r="J985" s="57"/>
      <c r="K985" s="57"/>
      <c r="L985" s="57"/>
      <c r="M985" s="57"/>
      <c r="N985" s="57"/>
      <c r="O985" s="70"/>
      <c r="P985" s="57"/>
      <c r="Q985" s="24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220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149"/>
      <c r="AP985" s="149"/>
      <c r="AQ985" s="57"/>
      <c r="AR985" s="74"/>
      <c r="AS985" s="149"/>
      <c r="AT985" s="235"/>
      <c r="AU985" s="57"/>
      <c r="AV985" s="57"/>
      <c r="AW985" s="57"/>
      <c r="AX985" s="70"/>
      <c r="AY985" s="149"/>
      <c r="AZ985" s="112"/>
      <c r="BA985" s="236"/>
      <c r="BB985" s="236"/>
      <c r="BC985" s="152"/>
      <c r="BD985" s="152"/>
      <c r="BE985" s="236"/>
      <c r="BF985" s="262"/>
      <c r="BG985" s="262"/>
    </row>
    <row r="986" spans="1:59" ht="12.75" customHeight="1" x14ac:dyDescent="0.15">
      <c r="A986" s="57"/>
      <c r="B986" s="57"/>
      <c r="C986" s="57"/>
      <c r="D986" s="103"/>
      <c r="E986" s="125"/>
      <c r="F986" s="125"/>
      <c r="G986" s="57"/>
      <c r="H986" s="57"/>
      <c r="I986" s="57"/>
      <c r="J986" s="57"/>
      <c r="K986" s="57"/>
      <c r="L986" s="57"/>
      <c r="M986" s="57"/>
      <c r="N986" s="57"/>
      <c r="O986" s="70"/>
      <c r="P986" s="57"/>
      <c r="Q986" s="24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220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149"/>
      <c r="AP986" s="149"/>
      <c r="AQ986" s="57"/>
      <c r="AR986" s="74"/>
      <c r="AS986" s="149"/>
      <c r="AT986" s="235"/>
      <c r="AU986" s="57"/>
      <c r="AV986" s="57"/>
      <c r="AW986" s="57"/>
      <c r="AX986" s="70"/>
      <c r="AY986" s="149"/>
      <c r="AZ986" s="112"/>
      <c r="BA986" s="236"/>
      <c r="BB986" s="236"/>
      <c r="BC986" s="152"/>
      <c r="BD986" s="152"/>
      <c r="BE986" s="236"/>
      <c r="BF986" s="262"/>
      <c r="BG986" s="262"/>
    </row>
    <row r="987" spans="1:59" ht="12.75" customHeight="1" x14ac:dyDescent="0.15">
      <c r="A987" s="57"/>
      <c r="B987" s="57"/>
      <c r="C987" s="57"/>
      <c r="D987" s="103"/>
      <c r="E987" s="125"/>
      <c r="F987" s="125"/>
      <c r="G987" s="57"/>
      <c r="H987" s="57"/>
      <c r="I987" s="57"/>
      <c r="J987" s="57"/>
      <c r="K987" s="57"/>
      <c r="L987" s="57"/>
      <c r="M987" s="57"/>
      <c r="N987" s="57"/>
      <c r="O987" s="70"/>
      <c r="P987" s="57"/>
      <c r="Q987" s="24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220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149"/>
      <c r="AP987" s="149"/>
      <c r="AQ987" s="57"/>
      <c r="AR987" s="74"/>
      <c r="AS987" s="149"/>
      <c r="AT987" s="235"/>
      <c r="AU987" s="57"/>
      <c r="AV987" s="57"/>
      <c r="AW987" s="57"/>
      <c r="AX987" s="70"/>
      <c r="AY987" s="149"/>
      <c r="AZ987" s="112"/>
      <c r="BA987" s="236"/>
      <c r="BB987" s="236"/>
      <c r="BC987" s="152"/>
      <c r="BD987" s="152"/>
      <c r="BE987" s="236"/>
      <c r="BF987" s="262"/>
      <c r="BG987" s="262"/>
    </row>
    <row r="988" spans="1:59" ht="12.75" customHeight="1" x14ac:dyDescent="0.15">
      <c r="A988" s="57"/>
      <c r="B988" s="57"/>
      <c r="C988" s="57"/>
      <c r="D988" s="103"/>
      <c r="E988" s="125"/>
      <c r="F988" s="125"/>
      <c r="G988" s="57"/>
      <c r="H988" s="57"/>
      <c r="I988" s="57"/>
      <c r="J988" s="57"/>
      <c r="K988" s="57"/>
      <c r="L988" s="57"/>
      <c r="M988" s="57"/>
      <c r="N988" s="57"/>
      <c r="O988" s="70"/>
      <c r="P988" s="57"/>
      <c r="Q988" s="24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220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149"/>
      <c r="AP988" s="149"/>
      <c r="AQ988" s="57"/>
      <c r="AR988" s="74"/>
      <c r="AS988" s="149"/>
      <c r="AT988" s="235"/>
      <c r="AU988" s="57"/>
      <c r="AV988" s="57"/>
      <c r="AW988" s="57"/>
      <c r="AX988" s="70"/>
      <c r="AY988" s="149"/>
      <c r="AZ988" s="112"/>
      <c r="BA988" s="236"/>
      <c r="BB988" s="236"/>
      <c r="BC988" s="152"/>
      <c r="BD988" s="152"/>
      <c r="BE988" s="236"/>
      <c r="BF988" s="262"/>
      <c r="BG988" s="262"/>
    </row>
    <row r="989" spans="1:59" ht="12.75" customHeight="1" x14ac:dyDescent="0.15">
      <c r="A989" s="57"/>
      <c r="B989" s="57"/>
      <c r="C989" s="57"/>
      <c r="D989" s="103"/>
      <c r="E989" s="125"/>
      <c r="F989" s="125"/>
      <c r="G989" s="57"/>
      <c r="H989" s="57"/>
      <c r="I989" s="57"/>
      <c r="J989" s="57"/>
      <c r="K989" s="57"/>
      <c r="L989" s="57"/>
      <c r="M989" s="57"/>
      <c r="N989" s="57"/>
      <c r="O989" s="70"/>
      <c r="P989" s="57"/>
      <c r="Q989" s="24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220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149"/>
      <c r="AP989" s="149"/>
      <c r="AQ989" s="57"/>
      <c r="AR989" s="74"/>
      <c r="AS989" s="149"/>
      <c r="AT989" s="235"/>
      <c r="AU989" s="57"/>
      <c r="AV989" s="57"/>
      <c r="AW989" s="57"/>
      <c r="AX989" s="70"/>
      <c r="AY989" s="149"/>
      <c r="AZ989" s="112"/>
      <c r="BA989" s="236"/>
      <c r="BB989" s="236"/>
      <c r="BC989" s="152"/>
      <c r="BD989" s="152"/>
      <c r="BE989" s="236"/>
      <c r="BF989" s="262"/>
      <c r="BG989" s="262"/>
    </row>
    <row r="990" spans="1:59" ht="12.75" customHeight="1" x14ac:dyDescent="0.15">
      <c r="A990" s="57"/>
      <c r="B990" s="57"/>
      <c r="C990" s="57"/>
      <c r="D990" s="103"/>
      <c r="E990" s="125"/>
      <c r="F990" s="125"/>
      <c r="G990" s="57"/>
      <c r="H990" s="57"/>
      <c r="I990" s="57"/>
      <c r="J990" s="57"/>
      <c r="K990" s="57"/>
      <c r="L990" s="57"/>
      <c r="M990" s="57"/>
      <c r="N990" s="57"/>
      <c r="O990" s="70"/>
      <c r="P990" s="57"/>
      <c r="Q990" s="24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220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149"/>
      <c r="AP990" s="149"/>
      <c r="AQ990" s="57"/>
      <c r="AR990" s="74"/>
      <c r="AS990" s="149"/>
      <c r="AT990" s="235"/>
      <c r="AU990" s="57"/>
      <c r="AV990" s="57"/>
      <c r="AW990" s="57"/>
      <c r="AX990" s="70"/>
      <c r="AY990" s="149"/>
      <c r="AZ990" s="112"/>
      <c r="BA990" s="236"/>
      <c r="BB990" s="236"/>
      <c r="BC990" s="152"/>
      <c r="BD990" s="152"/>
      <c r="BE990" s="236"/>
      <c r="BF990" s="262"/>
      <c r="BG990" s="262"/>
    </row>
    <row r="991" spans="1:59" ht="12.75" customHeight="1" x14ac:dyDescent="0.15">
      <c r="A991" s="57"/>
      <c r="B991" s="57"/>
      <c r="C991" s="57"/>
      <c r="D991" s="103"/>
      <c r="E991" s="125"/>
      <c r="F991" s="125"/>
      <c r="G991" s="57"/>
      <c r="H991" s="57"/>
      <c r="I991" s="57"/>
      <c r="J991" s="57"/>
      <c r="K991" s="57"/>
      <c r="L991" s="57"/>
      <c r="M991" s="57"/>
      <c r="N991" s="57"/>
      <c r="O991" s="70"/>
      <c r="P991" s="57"/>
      <c r="Q991" s="24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220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149"/>
      <c r="AP991" s="149"/>
      <c r="AQ991" s="57"/>
      <c r="AR991" s="74"/>
      <c r="AS991" s="149"/>
      <c r="AT991" s="235"/>
      <c r="AU991" s="57"/>
      <c r="AV991" s="57"/>
      <c r="AW991" s="57"/>
      <c r="AX991" s="70"/>
      <c r="AY991" s="149"/>
      <c r="AZ991" s="112"/>
      <c r="BA991" s="236"/>
      <c r="BB991" s="236"/>
      <c r="BC991" s="152"/>
      <c r="BD991" s="152"/>
      <c r="BE991" s="236"/>
      <c r="BF991" s="262"/>
      <c r="BG991" s="262"/>
    </row>
    <row r="992" spans="1:59" ht="12.75" customHeight="1" x14ac:dyDescent="0.15">
      <c r="A992" s="57"/>
      <c r="B992" s="57"/>
      <c r="C992" s="57"/>
      <c r="D992" s="103"/>
      <c r="E992" s="125"/>
      <c r="F992" s="125"/>
      <c r="G992" s="57"/>
      <c r="H992" s="57"/>
      <c r="I992" s="57"/>
      <c r="J992" s="57"/>
      <c r="K992" s="57"/>
      <c r="L992" s="57"/>
      <c r="M992" s="57"/>
      <c r="N992" s="57"/>
      <c r="O992" s="70"/>
      <c r="P992" s="57"/>
      <c r="Q992" s="24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220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149"/>
      <c r="AP992" s="149"/>
      <c r="AQ992" s="57"/>
      <c r="AR992" s="74"/>
      <c r="AS992" s="149"/>
      <c r="AT992" s="235"/>
      <c r="AU992" s="57"/>
      <c r="AV992" s="57"/>
      <c r="AW992" s="57"/>
      <c r="AX992" s="70"/>
      <c r="AY992" s="149"/>
      <c r="AZ992" s="112"/>
      <c r="BA992" s="236"/>
      <c r="BB992" s="236"/>
      <c r="BC992" s="152"/>
      <c r="BD992" s="152"/>
      <c r="BE992" s="236"/>
      <c r="BF992" s="262"/>
      <c r="BG992" s="262"/>
    </row>
    <row r="993" spans="1:59" ht="12.75" customHeight="1" x14ac:dyDescent="0.15">
      <c r="A993" s="57"/>
      <c r="B993" s="57"/>
      <c r="C993" s="57"/>
      <c r="D993" s="103"/>
      <c r="E993" s="125"/>
      <c r="F993" s="125"/>
      <c r="G993" s="57"/>
      <c r="H993" s="57"/>
      <c r="I993" s="57"/>
      <c r="J993" s="57"/>
      <c r="K993" s="57"/>
      <c r="L993" s="57"/>
      <c r="M993" s="57"/>
      <c r="N993" s="57"/>
      <c r="O993" s="70"/>
      <c r="P993" s="57"/>
      <c r="Q993" s="24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220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149"/>
      <c r="AP993" s="149"/>
      <c r="AQ993" s="57"/>
      <c r="AR993" s="74"/>
      <c r="AS993" s="149"/>
      <c r="AT993" s="235"/>
      <c r="AU993" s="57"/>
      <c r="AV993" s="57"/>
      <c r="AW993" s="57"/>
      <c r="AX993" s="70"/>
      <c r="AY993" s="149"/>
      <c r="AZ993" s="112"/>
      <c r="BA993" s="236"/>
      <c r="BB993" s="236"/>
      <c r="BC993" s="152"/>
      <c r="BD993" s="152"/>
      <c r="BE993" s="236"/>
      <c r="BF993" s="262"/>
      <c r="BG993" s="262"/>
    </row>
    <row r="994" spans="1:59" ht="12.75" customHeight="1" x14ac:dyDescent="0.15">
      <c r="A994" s="57"/>
      <c r="B994" s="57"/>
      <c r="C994" s="57"/>
      <c r="D994" s="103"/>
      <c r="E994" s="125"/>
      <c r="F994" s="125"/>
      <c r="G994" s="57"/>
      <c r="H994" s="57"/>
      <c r="I994" s="57"/>
      <c r="J994" s="57"/>
      <c r="K994" s="57"/>
      <c r="L994" s="57"/>
      <c r="M994" s="57"/>
      <c r="N994" s="57"/>
      <c r="O994" s="70"/>
      <c r="P994" s="57"/>
      <c r="Q994" s="24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220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149"/>
      <c r="AP994" s="149"/>
      <c r="AQ994" s="57"/>
      <c r="AR994" s="74"/>
      <c r="AS994" s="149"/>
      <c r="AT994" s="235"/>
      <c r="AU994" s="57"/>
      <c r="AV994" s="57"/>
      <c r="AW994" s="57"/>
      <c r="AX994" s="70"/>
      <c r="AY994" s="149"/>
      <c r="AZ994" s="112"/>
      <c r="BA994" s="236"/>
      <c r="BB994" s="236"/>
      <c r="BC994" s="152"/>
      <c r="BD994" s="152"/>
      <c r="BE994" s="236"/>
      <c r="BF994" s="262"/>
      <c r="BG994" s="262"/>
    </row>
    <row r="995" spans="1:59" ht="12.75" customHeight="1" x14ac:dyDescent="0.15">
      <c r="A995" s="57"/>
      <c r="B995" s="57"/>
      <c r="C995" s="57"/>
      <c r="D995" s="103"/>
      <c r="E995" s="125"/>
      <c r="F995" s="125"/>
      <c r="G995" s="57"/>
      <c r="H995" s="57"/>
      <c r="I995" s="57"/>
      <c r="J995" s="57"/>
      <c r="K995" s="57"/>
      <c r="L995" s="57"/>
      <c r="M995" s="57"/>
      <c r="N995" s="57"/>
      <c r="O995" s="70"/>
      <c r="P995" s="57"/>
      <c r="Q995" s="24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220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149"/>
      <c r="AP995" s="149"/>
      <c r="AQ995" s="57"/>
      <c r="AR995" s="74"/>
      <c r="AS995" s="149"/>
      <c r="AT995" s="235"/>
      <c r="AU995" s="57"/>
      <c r="AV995" s="57"/>
      <c r="AW995" s="57"/>
      <c r="AX995" s="70"/>
      <c r="AY995" s="149"/>
      <c r="AZ995" s="112"/>
      <c r="BA995" s="236"/>
      <c r="BB995" s="236"/>
      <c r="BC995" s="152"/>
      <c r="BD995" s="152"/>
      <c r="BE995" s="236"/>
      <c r="BF995" s="262"/>
      <c r="BG995" s="262"/>
    </row>
    <row r="996" spans="1:59" ht="12.75" customHeight="1" x14ac:dyDescent="0.15">
      <c r="A996" s="57"/>
      <c r="B996" s="57"/>
      <c r="C996" s="57"/>
      <c r="D996" s="103"/>
      <c r="E996" s="125"/>
      <c r="F996" s="125"/>
      <c r="G996" s="57"/>
      <c r="H996" s="57"/>
      <c r="I996" s="57"/>
      <c r="J996" s="57"/>
      <c r="K996" s="57"/>
      <c r="L996" s="57"/>
      <c r="M996" s="57"/>
      <c r="N996" s="57"/>
      <c r="O996" s="70"/>
      <c r="P996" s="57"/>
      <c r="Q996" s="24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220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149"/>
      <c r="AP996" s="149"/>
      <c r="AQ996" s="57"/>
      <c r="AR996" s="74"/>
      <c r="AS996" s="149"/>
      <c r="AT996" s="235"/>
      <c r="AU996" s="57"/>
      <c r="AV996" s="57"/>
      <c r="AW996" s="57"/>
      <c r="AX996" s="70"/>
      <c r="AY996" s="149"/>
      <c r="AZ996" s="112"/>
      <c r="BA996" s="236"/>
      <c r="BB996" s="236"/>
      <c r="BC996" s="152"/>
      <c r="BD996" s="152"/>
      <c r="BE996" s="236"/>
      <c r="BF996" s="262"/>
      <c r="BG996" s="262"/>
    </row>
    <row r="997" spans="1:59" ht="12.75" customHeight="1" x14ac:dyDescent="0.15">
      <c r="A997" s="57"/>
      <c r="B997" s="57"/>
      <c r="C997" s="57"/>
      <c r="D997" s="103"/>
      <c r="E997" s="125"/>
      <c r="F997" s="125"/>
      <c r="G997" s="57"/>
      <c r="H997" s="57"/>
      <c r="I997" s="57"/>
      <c r="J997" s="57"/>
      <c r="K997" s="57"/>
      <c r="L997" s="57"/>
      <c r="M997" s="57"/>
      <c r="N997" s="57"/>
      <c r="O997" s="70"/>
      <c r="P997" s="57"/>
      <c r="Q997" s="24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220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149"/>
      <c r="AP997" s="149"/>
      <c r="AQ997" s="57"/>
      <c r="AR997" s="74"/>
      <c r="AS997" s="149"/>
      <c r="AT997" s="235"/>
      <c r="AU997" s="57"/>
      <c r="AV997" s="57"/>
      <c r="AW997" s="57"/>
      <c r="AX997" s="70"/>
      <c r="AY997" s="149"/>
      <c r="AZ997" s="112"/>
      <c r="BA997" s="236"/>
      <c r="BB997" s="236"/>
      <c r="BC997" s="152"/>
      <c r="BD997" s="152"/>
      <c r="BE997" s="236"/>
      <c r="BF997" s="262"/>
      <c r="BG997" s="262"/>
    </row>
    <row r="998" spans="1:59" ht="12.75" customHeight="1" x14ac:dyDescent="0.15">
      <c r="A998" s="57"/>
      <c r="B998" s="57"/>
      <c r="C998" s="57"/>
      <c r="D998" s="103"/>
      <c r="E998" s="125"/>
      <c r="F998" s="125"/>
      <c r="G998" s="57"/>
      <c r="H998" s="57"/>
      <c r="I998" s="57"/>
      <c r="J998" s="57"/>
      <c r="K998" s="57"/>
      <c r="L998" s="57"/>
      <c r="M998" s="57"/>
      <c r="N998" s="57"/>
      <c r="O998" s="70"/>
      <c r="P998" s="57"/>
      <c r="Q998" s="24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220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149"/>
      <c r="AP998" s="149"/>
      <c r="AQ998" s="57"/>
      <c r="AR998" s="74"/>
      <c r="AS998" s="149"/>
      <c r="AT998" s="235"/>
      <c r="AU998" s="57"/>
      <c r="AV998" s="57"/>
      <c r="AW998" s="57"/>
      <c r="AX998" s="70"/>
      <c r="AY998" s="149"/>
      <c r="AZ998" s="112"/>
      <c r="BA998" s="236"/>
      <c r="BB998" s="236"/>
      <c r="BC998" s="152"/>
      <c r="BD998" s="152"/>
      <c r="BE998" s="236"/>
      <c r="BF998" s="262"/>
      <c r="BG998" s="262"/>
    </row>
    <row r="999" spans="1:59" ht="12.75" customHeight="1" x14ac:dyDescent="0.15">
      <c r="A999" s="57"/>
      <c r="B999" s="57"/>
      <c r="C999" s="57"/>
      <c r="D999" s="103"/>
      <c r="E999" s="125"/>
      <c r="F999" s="125"/>
      <c r="G999" s="57"/>
      <c r="H999" s="57"/>
      <c r="I999" s="57"/>
      <c r="J999" s="57"/>
      <c r="K999" s="57"/>
      <c r="L999" s="57"/>
      <c r="M999" s="57"/>
      <c r="N999" s="57"/>
      <c r="O999" s="70"/>
      <c r="P999" s="57"/>
      <c r="Q999" s="24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220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149"/>
      <c r="AP999" s="149"/>
      <c r="AQ999" s="57"/>
      <c r="AR999" s="74"/>
      <c r="AS999" s="149"/>
      <c r="AT999" s="235"/>
      <c r="AU999" s="57"/>
      <c r="AV999" s="57"/>
      <c r="AW999" s="57"/>
      <c r="AX999" s="70"/>
      <c r="AY999" s="149"/>
      <c r="AZ999" s="112"/>
      <c r="BA999" s="236"/>
      <c r="BB999" s="236"/>
      <c r="BC999" s="152"/>
      <c r="BD999" s="152"/>
      <c r="BE999" s="236"/>
      <c r="BF999" s="262"/>
      <c r="BG999" s="262"/>
    </row>
    <row r="1000" spans="1:59" ht="12.75" customHeight="1" x14ac:dyDescent="0.15">
      <c r="A1000" s="57"/>
      <c r="B1000" s="57"/>
      <c r="C1000" s="57"/>
      <c r="D1000" s="103"/>
      <c r="E1000" s="125"/>
      <c r="F1000" s="125"/>
      <c r="G1000" s="57"/>
      <c r="H1000" s="57"/>
      <c r="I1000" s="57"/>
      <c r="J1000" s="57"/>
      <c r="K1000" s="57"/>
      <c r="L1000" s="57"/>
      <c r="M1000" s="57"/>
      <c r="N1000" s="57"/>
      <c r="O1000" s="70"/>
      <c r="P1000" s="57"/>
      <c r="Q1000" s="24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220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149"/>
      <c r="AP1000" s="149"/>
      <c r="AQ1000" s="57"/>
      <c r="AR1000" s="74"/>
      <c r="AS1000" s="149"/>
      <c r="AT1000" s="235"/>
      <c r="AU1000" s="57"/>
      <c r="AV1000" s="57"/>
      <c r="AW1000" s="57"/>
      <c r="AX1000" s="70"/>
      <c r="AY1000" s="149"/>
      <c r="AZ1000" s="112"/>
      <c r="BA1000" s="236"/>
      <c r="BB1000" s="236"/>
      <c r="BC1000" s="152"/>
      <c r="BD1000" s="152"/>
      <c r="BE1000" s="236"/>
      <c r="BF1000" s="262"/>
      <c r="BG1000" s="262"/>
    </row>
    <row r="1001" spans="1:59" ht="12.75" customHeight="1" x14ac:dyDescent="0.15">
      <c r="A1001" s="57"/>
      <c r="B1001" s="57"/>
      <c r="C1001" s="57"/>
      <c r="D1001" s="103"/>
      <c r="E1001" s="125"/>
      <c r="F1001" s="125"/>
      <c r="G1001" s="57"/>
      <c r="H1001" s="57"/>
      <c r="I1001" s="57"/>
      <c r="J1001" s="57"/>
      <c r="K1001" s="57"/>
      <c r="L1001" s="57"/>
      <c r="M1001" s="57"/>
      <c r="N1001" s="57"/>
      <c r="O1001" s="70"/>
      <c r="P1001" s="57"/>
      <c r="Q1001" s="24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220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149"/>
      <c r="AP1001" s="149"/>
      <c r="AQ1001" s="57"/>
      <c r="AR1001" s="74"/>
      <c r="AS1001" s="149"/>
      <c r="AT1001" s="235"/>
      <c r="AU1001" s="57"/>
      <c r="AV1001" s="57"/>
      <c r="AW1001" s="57"/>
      <c r="AX1001" s="70"/>
      <c r="AY1001" s="149"/>
      <c r="AZ1001" s="112"/>
      <c r="BA1001" s="236"/>
      <c r="BB1001" s="236"/>
      <c r="BC1001" s="152"/>
      <c r="BD1001" s="152"/>
      <c r="BE1001" s="236"/>
      <c r="BF1001" s="262"/>
      <c r="BG1001" s="262"/>
    </row>
    <row r="1002" spans="1:59" ht="12.75" customHeight="1" x14ac:dyDescent="0.15">
      <c r="A1002" s="57"/>
      <c r="B1002" s="57"/>
      <c r="C1002" s="57"/>
      <c r="D1002" s="103"/>
      <c r="E1002" s="125"/>
      <c r="F1002" s="125"/>
      <c r="G1002" s="57"/>
      <c r="H1002" s="57"/>
      <c r="I1002" s="57"/>
      <c r="J1002" s="57"/>
      <c r="K1002" s="57"/>
      <c r="L1002" s="57"/>
      <c r="M1002" s="57"/>
      <c r="N1002" s="57"/>
      <c r="O1002" s="70"/>
      <c r="P1002" s="57"/>
      <c r="Q1002" s="24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220"/>
      <c r="AD1002" s="57"/>
      <c r="AE1002" s="57"/>
      <c r="AF1002" s="57"/>
      <c r="AG1002" s="57"/>
      <c r="AH1002" s="57"/>
      <c r="AI1002" s="57"/>
      <c r="AJ1002" s="57"/>
      <c r="AK1002" s="57"/>
      <c r="AL1002" s="57"/>
      <c r="AM1002" s="57"/>
      <c r="AN1002" s="57"/>
      <c r="AO1002" s="149"/>
      <c r="AP1002" s="149"/>
      <c r="AQ1002" s="57"/>
      <c r="AR1002" s="74"/>
      <c r="AS1002" s="149"/>
      <c r="AT1002" s="235"/>
      <c r="AU1002" s="57"/>
      <c r="AV1002" s="57"/>
      <c r="AW1002" s="57"/>
      <c r="AX1002" s="70"/>
      <c r="AY1002" s="149"/>
      <c r="AZ1002" s="112"/>
      <c r="BA1002" s="236"/>
      <c r="BB1002" s="236"/>
      <c r="BC1002" s="152"/>
      <c r="BD1002" s="152"/>
      <c r="BE1002" s="236"/>
      <c r="BF1002" s="262"/>
      <c r="BG1002" s="262"/>
    </row>
    <row r="1003" spans="1:59" ht="12.75" customHeight="1" x14ac:dyDescent="0.15">
      <c r="A1003" s="57"/>
      <c r="B1003" s="57"/>
      <c r="C1003" s="57"/>
      <c r="D1003" s="103"/>
      <c r="E1003" s="125"/>
      <c r="F1003" s="125"/>
      <c r="G1003" s="57"/>
      <c r="H1003" s="57"/>
      <c r="I1003" s="57"/>
      <c r="J1003" s="57"/>
      <c r="K1003" s="57"/>
      <c r="L1003" s="57"/>
      <c r="M1003" s="57"/>
      <c r="N1003" s="57"/>
      <c r="O1003" s="70"/>
      <c r="P1003" s="57"/>
      <c r="Q1003" s="24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220"/>
      <c r="AD1003" s="57"/>
      <c r="AE1003" s="57"/>
      <c r="AF1003" s="57"/>
      <c r="AG1003" s="57"/>
      <c r="AH1003" s="57"/>
      <c r="AI1003" s="57"/>
      <c r="AJ1003" s="57"/>
      <c r="AK1003" s="57"/>
      <c r="AL1003" s="57"/>
      <c r="AM1003" s="57"/>
      <c r="AN1003" s="57"/>
      <c r="AO1003" s="149"/>
      <c r="AP1003" s="149"/>
      <c r="AQ1003" s="57"/>
      <c r="AR1003" s="74"/>
      <c r="AS1003" s="149"/>
      <c r="AT1003" s="235"/>
      <c r="AU1003" s="57"/>
      <c r="AV1003" s="57"/>
      <c r="AW1003" s="57"/>
      <c r="AX1003" s="70"/>
      <c r="AY1003" s="149"/>
      <c r="AZ1003" s="112"/>
      <c r="BA1003" s="236"/>
      <c r="BB1003" s="236"/>
      <c r="BC1003" s="152"/>
      <c r="BD1003" s="152"/>
      <c r="BE1003" s="236"/>
      <c r="BF1003" s="262"/>
      <c r="BG1003" s="262"/>
    </row>
    <row r="1004" spans="1:59" ht="12.75" customHeight="1" x14ac:dyDescent="0.15">
      <c r="A1004" s="57"/>
      <c r="B1004" s="57"/>
      <c r="C1004" s="57"/>
      <c r="D1004" s="103"/>
      <c r="E1004" s="125"/>
      <c r="F1004" s="125"/>
      <c r="G1004" s="57"/>
      <c r="H1004" s="57"/>
      <c r="I1004" s="57"/>
      <c r="J1004" s="57"/>
      <c r="K1004" s="57"/>
      <c r="L1004" s="57"/>
      <c r="M1004" s="57"/>
      <c r="N1004" s="57"/>
      <c r="O1004" s="70"/>
      <c r="P1004" s="57"/>
      <c r="Q1004" s="24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220"/>
      <c r="AD1004" s="57"/>
      <c r="AE1004" s="57"/>
      <c r="AF1004" s="57"/>
      <c r="AG1004" s="57"/>
      <c r="AH1004" s="57"/>
      <c r="AI1004" s="57"/>
      <c r="AJ1004" s="57"/>
      <c r="AK1004" s="57"/>
      <c r="AL1004" s="57"/>
      <c r="AM1004" s="57"/>
      <c r="AN1004" s="57"/>
      <c r="AO1004" s="149"/>
      <c r="AP1004" s="149"/>
      <c r="AQ1004" s="57"/>
      <c r="AR1004" s="74"/>
      <c r="AS1004" s="149"/>
      <c r="AT1004" s="235"/>
      <c r="AU1004" s="57"/>
      <c r="AV1004" s="57"/>
      <c r="AW1004" s="57"/>
      <c r="AX1004" s="70"/>
      <c r="AY1004" s="149"/>
      <c r="AZ1004" s="112"/>
      <c r="BA1004" s="236"/>
      <c r="BB1004" s="236"/>
      <c r="BC1004" s="152"/>
      <c r="BD1004" s="152"/>
      <c r="BE1004" s="236"/>
      <c r="BF1004" s="262"/>
      <c r="BG1004" s="262"/>
    </row>
    <row r="1005" spans="1:59" ht="12.75" customHeight="1" x14ac:dyDescent="0.15">
      <c r="A1005" s="57"/>
      <c r="B1005" s="57"/>
      <c r="C1005" s="57"/>
      <c r="D1005" s="103"/>
      <c r="E1005" s="125"/>
      <c r="F1005" s="125"/>
      <c r="G1005" s="57"/>
      <c r="H1005" s="57"/>
      <c r="I1005" s="57"/>
      <c r="J1005" s="57"/>
      <c r="K1005" s="57"/>
      <c r="L1005" s="57"/>
      <c r="M1005" s="57"/>
      <c r="N1005" s="57"/>
      <c r="O1005" s="70"/>
      <c r="P1005" s="57"/>
      <c r="Q1005" s="24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220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  <c r="AN1005" s="57"/>
      <c r="AO1005" s="149"/>
      <c r="AP1005" s="149"/>
      <c r="AQ1005" s="57"/>
      <c r="AR1005" s="74"/>
      <c r="AS1005" s="149"/>
      <c r="AT1005" s="235"/>
      <c r="AU1005" s="57"/>
      <c r="AV1005" s="57"/>
      <c r="AW1005" s="57"/>
      <c r="AX1005" s="70"/>
      <c r="AY1005" s="149"/>
      <c r="AZ1005" s="112"/>
      <c r="BA1005" s="236"/>
      <c r="BB1005" s="236"/>
      <c r="BC1005" s="152"/>
      <c r="BD1005" s="152"/>
      <c r="BE1005" s="236"/>
      <c r="BF1005" s="262"/>
      <c r="BG1005" s="262"/>
    </row>
    <row r="1006" spans="1:59" ht="12.75" customHeight="1" x14ac:dyDescent="0.15">
      <c r="A1006" s="57"/>
      <c r="B1006" s="57"/>
      <c r="C1006" s="57"/>
      <c r="D1006" s="103"/>
      <c r="E1006" s="125"/>
      <c r="F1006" s="125"/>
      <c r="G1006" s="57"/>
      <c r="H1006" s="57"/>
      <c r="I1006" s="57"/>
      <c r="J1006" s="57"/>
      <c r="K1006" s="57"/>
      <c r="L1006" s="57"/>
      <c r="M1006" s="57"/>
      <c r="N1006" s="57"/>
      <c r="O1006" s="70"/>
      <c r="P1006" s="57"/>
      <c r="Q1006" s="24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220"/>
      <c r="AD1006" s="57"/>
      <c r="AE1006" s="57"/>
      <c r="AF1006" s="57"/>
      <c r="AG1006" s="57"/>
      <c r="AH1006" s="57"/>
      <c r="AI1006" s="57"/>
      <c r="AJ1006" s="57"/>
      <c r="AK1006" s="57"/>
      <c r="AL1006" s="57"/>
      <c r="AM1006" s="57"/>
      <c r="AN1006" s="57"/>
      <c r="AO1006" s="149"/>
      <c r="AP1006" s="149"/>
      <c r="AQ1006" s="57"/>
      <c r="AR1006" s="74"/>
      <c r="AS1006" s="149"/>
      <c r="AT1006" s="235"/>
      <c r="AU1006" s="57"/>
      <c r="AV1006" s="57"/>
      <c r="AW1006" s="57"/>
      <c r="AX1006" s="70"/>
      <c r="AY1006" s="149"/>
      <c r="AZ1006" s="112"/>
      <c r="BA1006" s="236"/>
      <c r="BB1006" s="236"/>
      <c r="BC1006" s="152"/>
      <c r="BD1006" s="152"/>
      <c r="BE1006" s="236"/>
      <c r="BF1006" s="262"/>
      <c r="BG1006" s="262"/>
    </row>
    <row r="1007" spans="1:59" ht="12.75" customHeight="1" x14ac:dyDescent="0.15">
      <c r="A1007" s="57"/>
      <c r="B1007" s="57"/>
      <c r="C1007" s="57"/>
      <c r="D1007" s="103"/>
      <c r="E1007" s="125"/>
      <c r="F1007" s="125"/>
      <c r="G1007" s="57"/>
      <c r="H1007" s="57"/>
      <c r="I1007" s="57"/>
      <c r="J1007" s="57"/>
      <c r="K1007" s="57"/>
      <c r="L1007" s="57"/>
      <c r="M1007" s="57"/>
      <c r="N1007" s="57"/>
      <c r="O1007" s="70"/>
      <c r="P1007" s="57"/>
      <c r="Q1007" s="24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220"/>
      <c r="AD1007" s="57"/>
      <c r="AE1007" s="57"/>
      <c r="AF1007" s="57"/>
      <c r="AG1007" s="57"/>
      <c r="AH1007" s="57"/>
      <c r="AI1007" s="57"/>
      <c r="AJ1007" s="57"/>
      <c r="AK1007" s="57"/>
      <c r="AL1007" s="57"/>
      <c r="AM1007" s="57"/>
      <c r="AN1007" s="57"/>
      <c r="AO1007" s="149"/>
      <c r="AP1007" s="149"/>
      <c r="AQ1007" s="57"/>
      <c r="AR1007" s="74"/>
      <c r="AS1007" s="149"/>
      <c r="AT1007" s="235"/>
      <c r="AU1007" s="57"/>
      <c r="AV1007" s="57"/>
      <c r="AW1007" s="57"/>
      <c r="AX1007" s="70"/>
      <c r="AY1007" s="149"/>
      <c r="AZ1007" s="112"/>
      <c r="BA1007" s="236"/>
      <c r="BB1007" s="236"/>
      <c r="BC1007" s="152"/>
      <c r="BD1007" s="152"/>
      <c r="BE1007" s="236"/>
      <c r="BF1007" s="262"/>
      <c r="BG1007" s="262"/>
    </row>
    <row r="1008" spans="1:59" ht="12.75" customHeight="1" x14ac:dyDescent="0.15">
      <c r="A1008" s="57"/>
      <c r="B1008" s="57"/>
      <c r="C1008" s="57"/>
      <c r="D1008" s="103"/>
      <c r="E1008" s="125"/>
      <c r="F1008" s="125"/>
      <c r="G1008" s="57"/>
      <c r="H1008" s="57"/>
      <c r="I1008" s="57"/>
      <c r="J1008" s="57"/>
      <c r="K1008" s="57"/>
      <c r="L1008" s="57"/>
      <c r="M1008" s="57"/>
      <c r="N1008" s="57"/>
      <c r="O1008" s="70"/>
      <c r="P1008" s="57"/>
      <c r="Q1008" s="24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220"/>
      <c r="AD1008" s="57"/>
      <c r="AE1008" s="57"/>
      <c r="AF1008" s="57"/>
      <c r="AG1008" s="57"/>
      <c r="AH1008" s="57"/>
      <c r="AI1008" s="57"/>
      <c r="AJ1008" s="57"/>
      <c r="AK1008" s="57"/>
      <c r="AL1008" s="57"/>
      <c r="AM1008" s="57"/>
      <c r="AN1008" s="57"/>
      <c r="AO1008" s="149"/>
      <c r="AP1008" s="149"/>
      <c r="AQ1008" s="57"/>
      <c r="AR1008" s="74"/>
      <c r="AS1008" s="149"/>
      <c r="AT1008" s="235"/>
      <c r="AU1008" s="57"/>
      <c r="AV1008" s="57"/>
      <c r="AW1008" s="57"/>
      <c r="AX1008" s="70"/>
      <c r="AY1008" s="149"/>
      <c r="AZ1008" s="112"/>
      <c r="BA1008" s="236"/>
      <c r="BB1008" s="236"/>
      <c r="BC1008" s="152"/>
      <c r="BD1008" s="152"/>
      <c r="BE1008" s="236"/>
      <c r="BF1008" s="262"/>
      <c r="BG1008" s="262"/>
    </row>
    <row r="1009" spans="1:59" ht="12.75" customHeight="1" x14ac:dyDescent="0.15">
      <c r="A1009" s="57"/>
      <c r="B1009" s="57"/>
      <c r="C1009" s="57"/>
      <c r="D1009" s="103"/>
      <c r="E1009" s="125"/>
      <c r="F1009" s="125"/>
      <c r="G1009" s="57"/>
      <c r="H1009" s="57"/>
      <c r="I1009" s="57"/>
      <c r="J1009" s="57"/>
      <c r="K1009" s="57"/>
      <c r="L1009" s="57"/>
      <c r="M1009" s="57"/>
      <c r="N1009" s="57"/>
      <c r="O1009" s="70"/>
      <c r="P1009" s="57"/>
      <c r="Q1009" s="24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  <c r="AC1009" s="220"/>
      <c r="AD1009" s="57"/>
      <c r="AE1009" s="57"/>
      <c r="AF1009" s="57"/>
      <c r="AG1009" s="57"/>
      <c r="AH1009" s="57"/>
      <c r="AI1009" s="57"/>
      <c r="AJ1009" s="57"/>
      <c r="AK1009" s="57"/>
      <c r="AL1009" s="57"/>
      <c r="AM1009" s="57"/>
      <c r="AN1009" s="57"/>
      <c r="AO1009" s="149"/>
      <c r="AP1009" s="149"/>
      <c r="AQ1009" s="57"/>
      <c r="AR1009" s="74"/>
      <c r="AS1009" s="149"/>
      <c r="AT1009" s="235"/>
      <c r="AU1009" s="57"/>
      <c r="AV1009" s="57"/>
      <c r="AW1009" s="57"/>
      <c r="AX1009" s="70"/>
      <c r="AY1009" s="149"/>
      <c r="AZ1009" s="112"/>
      <c r="BA1009" s="236"/>
      <c r="BB1009" s="236"/>
      <c r="BC1009" s="152"/>
      <c r="BD1009" s="152"/>
      <c r="BE1009" s="236"/>
      <c r="BF1009" s="262"/>
      <c r="BG1009" s="262"/>
    </row>
    <row r="1010" spans="1:59" ht="12.75" customHeight="1" x14ac:dyDescent="0.15">
      <c r="A1010" s="57"/>
      <c r="B1010" s="57"/>
      <c r="C1010" s="57"/>
      <c r="D1010" s="103"/>
      <c r="E1010" s="125"/>
      <c r="F1010" s="125"/>
      <c r="G1010" s="57"/>
      <c r="H1010" s="57"/>
      <c r="I1010" s="57"/>
      <c r="J1010" s="57"/>
      <c r="K1010" s="57"/>
      <c r="L1010" s="57"/>
      <c r="M1010" s="57"/>
      <c r="N1010" s="57"/>
      <c r="O1010" s="70"/>
      <c r="P1010" s="57"/>
      <c r="Q1010" s="24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  <c r="AC1010" s="220"/>
      <c r="AD1010" s="57"/>
      <c r="AE1010" s="57"/>
      <c r="AF1010" s="57"/>
      <c r="AG1010" s="57"/>
      <c r="AH1010" s="57"/>
      <c r="AI1010" s="57"/>
      <c r="AJ1010" s="57"/>
      <c r="AK1010" s="57"/>
      <c r="AL1010" s="57"/>
      <c r="AM1010" s="57"/>
      <c r="AN1010" s="57"/>
      <c r="AO1010" s="149"/>
      <c r="AP1010" s="149"/>
      <c r="AQ1010" s="57"/>
      <c r="AR1010" s="74"/>
      <c r="AS1010" s="149"/>
      <c r="AT1010" s="235"/>
      <c r="AU1010" s="57"/>
      <c r="AV1010" s="57"/>
      <c r="AW1010" s="57"/>
      <c r="AX1010" s="70"/>
      <c r="AY1010" s="149"/>
      <c r="AZ1010" s="112"/>
      <c r="BA1010" s="236"/>
      <c r="BB1010" s="236"/>
      <c r="BC1010" s="152"/>
      <c r="BD1010" s="152"/>
      <c r="BE1010" s="236"/>
      <c r="BF1010" s="262"/>
      <c r="BG1010" s="262"/>
    </row>
    <row r="1011" spans="1:59" ht="12.75" customHeight="1" x14ac:dyDescent="0.15">
      <c r="A1011" s="57"/>
      <c r="B1011" s="57"/>
      <c r="C1011" s="57"/>
      <c r="D1011" s="103"/>
      <c r="E1011" s="125"/>
      <c r="F1011" s="125"/>
      <c r="G1011" s="57"/>
      <c r="H1011" s="57"/>
      <c r="I1011" s="57"/>
      <c r="J1011" s="57"/>
      <c r="K1011" s="57"/>
      <c r="L1011" s="57"/>
      <c r="M1011" s="57"/>
      <c r="N1011" s="57"/>
      <c r="O1011" s="70"/>
      <c r="P1011" s="57"/>
      <c r="Q1011" s="24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220"/>
      <c r="AD1011" s="57"/>
      <c r="AE1011" s="57"/>
      <c r="AF1011" s="57"/>
      <c r="AG1011" s="57"/>
      <c r="AH1011" s="57"/>
      <c r="AI1011" s="57"/>
      <c r="AJ1011" s="57"/>
      <c r="AK1011" s="57"/>
      <c r="AL1011" s="57"/>
      <c r="AM1011" s="57"/>
      <c r="AN1011" s="57"/>
      <c r="AO1011" s="149"/>
      <c r="AP1011" s="149"/>
      <c r="AQ1011" s="57"/>
      <c r="AR1011" s="74"/>
      <c r="AS1011" s="149"/>
      <c r="AT1011" s="235"/>
      <c r="AU1011" s="57"/>
      <c r="AV1011" s="57"/>
      <c r="AW1011" s="57"/>
      <c r="AX1011" s="70"/>
      <c r="AY1011" s="149"/>
      <c r="AZ1011" s="112"/>
      <c r="BA1011" s="236"/>
      <c r="BB1011" s="236"/>
      <c r="BC1011" s="152"/>
      <c r="BD1011" s="152"/>
      <c r="BE1011" s="236"/>
      <c r="BF1011" s="262"/>
      <c r="BG1011" s="262"/>
    </row>
    <row r="1012" spans="1:59" ht="12.75" customHeight="1" x14ac:dyDescent="0.15">
      <c r="A1012" s="57"/>
      <c r="B1012" s="57"/>
      <c r="C1012" s="57"/>
      <c r="D1012" s="103"/>
      <c r="E1012" s="125"/>
      <c r="F1012" s="125"/>
      <c r="G1012" s="57"/>
      <c r="H1012" s="57"/>
      <c r="I1012" s="57"/>
      <c r="J1012" s="57"/>
      <c r="K1012" s="57"/>
      <c r="L1012" s="57"/>
      <c r="M1012" s="57"/>
      <c r="N1012" s="57"/>
      <c r="O1012" s="70"/>
      <c r="P1012" s="57"/>
      <c r="Q1012" s="24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  <c r="AC1012" s="220"/>
      <c r="AD1012" s="57"/>
      <c r="AE1012" s="57"/>
      <c r="AF1012" s="57"/>
      <c r="AG1012" s="57"/>
      <c r="AH1012" s="57"/>
      <c r="AI1012" s="57"/>
      <c r="AJ1012" s="57"/>
      <c r="AK1012" s="57"/>
      <c r="AL1012" s="57"/>
      <c r="AM1012" s="57"/>
      <c r="AN1012" s="57"/>
      <c r="AO1012" s="149"/>
      <c r="AP1012" s="149"/>
      <c r="AQ1012" s="57"/>
      <c r="AR1012" s="74"/>
      <c r="AS1012" s="149"/>
      <c r="AT1012" s="235"/>
      <c r="AU1012" s="57"/>
      <c r="AV1012" s="57"/>
      <c r="AW1012" s="57"/>
      <c r="AX1012" s="70"/>
      <c r="AY1012" s="149"/>
      <c r="AZ1012" s="112"/>
      <c r="BA1012" s="236"/>
      <c r="BB1012" s="236"/>
      <c r="BC1012" s="152"/>
      <c r="BD1012" s="152"/>
      <c r="BE1012" s="236"/>
      <c r="BF1012" s="262"/>
      <c r="BG1012" s="262"/>
    </row>
    <row r="1013" spans="1:59" ht="12.75" customHeight="1" x14ac:dyDescent="0.15">
      <c r="A1013" s="57"/>
      <c r="B1013" s="57"/>
      <c r="C1013" s="57"/>
      <c r="D1013" s="103"/>
      <c r="E1013" s="125"/>
      <c r="F1013" s="125"/>
      <c r="G1013" s="57"/>
      <c r="H1013" s="57"/>
      <c r="I1013" s="57"/>
      <c r="J1013" s="57"/>
      <c r="K1013" s="57"/>
      <c r="L1013" s="57"/>
      <c r="M1013" s="57"/>
      <c r="N1013" s="57"/>
      <c r="O1013" s="70"/>
      <c r="P1013" s="57"/>
      <c r="Q1013" s="24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220"/>
      <c r="AD1013" s="57"/>
      <c r="AE1013" s="57"/>
      <c r="AF1013" s="57"/>
      <c r="AG1013" s="57"/>
      <c r="AH1013" s="57"/>
      <c r="AI1013" s="57"/>
      <c r="AJ1013" s="57"/>
      <c r="AK1013" s="57"/>
      <c r="AL1013" s="57"/>
      <c r="AM1013" s="57"/>
      <c r="AN1013" s="57"/>
      <c r="AO1013" s="149"/>
      <c r="AP1013" s="149"/>
      <c r="AQ1013" s="57"/>
      <c r="AR1013" s="74"/>
      <c r="AS1013" s="149"/>
      <c r="AT1013" s="235"/>
      <c r="AU1013" s="57"/>
      <c r="AV1013" s="57"/>
      <c r="AW1013" s="57"/>
      <c r="AX1013" s="70"/>
      <c r="AY1013" s="149"/>
      <c r="AZ1013" s="112"/>
      <c r="BA1013" s="236"/>
      <c r="BB1013" s="236"/>
      <c r="BC1013" s="152"/>
      <c r="BD1013" s="152"/>
      <c r="BE1013" s="236"/>
      <c r="BF1013" s="262"/>
      <c r="BG1013" s="262"/>
    </row>
    <row r="1014" spans="1:59" ht="12.75" customHeight="1" x14ac:dyDescent="0.15">
      <c r="A1014" s="57"/>
      <c r="B1014" s="57"/>
      <c r="C1014" s="57"/>
      <c r="D1014" s="103"/>
      <c r="E1014" s="125"/>
      <c r="F1014" s="125"/>
      <c r="G1014" s="57"/>
      <c r="H1014" s="57"/>
      <c r="I1014" s="57"/>
      <c r="J1014" s="57"/>
      <c r="K1014" s="57"/>
      <c r="L1014" s="57"/>
      <c r="M1014" s="57"/>
      <c r="N1014" s="57"/>
      <c r="O1014" s="70"/>
      <c r="P1014" s="57"/>
      <c r="Q1014" s="24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220"/>
      <c r="AD1014" s="57"/>
      <c r="AE1014" s="57"/>
      <c r="AF1014" s="57"/>
      <c r="AG1014" s="57"/>
      <c r="AH1014" s="57"/>
      <c r="AI1014" s="57"/>
      <c r="AJ1014" s="57"/>
      <c r="AK1014" s="57"/>
      <c r="AL1014" s="57"/>
      <c r="AM1014" s="57"/>
      <c r="AN1014" s="57"/>
      <c r="AO1014" s="149"/>
      <c r="AP1014" s="149"/>
      <c r="AQ1014" s="57"/>
      <c r="AR1014" s="74"/>
      <c r="AS1014" s="149"/>
      <c r="AT1014" s="235"/>
      <c r="AU1014" s="57"/>
      <c r="AV1014" s="57"/>
      <c r="AW1014" s="57"/>
      <c r="AX1014" s="70"/>
      <c r="AY1014" s="149"/>
      <c r="AZ1014" s="112"/>
      <c r="BA1014" s="236"/>
      <c r="BB1014" s="236"/>
      <c r="BC1014" s="152"/>
      <c r="BD1014" s="152"/>
      <c r="BE1014" s="236"/>
      <c r="BF1014" s="262"/>
      <c r="BG1014" s="262"/>
    </row>
    <row r="1015" spans="1:59" ht="12.75" customHeight="1" x14ac:dyDescent="0.15">
      <c r="A1015" s="57"/>
      <c r="B1015" s="57"/>
      <c r="C1015" s="57"/>
      <c r="D1015" s="103"/>
      <c r="E1015" s="125"/>
      <c r="F1015" s="125"/>
      <c r="G1015" s="57"/>
      <c r="H1015" s="57"/>
      <c r="I1015" s="57"/>
      <c r="J1015" s="57"/>
      <c r="K1015" s="57"/>
      <c r="L1015" s="57"/>
      <c r="M1015" s="57"/>
      <c r="N1015" s="57"/>
      <c r="O1015" s="70"/>
      <c r="P1015" s="57"/>
      <c r="Q1015" s="24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220"/>
      <c r="AD1015" s="57"/>
      <c r="AE1015" s="57"/>
      <c r="AF1015" s="57"/>
      <c r="AG1015" s="57"/>
      <c r="AH1015" s="57"/>
      <c r="AI1015" s="57"/>
      <c r="AJ1015" s="57"/>
      <c r="AK1015" s="57"/>
      <c r="AL1015" s="57"/>
      <c r="AM1015" s="57"/>
      <c r="AN1015" s="57"/>
      <c r="AO1015" s="149"/>
      <c r="AP1015" s="149"/>
      <c r="AQ1015" s="57"/>
      <c r="AR1015" s="74"/>
      <c r="AS1015" s="149"/>
      <c r="AT1015" s="235"/>
      <c r="AU1015" s="57"/>
      <c r="AV1015" s="57"/>
      <c r="AW1015" s="57"/>
      <c r="AX1015" s="70"/>
      <c r="AY1015" s="149"/>
      <c r="AZ1015" s="112"/>
      <c r="BA1015" s="236"/>
      <c r="BB1015" s="236"/>
      <c r="BC1015" s="152"/>
      <c r="BD1015" s="152"/>
      <c r="BE1015" s="236"/>
      <c r="BF1015" s="262"/>
      <c r="BG1015" s="262"/>
    </row>
    <row r="1016" spans="1:59" ht="12.75" customHeight="1" x14ac:dyDescent="0.15">
      <c r="A1016" s="57"/>
      <c r="B1016" s="57"/>
      <c r="C1016" s="57"/>
      <c r="D1016" s="103"/>
      <c r="E1016" s="125"/>
      <c r="F1016" s="125"/>
      <c r="G1016" s="57"/>
      <c r="H1016" s="57"/>
      <c r="I1016" s="57"/>
      <c r="J1016" s="57"/>
      <c r="K1016" s="57"/>
      <c r="L1016" s="57"/>
      <c r="M1016" s="57"/>
      <c r="N1016" s="57"/>
      <c r="O1016" s="70"/>
      <c r="P1016" s="57"/>
      <c r="Q1016" s="24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220"/>
      <c r="AD1016" s="57"/>
      <c r="AE1016" s="57"/>
      <c r="AF1016" s="57"/>
      <c r="AG1016" s="57"/>
      <c r="AH1016" s="57"/>
      <c r="AI1016" s="57"/>
      <c r="AJ1016" s="57"/>
      <c r="AK1016" s="57"/>
      <c r="AL1016" s="57"/>
      <c r="AM1016" s="57"/>
      <c r="AN1016" s="57"/>
      <c r="AO1016" s="149"/>
      <c r="AP1016" s="149"/>
      <c r="AQ1016" s="57"/>
      <c r="AR1016" s="74"/>
      <c r="AS1016" s="149"/>
      <c r="AT1016" s="235"/>
      <c r="AU1016" s="57"/>
      <c r="AV1016" s="57"/>
      <c r="AW1016" s="57"/>
      <c r="AX1016" s="70"/>
      <c r="AY1016" s="149"/>
      <c r="AZ1016" s="112"/>
      <c r="BA1016" s="236"/>
      <c r="BB1016" s="236"/>
      <c r="BC1016" s="152"/>
      <c r="BD1016" s="152"/>
      <c r="BE1016" s="236"/>
      <c r="BF1016" s="262"/>
      <c r="BG1016" s="262"/>
    </row>
    <row r="1017" spans="1:59" ht="12.75" customHeight="1" x14ac:dyDescent="0.15">
      <c r="A1017" s="57"/>
      <c r="B1017" s="57"/>
      <c r="C1017" s="57"/>
      <c r="D1017" s="103"/>
      <c r="E1017" s="125"/>
      <c r="F1017" s="125"/>
      <c r="G1017" s="57"/>
      <c r="H1017" s="57"/>
      <c r="I1017" s="57"/>
      <c r="J1017" s="57"/>
      <c r="K1017" s="57"/>
      <c r="L1017" s="57"/>
      <c r="M1017" s="57"/>
      <c r="N1017" s="57"/>
      <c r="O1017" s="70"/>
      <c r="P1017" s="57"/>
      <c r="Q1017" s="24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  <c r="AC1017" s="220"/>
      <c r="AD1017" s="57"/>
      <c r="AE1017" s="57"/>
      <c r="AF1017" s="57"/>
      <c r="AG1017" s="57"/>
      <c r="AH1017" s="57"/>
      <c r="AI1017" s="57"/>
      <c r="AJ1017" s="57"/>
      <c r="AK1017" s="57"/>
      <c r="AL1017" s="57"/>
      <c r="AM1017" s="57"/>
      <c r="AN1017" s="57"/>
      <c r="AO1017" s="149"/>
      <c r="AP1017" s="149"/>
      <c r="AQ1017" s="57"/>
      <c r="AR1017" s="74"/>
      <c r="AS1017" s="149"/>
      <c r="AT1017" s="235"/>
      <c r="AU1017" s="57"/>
      <c r="AV1017" s="57"/>
      <c r="AW1017" s="57"/>
      <c r="AX1017" s="70"/>
      <c r="AY1017" s="149"/>
      <c r="AZ1017" s="112"/>
      <c r="BA1017" s="236"/>
      <c r="BB1017" s="236"/>
      <c r="BC1017" s="152"/>
      <c r="BD1017" s="152"/>
      <c r="BE1017" s="236"/>
      <c r="BF1017" s="262"/>
      <c r="BG1017" s="262"/>
    </row>
    <row r="1018" spans="1:59" ht="12.75" customHeight="1" x14ac:dyDescent="0.15">
      <c r="A1018" s="57"/>
      <c r="B1018" s="57"/>
      <c r="C1018" s="57"/>
      <c r="D1018" s="103"/>
      <c r="E1018" s="125"/>
      <c r="F1018" s="125"/>
      <c r="G1018" s="57"/>
      <c r="H1018" s="57"/>
      <c r="I1018" s="57"/>
      <c r="J1018" s="57"/>
      <c r="K1018" s="57"/>
      <c r="L1018" s="57"/>
      <c r="M1018" s="57"/>
      <c r="N1018" s="57"/>
      <c r="O1018" s="70"/>
      <c r="P1018" s="57"/>
      <c r="Q1018" s="24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220"/>
      <c r="AD1018" s="57"/>
      <c r="AE1018" s="57"/>
      <c r="AF1018" s="57"/>
      <c r="AG1018" s="57"/>
      <c r="AH1018" s="57"/>
      <c r="AI1018" s="57"/>
      <c r="AJ1018" s="57"/>
      <c r="AK1018" s="57"/>
      <c r="AL1018" s="57"/>
      <c r="AM1018" s="57"/>
      <c r="AN1018" s="57"/>
      <c r="AO1018" s="149"/>
      <c r="AP1018" s="149"/>
      <c r="AQ1018" s="57"/>
      <c r="AR1018" s="74"/>
      <c r="AS1018" s="149"/>
      <c r="AT1018" s="235"/>
      <c r="AU1018" s="57"/>
      <c r="AV1018" s="57"/>
      <c r="AW1018" s="57"/>
      <c r="AX1018" s="70"/>
      <c r="AY1018" s="149"/>
      <c r="AZ1018" s="112"/>
      <c r="BA1018" s="236"/>
      <c r="BB1018" s="236"/>
      <c r="BC1018" s="152"/>
      <c r="BD1018" s="152"/>
      <c r="BE1018" s="236"/>
      <c r="BF1018" s="262"/>
      <c r="BG1018" s="262"/>
    </row>
    <row r="1019" spans="1:59" ht="12.75" customHeight="1" x14ac:dyDescent="0.15">
      <c r="A1019" s="57"/>
      <c r="B1019" s="57"/>
      <c r="C1019" s="57"/>
      <c r="D1019" s="103"/>
      <c r="E1019" s="125"/>
      <c r="F1019" s="125"/>
      <c r="G1019" s="57"/>
      <c r="H1019" s="57"/>
      <c r="I1019" s="57"/>
      <c r="J1019" s="57"/>
      <c r="K1019" s="57"/>
      <c r="L1019" s="57"/>
      <c r="M1019" s="57"/>
      <c r="N1019" s="57"/>
      <c r="O1019" s="70"/>
      <c r="P1019" s="57"/>
      <c r="Q1019" s="24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  <c r="AB1019" s="57"/>
      <c r="AC1019" s="220"/>
      <c r="AD1019" s="57"/>
      <c r="AE1019" s="57"/>
      <c r="AF1019" s="57"/>
      <c r="AG1019" s="57"/>
      <c r="AH1019" s="57"/>
      <c r="AI1019" s="57"/>
      <c r="AJ1019" s="57"/>
      <c r="AK1019" s="57"/>
      <c r="AL1019" s="57"/>
      <c r="AM1019" s="57"/>
      <c r="AN1019" s="57"/>
      <c r="AO1019" s="149"/>
      <c r="AP1019" s="149"/>
      <c r="AQ1019" s="57"/>
      <c r="AR1019" s="74"/>
      <c r="AS1019" s="149"/>
      <c r="AT1019" s="235"/>
      <c r="AU1019" s="57"/>
      <c r="AV1019" s="57"/>
      <c r="AW1019" s="57"/>
      <c r="AX1019" s="70"/>
      <c r="AY1019" s="149"/>
      <c r="AZ1019" s="112"/>
      <c r="BA1019" s="236"/>
      <c r="BB1019" s="236"/>
      <c r="BC1019" s="152"/>
      <c r="BD1019" s="152"/>
      <c r="BE1019" s="236"/>
      <c r="BF1019" s="262"/>
      <c r="BG1019" s="262"/>
    </row>
    <row r="1020" spans="1:59" ht="12.75" customHeight="1" x14ac:dyDescent="0.15">
      <c r="A1020" s="57"/>
      <c r="B1020" s="57"/>
      <c r="C1020" s="57"/>
      <c r="D1020" s="103"/>
      <c r="E1020" s="125"/>
      <c r="F1020" s="125"/>
      <c r="G1020" s="57"/>
      <c r="H1020" s="57"/>
      <c r="I1020" s="57"/>
      <c r="J1020" s="57"/>
      <c r="K1020" s="57"/>
      <c r="L1020" s="57"/>
      <c r="M1020" s="57"/>
      <c r="N1020" s="57"/>
      <c r="O1020" s="70"/>
      <c r="P1020" s="57"/>
      <c r="Q1020" s="247"/>
      <c r="R1020" s="57"/>
      <c r="S1020" s="57"/>
      <c r="T1020" s="57"/>
      <c r="U1020" s="57"/>
      <c r="V1020" s="57"/>
      <c r="W1020" s="57"/>
      <c r="X1020" s="57"/>
      <c r="Y1020" s="57"/>
      <c r="Z1020" s="57"/>
      <c r="AA1020" s="57"/>
      <c r="AB1020" s="57"/>
      <c r="AC1020" s="220"/>
      <c r="AD1020" s="57"/>
      <c r="AE1020" s="57"/>
      <c r="AF1020" s="57"/>
      <c r="AG1020" s="57"/>
      <c r="AH1020" s="57"/>
      <c r="AI1020" s="57"/>
      <c r="AJ1020" s="57"/>
      <c r="AK1020" s="57"/>
      <c r="AL1020" s="57"/>
      <c r="AM1020" s="57"/>
      <c r="AN1020" s="57"/>
      <c r="AO1020" s="149"/>
      <c r="AP1020" s="149"/>
      <c r="AQ1020" s="57"/>
      <c r="AR1020" s="74"/>
      <c r="AS1020" s="149"/>
      <c r="AT1020" s="235"/>
      <c r="AU1020" s="57"/>
      <c r="AV1020" s="57"/>
      <c r="AW1020" s="57"/>
      <c r="AX1020" s="70"/>
      <c r="AY1020" s="149"/>
      <c r="AZ1020" s="112"/>
      <c r="BA1020" s="236"/>
      <c r="BB1020" s="236"/>
      <c r="BC1020" s="152"/>
      <c r="BD1020" s="152"/>
      <c r="BE1020" s="236"/>
      <c r="BF1020" s="262"/>
      <c r="BG1020" s="262"/>
    </row>
    <row r="1021" spans="1:59" ht="12.75" customHeight="1" x14ac:dyDescent="0.15">
      <c r="A1021" s="57"/>
      <c r="B1021" s="57"/>
      <c r="C1021" s="57"/>
      <c r="D1021" s="103"/>
      <c r="E1021" s="125"/>
      <c r="F1021" s="125"/>
      <c r="G1021" s="57"/>
      <c r="H1021" s="57"/>
      <c r="I1021" s="57"/>
      <c r="J1021" s="57"/>
      <c r="K1021" s="57"/>
      <c r="L1021" s="57"/>
      <c r="M1021" s="57"/>
      <c r="N1021" s="57"/>
      <c r="O1021" s="70"/>
      <c r="P1021" s="57"/>
      <c r="Q1021" s="247"/>
      <c r="R1021" s="57"/>
      <c r="S1021" s="57"/>
      <c r="T1021" s="57"/>
      <c r="U1021" s="57"/>
      <c r="V1021" s="57"/>
      <c r="W1021" s="57"/>
      <c r="X1021" s="57"/>
      <c r="Y1021" s="57"/>
      <c r="Z1021" s="57"/>
      <c r="AA1021" s="57"/>
      <c r="AB1021" s="57"/>
      <c r="AC1021" s="220"/>
      <c r="AD1021" s="57"/>
      <c r="AE1021" s="57"/>
      <c r="AF1021" s="57"/>
      <c r="AG1021" s="57"/>
      <c r="AH1021" s="57"/>
      <c r="AI1021" s="57"/>
      <c r="AJ1021" s="57"/>
      <c r="AK1021" s="57"/>
      <c r="AL1021" s="57"/>
      <c r="AM1021" s="57"/>
      <c r="AN1021" s="57"/>
      <c r="AO1021" s="149"/>
      <c r="AP1021" s="149"/>
      <c r="AQ1021" s="57"/>
      <c r="AR1021" s="74"/>
      <c r="AS1021" s="149"/>
      <c r="AT1021" s="235"/>
      <c r="AU1021" s="57"/>
      <c r="AV1021" s="57"/>
      <c r="AW1021" s="57"/>
      <c r="AX1021" s="70"/>
      <c r="AY1021" s="149"/>
      <c r="AZ1021" s="112"/>
      <c r="BA1021" s="236"/>
      <c r="BB1021" s="236"/>
      <c r="BC1021" s="152"/>
      <c r="BD1021" s="152"/>
      <c r="BE1021" s="236"/>
      <c r="BF1021" s="262"/>
      <c r="BG1021" s="262"/>
    </row>
  </sheetData>
  <autoFilter ref="A1:BD1021" xr:uid="{00000000-0009-0000-0000-000002000000}"/>
  <customSheetViews>
    <customSheetView guid="{EDC1C59E-109F-4FBE-8FCA-E66ECFBA2EA2}" filter="1" showAutoFilter="1">
      <autoFilter ref="AQ1:AQ84" xr:uid="{790340EA-9775-7140-BE73-F7B70A76BD21}"/>
    </customSheetView>
  </customSheetViews>
  <conditionalFormatting sqref="AF2:AG7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:AG75 AH2:AJ8 AL2:AL8 AH10:AJ75 AL10:AL7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8 AM2:AO8 AP2:AP75 AT5:AU5 AQ9 AT9:AU9 AK10 AM10:AN10 AO10:AO75 AK14:AK47 AM14:AN47 AL30 AT42:AU42 AX42 AK49:AK56 AM49:AM75 AN49:AN56 AK58:AK75 AN58:AN75 AH66:AJ67 AL66:AL67 AT71:AU71 AX71 AQ74:AQ103 AT74:AU103 AX74:AX103 AQ105:AQ119 AT105:AU119 AX105:AX119">
    <cfRule type="colorScale" priority="9">
      <colorScale>
        <cfvo type="formula" val="-240"/>
        <cfvo type="formula" val="-20"/>
        <cfvo type="formula" val="0"/>
        <color rgb="FFF8696B"/>
        <color rgb="FFFFEB84"/>
        <color rgb="FF63BE7B"/>
      </colorScale>
    </cfRule>
  </conditionalFormatting>
  <conditionalFormatting sqref="AK11:AK12 AM11:AN12 AK20 AM20:AN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:AN13 AK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0:AN40 AK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8:AN48 AK4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7 AK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0:AP41 AO40 AP62:AP63">
    <cfRule type="colorScale" priority="2">
      <colorScale>
        <cfvo type="formula" val="-240"/>
        <cfvo type="percentile" val="50"/>
        <cfvo type="formula" val="0"/>
        <color rgb="FFF8696B"/>
        <color rgb="FFFFEB84"/>
        <color rgb="FF63BE7B"/>
      </colorScale>
    </cfRule>
  </conditionalFormatting>
  <conditionalFormatting sqref="AT2:AT75">
    <cfRule type="cellIs" dxfId="3" priority="12" operator="lessThan">
      <formula>2</formula>
    </cfRule>
  </conditionalFormatting>
  <conditionalFormatting sqref="AT104:AU104 AQ104 AX104 AQ121:AQ135 AT121:AU135 AX121:AX1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20:AU120 AQ120 AX1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ErrorMessage="1" sqref="H2:H139 J2:J139 L2:L139 N2:N139 P2:P139 R2:R139 T2:T139 V2:V139 X2:X139 Z2:Z139 AB2:AB139 AD2:AD139" xr:uid="{00000000-0002-0000-0200-000000000000}">
      <formula1>"Present,Excused"</formula1>
    </dataValidation>
    <dataValidation type="list" allowBlank="1" showErrorMessage="1" sqref="H140:H147 J140:J147 L140:L147 N140:N147 R140:R147 V140:V147 Z140:Z147 AD140:AD147 AK138:AK147 AB140:AB174" xr:uid="{00000000-0002-0000-0200-000001000000}">
      <formula1>"Present,Absent,Excused"</formula1>
    </dataValidation>
  </dataValidations>
  <hyperlinks>
    <hyperlink ref="G4" r:id="rId1" xr:uid="{00000000-0004-0000-0200-000000000000}"/>
    <hyperlink ref="G33" r:id="rId2" xr:uid="{00000000-0004-0000-0200-000001000000}"/>
    <hyperlink ref="G38" r:id="rId3" xr:uid="{00000000-0004-0000-0200-000002000000}"/>
    <hyperlink ref="G46" r:id="rId4" xr:uid="{00000000-0004-0000-0200-000003000000}"/>
    <hyperlink ref="D123" r:id="rId5" xr:uid="{00000000-0004-0000-0200-000004000000}"/>
  </hyperlinks>
  <printOptions gridLines="1"/>
  <pageMargins left="0.7" right="0.7" top="0.75" bottom="0.75" header="0" footer="0"/>
  <pageSetup paperSize="9" orientation="landscape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08"/>
  <sheetViews>
    <sheetView workbookViewId="0">
      <pane xSplit="2" ySplit="1" topLeftCell="C2" activePane="bottomRight" state="frozen"/>
      <selection pane="bottomLeft" activeCell="A2" sqref="A2"/>
      <selection pane="topRight" activeCell="C1" sqref="C1"/>
      <selection pane="bottomRight" activeCell="C2" sqref="C2"/>
    </sheetView>
  </sheetViews>
  <sheetFormatPr defaultColWidth="12.67578125" defaultRowHeight="15" customHeight="1" x14ac:dyDescent="0.15"/>
  <cols>
    <col min="1" max="1" width="12.9453125" customWidth="1"/>
    <col min="2" max="2" width="15.23828125" customWidth="1"/>
    <col min="3" max="3" width="9.03515625" customWidth="1"/>
    <col min="4" max="4" width="20.2265625" customWidth="1"/>
    <col min="5" max="5" width="17.125" customWidth="1"/>
    <col min="6" max="6" width="23.328125" customWidth="1"/>
    <col min="7" max="7" width="14.42578125" customWidth="1"/>
    <col min="8" max="10" width="14.96875" customWidth="1"/>
    <col min="11" max="11" width="9.03515625" customWidth="1"/>
    <col min="12" max="12" width="10.11328125" customWidth="1"/>
    <col min="13" max="27" width="8.62890625" customWidth="1"/>
  </cols>
  <sheetData>
    <row r="1" spans="1:11" ht="12.75" customHeight="1" x14ac:dyDescent="0.15">
      <c r="A1" s="11" t="s">
        <v>5</v>
      </c>
      <c r="B1" s="11" t="s">
        <v>7</v>
      </c>
      <c r="C1" s="11" t="s">
        <v>26</v>
      </c>
      <c r="D1" s="14" t="s">
        <v>28</v>
      </c>
      <c r="E1" s="16" t="s">
        <v>30</v>
      </c>
      <c r="F1" s="16" t="s">
        <v>34</v>
      </c>
      <c r="G1" s="18" t="s">
        <v>36</v>
      </c>
      <c r="H1" s="19" t="s">
        <v>40</v>
      </c>
      <c r="I1" s="19" t="s">
        <v>42</v>
      </c>
      <c r="J1" s="19" t="s">
        <v>43</v>
      </c>
      <c r="K1" s="21" t="s">
        <v>45</v>
      </c>
    </row>
    <row r="2" spans="1:11" ht="12.75" customHeight="1" x14ac:dyDescent="0.15">
      <c r="A2" s="22" t="s">
        <v>47</v>
      </c>
      <c r="B2" s="22" t="s">
        <v>49</v>
      </c>
      <c r="C2" s="26">
        <f t="shared" ref="C2:C6" si="0">IF(SUM(D2:G2)&gt;0, 0, (SUM(D2:G2)))</f>
        <v>0</v>
      </c>
      <c r="D2" s="27">
        <v>0</v>
      </c>
      <c r="E2" s="27">
        <v>0</v>
      </c>
      <c r="F2" s="29">
        <v>0</v>
      </c>
      <c r="G2" s="29">
        <v>0</v>
      </c>
      <c r="H2" s="30">
        <v>0</v>
      </c>
      <c r="I2" s="30">
        <v>0</v>
      </c>
      <c r="J2" s="30">
        <v>0</v>
      </c>
      <c r="K2" s="32"/>
    </row>
    <row r="3" spans="1:11" ht="12.75" customHeight="1" x14ac:dyDescent="0.15">
      <c r="A3" s="34" t="s">
        <v>47</v>
      </c>
      <c r="B3" s="36" t="s">
        <v>58</v>
      </c>
      <c r="C3" s="39">
        <f t="shared" si="0"/>
        <v>0</v>
      </c>
      <c r="D3" s="41">
        <v>0</v>
      </c>
      <c r="E3" s="41">
        <v>0</v>
      </c>
      <c r="F3" s="42">
        <v>0</v>
      </c>
      <c r="G3" s="42">
        <v>0</v>
      </c>
      <c r="H3" s="43">
        <v>0</v>
      </c>
      <c r="I3" s="43">
        <v>0</v>
      </c>
      <c r="J3" s="43">
        <v>0</v>
      </c>
      <c r="K3" s="45"/>
    </row>
    <row r="4" spans="1:11" ht="12.75" customHeight="1" x14ac:dyDescent="0.15">
      <c r="A4" s="32" t="s">
        <v>65</v>
      </c>
      <c r="B4" s="32" t="s">
        <v>66</v>
      </c>
      <c r="C4" s="26">
        <f t="shared" si="0"/>
        <v>0</v>
      </c>
      <c r="D4" s="51">
        <v>0</v>
      </c>
      <c r="E4" s="51">
        <v>0</v>
      </c>
      <c r="F4" s="29">
        <v>0</v>
      </c>
      <c r="G4" s="29">
        <v>0</v>
      </c>
      <c r="H4" s="30">
        <v>0</v>
      </c>
      <c r="I4" s="30">
        <v>0</v>
      </c>
      <c r="J4" s="30">
        <v>0</v>
      </c>
      <c r="K4" s="54"/>
    </row>
    <row r="5" spans="1:11" ht="12.75" customHeight="1" x14ac:dyDescent="0.15">
      <c r="A5" s="45" t="s">
        <v>82</v>
      </c>
      <c r="B5" s="45" t="s">
        <v>85</v>
      </c>
      <c r="C5" s="39">
        <f t="shared" si="0"/>
        <v>0</v>
      </c>
      <c r="D5" s="56">
        <v>0</v>
      </c>
      <c r="E5" s="56">
        <v>0</v>
      </c>
      <c r="F5" s="42">
        <v>0</v>
      </c>
      <c r="G5" s="42">
        <v>0</v>
      </c>
      <c r="H5" s="43">
        <v>0</v>
      </c>
      <c r="I5" s="43">
        <v>50</v>
      </c>
      <c r="J5" s="43">
        <v>0</v>
      </c>
      <c r="K5" s="45"/>
    </row>
    <row r="6" spans="1:11" ht="12.75" customHeight="1" x14ac:dyDescent="0.15">
      <c r="A6" s="32" t="s">
        <v>82</v>
      </c>
      <c r="B6" s="32" t="s">
        <v>93</v>
      </c>
      <c r="C6" s="26">
        <f t="shared" si="0"/>
        <v>0</v>
      </c>
      <c r="D6" s="51">
        <v>25</v>
      </c>
      <c r="E6" s="51">
        <v>25</v>
      </c>
      <c r="F6" s="29">
        <v>0</v>
      </c>
      <c r="G6" s="29">
        <v>0</v>
      </c>
      <c r="H6" s="30">
        <v>0</v>
      </c>
      <c r="I6" s="30">
        <v>50</v>
      </c>
      <c r="J6" s="30">
        <v>0</v>
      </c>
      <c r="K6" s="32"/>
    </row>
    <row r="7" spans="1:11" ht="12.75" customHeight="1" x14ac:dyDescent="0.15">
      <c r="A7" s="34" t="s">
        <v>100</v>
      </c>
      <c r="B7" s="34" t="s">
        <v>101</v>
      </c>
      <c r="C7" s="39"/>
      <c r="D7" s="56"/>
      <c r="E7" s="56"/>
      <c r="F7" s="42"/>
      <c r="G7" s="42"/>
      <c r="H7" s="43">
        <v>0</v>
      </c>
      <c r="I7" s="43">
        <v>0</v>
      </c>
      <c r="J7" s="43">
        <v>0</v>
      </c>
      <c r="K7" s="45"/>
    </row>
    <row r="8" spans="1:11" ht="12.75" customHeight="1" x14ac:dyDescent="0.15">
      <c r="A8" s="32" t="s">
        <v>104</v>
      </c>
      <c r="B8" s="32" t="s">
        <v>105</v>
      </c>
      <c r="C8" s="26">
        <f t="shared" ref="C8:C9" si="1">IF(SUM(D8:G8)&gt;0, 0, (SUM(D8:G8)))</f>
        <v>0</v>
      </c>
      <c r="D8" s="51">
        <v>50</v>
      </c>
      <c r="E8" s="51">
        <v>50</v>
      </c>
      <c r="F8" s="29">
        <v>0</v>
      </c>
      <c r="G8" s="29">
        <v>0</v>
      </c>
      <c r="H8" s="30">
        <v>0</v>
      </c>
      <c r="I8" s="30">
        <v>50</v>
      </c>
      <c r="J8" s="30">
        <v>0</v>
      </c>
      <c r="K8" s="54"/>
    </row>
    <row r="9" spans="1:11" ht="12.75" customHeight="1" x14ac:dyDescent="0.15">
      <c r="A9" s="45" t="s">
        <v>106</v>
      </c>
      <c r="B9" s="45" t="s">
        <v>107</v>
      </c>
      <c r="C9" s="39">
        <f t="shared" si="1"/>
        <v>-50</v>
      </c>
      <c r="D9" s="56">
        <v>0</v>
      </c>
      <c r="E9" s="56">
        <v>0</v>
      </c>
      <c r="F9" s="71">
        <v>-50</v>
      </c>
      <c r="G9" s="42">
        <v>0</v>
      </c>
      <c r="H9" s="43">
        <v>0</v>
      </c>
      <c r="I9" s="43">
        <v>50</v>
      </c>
      <c r="J9" s="43">
        <v>50</v>
      </c>
      <c r="K9" s="45"/>
    </row>
    <row r="10" spans="1:11" ht="12.75" customHeight="1" x14ac:dyDescent="0.15">
      <c r="A10" s="22" t="s">
        <v>109</v>
      </c>
      <c r="B10" s="72" t="s">
        <v>110</v>
      </c>
      <c r="C10" s="26"/>
      <c r="D10" s="51"/>
      <c r="E10" s="51"/>
      <c r="F10" s="73"/>
      <c r="G10" s="29"/>
      <c r="H10" s="30">
        <v>0</v>
      </c>
      <c r="I10" s="30">
        <v>0</v>
      </c>
      <c r="J10" s="30">
        <v>0</v>
      </c>
      <c r="K10" s="32"/>
    </row>
    <row r="11" spans="1:11" ht="12.75" customHeight="1" x14ac:dyDescent="0.15">
      <c r="A11" s="45" t="s">
        <v>111</v>
      </c>
      <c r="B11" s="45" t="s">
        <v>112</v>
      </c>
      <c r="C11" s="39">
        <f t="shared" ref="C11:C38" si="2">IF(SUM(D11:G11)&gt;0, 0, (SUM(D11:G11)))</f>
        <v>-200</v>
      </c>
      <c r="D11" s="56">
        <v>0</v>
      </c>
      <c r="E11" s="56">
        <v>0</v>
      </c>
      <c r="F11" s="71">
        <v>-50</v>
      </c>
      <c r="G11" s="42">
        <v>-150</v>
      </c>
      <c r="H11" s="43">
        <v>0</v>
      </c>
      <c r="I11" s="43">
        <v>0</v>
      </c>
      <c r="J11" s="43">
        <v>50</v>
      </c>
      <c r="K11" s="77"/>
    </row>
    <row r="12" spans="1:11" ht="12.75" customHeight="1" x14ac:dyDescent="0.15">
      <c r="A12" s="78" t="s">
        <v>113</v>
      </c>
      <c r="B12" s="79" t="s">
        <v>114</v>
      </c>
      <c r="C12" s="26">
        <f t="shared" si="2"/>
        <v>0</v>
      </c>
      <c r="D12" s="51">
        <v>0</v>
      </c>
      <c r="E12" s="51">
        <v>0</v>
      </c>
      <c r="F12" s="51">
        <v>0</v>
      </c>
      <c r="G12" s="51">
        <v>0</v>
      </c>
      <c r="H12" s="30">
        <v>0</v>
      </c>
      <c r="I12" s="30">
        <v>50</v>
      </c>
      <c r="J12" s="30">
        <v>50</v>
      </c>
      <c r="K12" s="54"/>
    </row>
    <row r="13" spans="1:11" ht="12.75" customHeight="1" x14ac:dyDescent="0.15">
      <c r="A13" s="45" t="s">
        <v>115</v>
      </c>
      <c r="B13" s="45" t="s">
        <v>116</v>
      </c>
      <c r="C13" s="39">
        <f t="shared" si="2"/>
        <v>0</v>
      </c>
      <c r="D13" s="56">
        <v>0</v>
      </c>
      <c r="E13" s="56">
        <v>0</v>
      </c>
      <c r="F13" s="42">
        <v>0</v>
      </c>
      <c r="G13" s="42">
        <v>0</v>
      </c>
      <c r="H13" s="43">
        <v>0</v>
      </c>
      <c r="I13" s="43">
        <v>50</v>
      </c>
      <c r="J13" s="43">
        <v>50</v>
      </c>
      <c r="K13" s="77"/>
    </row>
    <row r="14" spans="1:11" ht="12.75" customHeight="1" x14ac:dyDescent="0.15">
      <c r="A14" s="32" t="s">
        <v>117</v>
      </c>
      <c r="B14" s="32" t="s">
        <v>118</v>
      </c>
      <c r="C14" s="26">
        <f t="shared" si="2"/>
        <v>-50</v>
      </c>
      <c r="D14" s="51">
        <v>0</v>
      </c>
      <c r="E14" s="51">
        <v>0</v>
      </c>
      <c r="F14" s="73">
        <v>-50</v>
      </c>
      <c r="G14" s="29">
        <v>0</v>
      </c>
      <c r="H14" s="30">
        <v>0</v>
      </c>
      <c r="I14" s="30">
        <v>50</v>
      </c>
      <c r="J14" s="30">
        <v>0</v>
      </c>
      <c r="K14" s="32"/>
    </row>
    <row r="15" spans="1:11" ht="12.75" customHeight="1" x14ac:dyDescent="0.15">
      <c r="A15" s="45" t="s">
        <v>120</v>
      </c>
      <c r="B15" s="45" t="s">
        <v>121</v>
      </c>
      <c r="C15" s="39">
        <f t="shared" si="2"/>
        <v>-50</v>
      </c>
      <c r="D15" s="56">
        <v>0</v>
      </c>
      <c r="E15" s="56">
        <v>0</v>
      </c>
      <c r="F15" s="71">
        <v>-50</v>
      </c>
      <c r="G15" s="42">
        <v>0</v>
      </c>
      <c r="H15" s="43">
        <v>0</v>
      </c>
      <c r="I15" s="43">
        <v>0</v>
      </c>
      <c r="J15" s="43">
        <v>0</v>
      </c>
      <c r="K15" s="45"/>
    </row>
    <row r="16" spans="1:11" ht="12.75" customHeight="1" x14ac:dyDescent="0.15">
      <c r="A16" s="32" t="s">
        <v>120</v>
      </c>
      <c r="B16" s="32" t="s">
        <v>122</v>
      </c>
      <c r="C16" s="26">
        <f t="shared" si="2"/>
        <v>0</v>
      </c>
      <c r="D16" s="51">
        <v>25</v>
      </c>
      <c r="E16" s="51">
        <v>25</v>
      </c>
      <c r="F16" s="73">
        <v>-50</v>
      </c>
      <c r="G16" s="29">
        <v>0</v>
      </c>
      <c r="H16" s="30">
        <v>0</v>
      </c>
      <c r="I16" s="30">
        <v>0</v>
      </c>
      <c r="J16" s="30">
        <v>0</v>
      </c>
      <c r="K16" s="32"/>
    </row>
    <row r="17" spans="1:27" ht="12.75" customHeight="1" x14ac:dyDescent="0.15">
      <c r="A17" s="45" t="s">
        <v>124</v>
      </c>
      <c r="B17" s="45" t="s">
        <v>125</v>
      </c>
      <c r="C17" s="39">
        <f t="shared" si="2"/>
        <v>0</v>
      </c>
      <c r="D17" s="56">
        <v>50</v>
      </c>
      <c r="E17" s="56">
        <v>50</v>
      </c>
      <c r="F17" s="71">
        <v>-50</v>
      </c>
      <c r="G17" s="42">
        <v>0</v>
      </c>
      <c r="H17" s="43">
        <v>0</v>
      </c>
      <c r="I17" s="43">
        <v>0</v>
      </c>
      <c r="J17" s="43">
        <v>50</v>
      </c>
      <c r="K17" s="45"/>
    </row>
    <row r="18" spans="1:27" ht="12.75" customHeight="1" x14ac:dyDescent="0.15">
      <c r="A18" s="32" t="s">
        <v>124</v>
      </c>
      <c r="B18" s="32" t="s">
        <v>127</v>
      </c>
      <c r="C18" s="26">
        <f t="shared" si="2"/>
        <v>-50</v>
      </c>
      <c r="D18" s="51">
        <v>0</v>
      </c>
      <c r="E18" s="51">
        <v>0</v>
      </c>
      <c r="F18" s="73">
        <v>-50</v>
      </c>
      <c r="G18" s="29">
        <v>0</v>
      </c>
      <c r="H18" s="30">
        <v>0</v>
      </c>
      <c r="I18" s="30">
        <v>0</v>
      </c>
      <c r="J18" s="30">
        <v>50</v>
      </c>
      <c r="K18" s="32"/>
    </row>
    <row r="19" spans="1:27" ht="12.75" customHeight="1" x14ac:dyDescent="0.15">
      <c r="A19" s="45" t="s">
        <v>128</v>
      </c>
      <c r="B19" s="45" t="s">
        <v>129</v>
      </c>
      <c r="C19" s="39">
        <f t="shared" si="2"/>
        <v>0</v>
      </c>
      <c r="D19" s="56">
        <v>100</v>
      </c>
      <c r="E19" s="56" t="s">
        <v>108</v>
      </c>
      <c r="F19" s="42">
        <v>0</v>
      </c>
      <c r="G19" s="42">
        <v>0</v>
      </c>
      <c r="H19" s="43">
        <v>0</v>
      </c>
      <c r="I19" s="43">
        <v>50</v>
      </c>
      <c r="J19" s="43">
        <v>50</v>
      </c>
      <c r="K19" s="77"/>
    </row>
    <row r="20" spans="1:27" ht="12.75" customHeight="1" x14ac:dyDescent="0.15">
      <c r="A20" s="32" t="s">
        <v>130</v>
      </c>
      <c r="B20" s="32" t="s">
        <v>131</v>
      </c>
      <c r="C20" s="26">
        <f t="shared" si="2"/>
        <v>-50</v>
      </c>
      <c r="D20" s="51">
        <v>0</v>
      </c>
      <c r="E20" s="51">
        <v>0</v>
      </c>
      <c r="F20" s="73">
        <v>-50</v>
      </c>
      <c r="G20" s="29">
        <v>0</v>
      </c>
      <c r="H20" s="90" t="s">
        <v>132</v>
      </c>
      <c r="I20" s="90" t="s">
        <v>132</v>
      </c>
      <c r="J20" s="90" t="s">
        <v>132</v>
      </c>
      <c r="K20" s="91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</row>
    <row r="21" spans="1:27" ht="12.75" customHeight="1" x14ac:dyDescent="0.15">
      <c r="A21" s="45" t="s">
        <v>130</v>
      </c>
      <c r="B21" s="45" t="s">
        <v>133</v>
      </c>
      <c r="C21" s="39">
        <f t="shared" si="2"/>
        <v>-50</v>
      </c>
      <c r="D21" s="56">
        <v>0</v>
      </c>
      <c r="E21" s="56">
        <v>0</v>
      </c>
      <c r="F21" s="71">
        <v>-50</v>
      </c>
      <c r="G21" s="42">
        <v>0</v>
      </c>
      <c r="H21" s="93" t="s">
        <v>132</v>
      </c>
      <c r="I21" s="93" t="s">
        <v>132</v>
      </c>
      <c r="J21" s="93" t="s">
        <v>132</v>
      </c>
      <c r="K21" s="45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 spans="1:27" ht="12.75" customHeight="1" x14ac:dyDescent="0.15">
      <c r="A22" s="94" t="s">
        <v>134</v>
      </c>
      <c r="B22" s="22" t="s">
        <v>135</v>
      </c>
      <c r="C22" s="26">
        <f t="shared" si="2"/>
        <v>0</v>
      </c>
      <c r="D22" s="27">
        <v>0</v>
      </c>
      <c r="E22" s="27">
        <v>0</v>
      </c>
      <c r="F22" s="29">
        <v>0</v>
      </c>
      <c r="G22" s="95">
        <v>0</v>
      </c>
      <c r="H22" s="30">
        <v>0</v>
      </c>
      <c r="I22" s="30">
        <v>50</v>
      </c>
      <c r="J22" s="30">
        <v>50</v>
      </c>
      <c r="K22" s="3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</row>
    <row r="23" spans="1:27" ht="12.75" customHeight="1" x14ac:dyDescent="0.15">
      <c r="A23" s="96" t="s">
        <v>134</v>
      </c>
      <c r="B23" s="96" t="s">
        <v>136</v>
      </c>
      <c r="C23" s="39">
        <f t="shared" si="2"/>
        <v>0</v>
      </c>
      <c r="D23" s="41">
        <v>0</v>
      </c>
      <c r="E23" s="41">
        <v>0</v>
      </c>
      <c r="F23" s="42">
        <v>0</v>
      </c>
      <c r="G23" s="97">
        <v>0</v>
      </c>
      <c r="H23" s="43">
        <v>0</v>
      </c>
      <c r="I23" s="43">
        <v>50</v>
      </c>
      <c r="J23" s="43">
        <v>50</v>
      </c>
      <c r="K23" s="45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 spans="1:27" ht="12.75" customHeight="1" x14ac:dyDescent="0.15">
      <c r="A24" s="22" t="s">
        <v>137</v>
      </c>
      <c r="B24" s="22" t="s">
        <v>138</v>
      </c>
      <c r="C24" s="26">
        <f t="shared" si="2"/>
        <v>0</v>
      </c>
      <c r="D24" s="27" t="s">
        <v>108</v>
      </c>
      <c r="E24" s="27" t="s">
        <v>108</v>
      </c>
      <c r="F24" s="29" t="s">
        <v>108</v>
      </c>
      <c r="G24" s="29">
        <v>0</v>
      </c>
      <c r="H24" s="30">
        <v>0</v>
      </c>
      <c r="I24" s="30">
        <v>50</v>
      </c>
      <c r="J24" s="30">
        <v>50</v>
      </c>
      <c r="K24" s="32"/>
    </row>
    <row r="25" spans="1:27" ht="12.75" customHeight="1" x14ac:dyDescent="0.15">
      <c r="A25" s="34" t="s">
        <v>139</v>
      </c>
      <c r="B25" s="34" t="s">
        <v>141</v>
      </c>
      <c r="C25" s="39">
        <f t="shared" si="2"/>
        <v>0</v>
      </c>
      <c r="D25" s="41" t="s">
        <v>108</v>
      </c>
      <c r="E25" s="41" t="s">
        <v>108</v>
      </c>
      <c r="F25" s="42" t="s">
        <v>108</v>
      </c>
      <c r="G25" s="42">
        <v>0</v>
      </c>
      <c r="H25" s="43">
        <v>0</v>
      </c>
      <c r="I25" s="43">
        <v>0</v>
      </c>
      <c r="J25" s="43">
        <v>0</v>
      </c>
      <c r="K25" s="45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</row>
    <row r="26" spans="1:27" ht="12.75" customHeight="1" x14ac:dyDescent="0.15">
      <c r="A26" s="22" t="s">
        <v>144</v>
      </c>
      <c r="B26" s="22" t="s">
        <v>145</v>
      </c>
      <c r="C26" s="26">
        <f t="shared" si="2"/>
        <v>0</v>
      </c>
      <c r="D26" s="27">
        <v>0</v>
      </c>
      <c r="E26" s="27">
        <v>0</v>
      </c>
      <c r="F26" s="29">
        <v>0</v>
      </c>
      <c r="G26" s="29">
        <v>0</v>
      </c>
      <c r="H26" s="30">
        <v>0</v>
      </c>
      <c r="I26" s="30">
        <v>0</v>
      </c>
      <c r="J26" s="30">
        <v>0</v>
      </c>
      <c r="K26" s="3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</row>
    <row r="27" spans="1:27" ht="12.75" customHeight="1" x14ac:dyDescent="0.15">
      <c r="A27" s="34" t="s">
        <v>149</v>
      </c>
      <c r="B27" s="34" t="s">
        <v>150</v>
      </c>
      <c r="C27" s="39">
        <f t="shared" si="2"/>
        <v>0</v>
      </c>
      <c r="D27" s="41">
        <v>0</v>
      </c>
      <c r="E27" s="41">
        <v>0</v>
      </c>
      <c r="F27" s="42">
        <v>0</v>
      </c>
      <c r="G27" s="42">
        <v>0</v>
      </c>
      <c r="H27" s="43">
        <v>0</v>
      </c>
      <c r="I27" s="43">
        <v>50</v>
      </c>
      <c r="J27" s="43">
        <v>0</v>
      </c>
      <c r="K27" s="45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</row>
    <row r="28" spans="1:27" ht="12.75" customHeight="1" x14ac:dyDescent="0.15">
      <c r="A28" s="22" t="s">
        <v>149</v>
      </c>
      <c r="B28" s="22" t="s">
        <v>147</v>
      </c>
      <c r="C28" s="26">
        <f t="shared" si="2"/>
        <v>0</v>
      </c>
      <c r="D28" s="27">
        <v>0</v>
      </c>
      <c r="E28" s="27">
        <v>0</v>
      </c>
      <c r="F28" s="29">
        <v>0</v>
      </c>
      <c r="G28" s="29">
        <v>0</v>
      </c>
      <c r="H28" s="30">
        <v>0</v>
      </c>
      <c r="I28" s="30">
        <v>50</v>
      </c>
      <c r="J28" s="30">
        <v>0</v>
      </c>
      <c r="K28" s="3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</row>
    <row r="29" spans="1:27" ht="12.75" customHeight="1" x14ac:dyDescent="0.15">
      <c r="A29" s="45" t="s">
        <v>162</v>
      </c>
      <c r="B29" s="45" t="s">
        <v>163</v>
      </c>
      <c r="C29" s="39">
        <f t="shared" si="2"/>
        <v>-200</v>
      </c>
      <c r="D29" s="56">
        <v>0</v>
      </c>
      <c r="E29" s="56">
        <v>0</v>
      </c>
      <c r="F29" s="71">
        <v>-50</v>
      </c>
      <c r="G29" s="42">
        <v>-150</v>
      </c>
      <c r="H29" s="43">
        <v>0</v>
      </c>
      <c r="I29" s="43">
        <v>0</v>
      </c>
      <c r="J29" s="43">
        <v>0</v>
      </c>
      <c r="K29" s="45"/>
    </row>
    <row r="30" spans="1:27" ht="12.75" customHeight="1" x14ac:dyDescent="0.15">
      <c r="A30" s="32" t="s">
        <v>171</v>
      </c>
      <c r="B30" s="32" t="s">
        <v>172</v>
      </c>
      <c r="C30" s="26">
        <f t="shared" si="2"/>
        <v>-50</v>
      </c>
      <c r="D30" s="51">
        <v>0</v>
      </c>
      <c r="E30" s="51">
        <v>0</v>
      </c>
      <c r="F30" s="73">
        <v>-50</v>
      </c>
      <c r="G30" s="29">
        <v>0</v>
      </c>
      <c r="H30" s="30">
        <v>0</v>
      </c>
      <c r="I30" s="30">
        <v>50</v>
      </c>
      <c r="J30" s="30">
        <v>0</v>
      </c>
      <c r="K30" s="91"/>
    </row>
    <row r="31" spans="1:27" ht="12.75" customHeight="1" x14ac:dyDescent="0.15">
      <c r="A31" s="105" t="s">
        <v>175</v>
      </c>
      <c r="B31" s="105" t="s">
        <v>178</v>
      </c>
      <c r="C31" s="39">
        <f t="shared" si="2"/>
        <v>0</v>
      </c>
      <c r="D31" s="56">
        <v>50</v>
      </c>
      <c r="E31" s="56">
        <v>50</v>
      </c>
      <c r="F31" s="42">
        <v>0</v>
      </c>
      <c r="G31" s="42">
        <v>0</v>
      </c>
      <c r="H31" s="43">
        <v>0</v>
      </c>
      <c r="I31" s="43">
        <v>0</v>
      </c>
      <c r="J31" s="43">
        <v>50</v>
      </c>
      <c r="K31" s="45"/>
    </row>
    <row r="32" spans="1:27" ht="12.75" customHeight="1" x14ac:dyDescent="0.15">
      <c r="A32" s="32" t="s">
        <v>184</v>
      </c>
      <c r="B32" s="32" t="s">
        <v>186</v>
      </c>
      <c r="C32" s="26">
        <f t="shared" si="2"/>
        <v>0</v>
      </c>
      <c r="D32" s="51">
        <v>0</v>
      </c>
      <c r="E32" s="51">
        <v>0</v>
      </c>
      <c r="F32" s="29">
        <v>0</v>
      </c>
      <c r="G32" s="29">
        <v>0</v>
      </c>
      <c r="H32" s="30">
        <v>0</v>
      </c>
      <c r="I32" s="30">
        <v>0</v>
      </c>
      <c r="J32" s="30">
        <v>50</v>
      </c>
      <c r="K32" s="32"/>
    </row>
    <row r="33" spans="1:11" ht="12.75" customHeight="1" x14ac:dyDescent="0.15">
      <c r="A33" s="45" t="s">
        <v>184</v>
      </c>
      <c r="B33" s="45" t="s">
        <v>190</v>
      </c>
      <c r="C33" s="39">
        <f t="shared" si="2"/>
        <v>0</v>
      </c>
      <c r="D33" s="56">
        <v>0</v>
      </c>
      <c r="E33" s="56">
        <v>0</v>
      </c>
      <c r="F33" s="42">
        <v>0</v>
      </c>
      <c r="G33" s="42">
        <v>0</v>
      </c>
      <c r="H33" s="43">
        <v>0</v>
      </c>
      <c r="I33" s="43">
        <v>0</v>
      </c>
      <c r="J33" s="43">
        <v>50</v>
      </c>
      <c r="K33" s="45"/>
    </row>
    <row r="34" spans="1:11" ht="12.75" customHeight="1" x14ac:dyDescent="0.15">
      <c r="A34" s="78" t="s">
        <v>196</v>
      </c>
      <c r="B34" s="79" t="s">
        <v>133</v>
      </c>
      <c r="C34" s="26">
        <f t="shared" si="2"/>
        <v>0</v>
      </c>
      <c r="D34" s="51">
        <v>0</v>
      </c>
      <c r="E34" s="51">
        <v>0</v>
      </c>
      <c r="F34" s="51">
        <v>0</v>
      </c>
      <c r="G34" s="51">
        <v>0</v>
      </c>
      <c r="H34" s="30">
        <v>0</v>
      </c>
      <c r="I34" s="30">
        <v>50</v>
      </c>
      <c r="J34" s="30">
        <v>50</v>
      </c>
      <c r="K34" s="32"/>
    </row>
    <row r="35" spans="1:11" ht="12.75" customHeight="1" x14ac:dyDescent="0.15">
      <c r="A35" s="45" t="s">
        <v>200</v>
      </c>
      <c r="B35" s="45" t="s">
        <v>201</v>
      </c>
      <c r="C35" s="39">
        <f t="shared" si="2"/>
        <v>0</v>
      </c>
      <c r="D35" s="56">
        <v>0</v>
      </c>
      <c r="E35" s="56">
        <v>0</v>
      </c>
      <c r="F35" s="71">
        <v>50</v>
      </c>
      <c r="G35" s="42">
        <v>0</v>
      </c>
      <c r="H35" s="43">
        <v>0</v>
      </c>
      <c r="I35" s="43">
        <v>0</v>
      </c>
      <c r="J35" s="43">
        <v>0</v>
      </c>
      <c r="K35" s="45"/>
    </row>
    <row r="36" spans="1:11" ht="12.75" customHeight="1" x14ac:dyDescent="0.15">
      <c r="A36" s="32" t="s">
        <v>200</v>
      </c>
      <c r="B36" s="32" t="s">
        <v>203</v>
      </c>
      <c r="C36" s="26">
        <f t="shared" si="2"/>
        <v>-150</v>
      </c>
      <c r="D36" s="107">
        <v>0</v>
      </c>
      <c r="E36" s="107">
        <v>0</v>
      </c>
      <c r="F36" s="108" t="s">
        <v>108</v>
      </c>
      <c r="G36" s="29">
        <v>-150</v>
      </c>
      <c r="H36" s="90" t="s">
        <v>132</v>
      </c>
      <c r="I36" s="90" t="s">
        <v>132</v>
      </c>
      <c r="J36" s="90" t="s">
        <v>132</v>
      </c>
      <c r="K36" s="32"/>
    </row>
    <row r="37" spans="1:11" ht="12.75" customHeight="1" x14ac:dyDescent="0.15">
      <c r="A37" s="45" t="s">
        <v>200</v>
      </c>
      <c r="B37" s="45" t="s">
        <v>195</v>
      </c>
      <c r="C37" s="39">
        <f t="shared" si="2"/>
        <v>-200</v>
      </c>
      <c r="D37" s="56">
        <v>0</v>
      </c>
      <c r="E37" s="56">
        <v>0</v>
      </c>
      <c r="F37" s="71">
        <v>-50</v>
      </c>
      <c r="G37" s="42">
        <v>-150</v>
      </c>
      <c r="H37" s="43">
        <v>0</v>
      </c>
      <c r="I37" s="43">
        <v>0</v>
      </c>
      <c r="J37" s="43">
        <v>0</v>
      </c>
      <c r="K37" s="45"/>
    </row>
    <row r="38" spans="1:11" ht="12.75" customHeight="1" x14ac:dyDescent="0.15">
      <c r="A38" s="32" t="s">
        <v>200</v>
      </c>
      <c r="B38" s="32" t="s">
        <v>150</v>
      </c>
      <c r="C38" s="26">
        <f t="shared" si="2"/>
        <v>-200</v>
      </c>
      <c r="D38" s="51">
        <v>0</v>
      </c>
      <c r="E38" s="51">
        <v>0</v>
      </c>
      <c r="F38" s="73">
        <v>-50</v>
      </c>
      <c r="G38" s="29">
        <v>-150</v>
      </c>
      <c r="H38" s="30">
        <v>0</v>
      </c>
      <c r="I38" s="30">
        <v>0</v>
      </c>
      <c r="J38" s="30">
        <v>0</v>
      </c>
      <c r="K38" s="91"/>
    </row>
    <row r="39" spans="1:11" ht="12.75" customHeight="1" x14ac:dyDescent="0.15">
      <c r="A39" s="109" t="s">
        <v>200</v>
      </c>
      <c r="B39" s="110" t="s">
        <v>224</v>
      </c>
      <c r="C39" s="39"/>
      <c r="D39" s="56"/>
      <c r="E39" s="56"/>
      <c r="F39" s="71"/>
      <c r="G39" s="42"/>
      <c r="H39" s="43">
        <v>0</v>
      </c>
      <c r="I39" s="43">
        <v>0</v>
      </c>
      <c r="J39" s="43">
        <v>0</v>
      </c>
      <c r="K39" s="111"/>
    </row>
    <row r="40" spans="1:11" ht="12.75" customHeight="1" x14ac:dyDescent="0.15">
      <c r="A40" s="32" t="s">
        <v>225</v>
      </c>
      <c r="B40" s="32" t="s">
        <v>226</v>
      </c>
      <c r="C40" s="26">
        <f t="shared" ref="C40:C58" si="3">IF(SUM(D40:G40)&gt;0, 0, (SUM(D40:G40)))</f>
        <v>0</v>
      </c>
      <c r="D40" s="51">
        <v>0</v>
      </c>
      <c r="E40" s="51">
        <v>0</v>
      </c>
      <c r="F40" s="29">
        <v>0</v>
      </c>
      <c r="G40" s="29">
        <v>0</v>
      </c>
      <c r="H40" s="30">
        <v>0</v>
      </c>
      <c r="I40" s="30">
        <v>50</v>
      </c>
      <c r="J40" s="30">
        <v>0</v>
      </c>
      <c r="K40" s="32"/>
    </row>
    <row r="41" spans="1:11" ht="12.75" customHeight="1" x14ac:dyDescent="0.15">
      <c r="A41" s="45" t="s">
        <v>225</v>
      </c>
      <c r="B41" s="45" t="s">
        <v>228</v>
      </c>
      <c r="C41" s="39">
        <f t="shared" si="3"/>
        <v>0</v>
      </c>
      <c r="D41" s="56">
        <v>0</v>
      </c>
      <c r="E41" s="56">
        <v>0</v>
      </c>
      <c r="F41" s="42">
        <v>0</v>
      </c>
      <c r="G41" s="42">
        <v>0</v>
      </c>
      <c r="H41" s="43">
        <v>0</v>
      </c>
      <c r="I41" s="43">
        <v>50</v>
      </c>
      <c r="J41" s="43">
        <v>0</v>
      </c>
      <c r="K41" s="45"/>
    </row>
    <row r="42" spans="1:11" ht="12.75" customHeight="1" x14ac:dyDescent="0.15">
      <c r="A42" s="32" t="s">
        <v>233</v>
      </c>
      <c r="B42" s="32" t="s">
        <v>234</v>
      </c>
      <c r="C42" s="26">
        <f t="shared" si="3"/>
        <v>0</v>
      </c>
      <c r="D42" s="51">
        <v>0</v>
      </c>
      <c r="E42" s="51">
        <v>0</v>
      </c>
      <c r="F42" s="29">
        <v>0</v>
      </c>
      <c r="G42" s="29">
        <v>0</v>
      </c>
      <c r="H42" s="30">
        <v>0</v>
      </c>
      <c r="I42" s="30">
        <v>0</v>
      </c>
      <c r="J42" s="30">
        <v>0</v>
      </c>
      <c r="K42" s="32"/>
    </row>
    <row r="43" spans="1:11" ht="12.75" customHeight="1" x14ac:dyDescent="0.15">
      <c r="A43" s="45" t="s">
        <v>6</v>
      </c>
      <c r="B43" s="45" t="s">
        <v>236</v>
      </c>
      <c r="C43" s="39">
        <f t="shared" si="3"/>
        <v>0</v>
      </c>
      <c r="D43" s="56">
        <v>100</v>
      </c>
      <c r="E43" s="56">
        <v>100</v>
      </c>
      <c r="F43" s="42">
        <v>0</v>
      </c>
      <c r="G43" s="42">
        <v>0</v>
      </c>
      <c r="H43" s="93">
        <v>50</v>
      </c>
      <c r="I43" s="43">
        <v>50</v>
      </c>
      <c r="J43" s="43">
        <v>50</v>
      </c>
      <c r="K43" s="45"/>
    </row>
    <row r="44" spans="1:11" ht="12.75" customHeight="1" x14ac:dyDescent="0.15">
      <c r="A44" s="32" t="s">
        <v>6</v>
      </c>
      <c r="B44" s="32" t="s">
        <v>8</v>
      </c>
      <c r="C44" s="26">
        <f t="shared" si="3"/>
        <v>0</v>
      </c>
      <c r="D44" s="51">
        <v>50</v>
      </c>
      <c r="E44" s="51">
        <v>50</v>
      </c>
      <c r="F44" s="29">
        <v>0</v>
      </c>
      <c r="G44" s="29">
        <v>0</v>
      </c>
      <c r="H44" s="30">
        <v>50</v>
      </c>
      <c r="I44" s="30">
        <v>50</v>
      </c>
      <c r="J44" s="30">
        <v>50</v>
      </c>
      <c r="K44" s="32"/>
    </row>
    <row r="45" spans="1:11" ht="12.75" customHeight="1" x14ac:dyDescent="0.15">
      <c r="A45" s="45" t="s">
        <v>6</v>
      </c>
      <c r="B45" s="45" t="s">
        <v>9</v>
      </c>
      <c r="C45" s="39">
        <f t="shared" si="3"/>
        <v>0</v>
      </c>
      <c r="D45" s="56">
        <v>0</v>
      </c>
      <c r="E45" s="56">
        <v>0</v>
      </c>
      <c r="F45" s="42">
        <v>0</v>
      </c>
      <c r="G45" s="42">
        <v>0</v>
      </c>
      <c r="H45" s="43">
        <v>50</v>
      </c>
      <c r="I45" s="93" t="s">
        <v>132</v>
      </c>
      <c r="J45" s="93" t="s">
        <v>132</v>
      </c>
      <c r="K45" s="45"/>
    </row>
    <row r="46" spans="1:11" ht="12.75" customHeight="1" x14ac:dyDescent="0.15">
      <c r="A46" s="32" t="s">
        <v>6</v>
      </c>
      <c r="B46" s="32" t="s">
        <v>10</v>
      </c>
      <c r="C46" s="26">
        <f t="shared" si="3"/>
        <v>0</v>
      </c>
      <c r="D46" s="51">
        <v>0</v>
      </c>
      <c r="E46" s="51">
        <v>0</v>
      </c>
      <c r="F46" s="29">
        <v>0</v>
      </c>
      <c r="G46" s="29">
        <v>0</v>
      </c>
      <c r="H46" s="30">
        <v>50</v>
      </c>
      <c r="I46" s="30">
        <v>50</v>
      </c>
      <c r="J46" s="30">
        <v>50</v>
      </c>
      <c r="K46" s="32"/>
    </row>
    <row r="47" spans="1:11" ht="12.75" customHeight="1" x14ac:dyDescent="0.15">
      <c r="A47" s="45" t="s">
        <v>237</v>
      </c>
      <c r="B47" s="45" t="s">
        <v>238</v>
      </c>
      <c r="C47" s="39">
        <f t="shared" si="3"/>
        <v>-50</v>
      </c>
      <c r="D47" s="56">
        <v>0</v>
      </c>
      <c r="E47" s="56">
        <v>0</v>
      </c>
      <c r="F47" s="71">
        <v>-50</v>
      </c>
      <c r="G47" s="42">
        <v>0</v>
      </c>
      <c r="H47" s="43">
        <v>0</v>
      </c>
      <c r="I47" s="43">
        <v>0</v>
      </c>
      <c r="J47" s="43">
        <v>0</v>
      </c>
      <c r="K47" s="45"/>
    </row>
    <row r="48" spans="1:11" ht="12.75" customHeight="1" x14ac:dyDescent="0.15">
      <c r="A48" s="32" t="s">
        <v>239</v>
      </c>
      <c r="B48" s="32" t="s">
        <v>240</v>
      </c>
      <c r="C48" s="26">
        <f t="shared" si="3"/>
        <v>-150</v>
      </c>
      <c r="D48" s="51">
        <v>0</v>
      </c>
      <c r="E48" s="51">
        <v>0</v>
      </c>
      <c r="F48" s="29">
        <v>0</v>
      </c>
      <c r="G48" s="29">
        <v>-150</v>
      </c>
      <c r="H48" s="90" t="s">
        <v>132</v>
      </c>
      <c r="I48" s="90" t="s">
        <v>132</v>
      </c>
      <c r="J48" s="90" t="s">
        <v>132</v>
      </c>
      <c r="K48" s="32"/>
    </row>
    <row r="49" spans="1:12" ht="12.75" customHeight="1" x14ac:dyDescent="0.15">
      <c r="A49" s="45" t="s">
        <v>241</v>
      </c>
      <c r="B49" s="45" t="s">
        <v>242</v>
      </c>
      <c r="C49" s="39">
        <f t="shared" si="3"/>
        <v>-200</v>
      </c>
      <c r="D49" s="56">
        <v>0</v>
      </c>
      <c r="E49" s="56">
        <v>0</v>
      </c>
      <c r="F49" s="71">
        <v>-50</v>
      </c>
      <c r="G49" s="42">
        <v>-150</v>
      </c>
      <c r="H49" s="43">
        <v>0</v>
      </c>
      <c r="I49" s="43">
        <v>0</v>
      </c>
      <c r="J49" s="43">
        <v>0</v>
      </c>
      <c r="K49" s="45"/>
    </row>
    <row r="50" spans="1:12" ht="12.75" customHeight="1" x14ac:dyDescent="0.15">
      <c r="A50" s="32" t="s">
        <v>241</v>
      </c>
      <c r="B50" s="32" t="s">
        <v>243</v>
      </c>
      <c r="C50" s="26">
        <f t="shared" si="3"/>
        <v>-150</v>
      </c>
      <c r="D50" s="51">
        <v>50</v>
      </c>
      <c r="E50" s="51">
        <v>0</v>
      </c>
      <c r="F50" s="73">
        <v>-50</v>
      </c>
      <c r="G50" s="29">
        <v>-150</v>
      </c>
      <c r="H50" s="30">
        <v>0</v>
      </c>
      <c r="I50" s="30">
        <v>0</v>
      </c>
      <c r="J50" s="30">
        <v>0</v>
      </c>
      <c r="K50" s="32"/>
    </row>
    <row r="51" spans="1:12" ht="12.75" customHeight="1" x14ac:dyDescent="0.15">
      <c r="A51" s="45" t="s">
        <v>247</v>
      </c>
      <c r="B51" s="45" t="s">
        <v>248</v>
      </c>
      <c r="C51" s="39">
        <f t="shared" si="3"/>
        <v>0</v>
      </c>
      <c r="D51" s="56">
        <v>50</v>
      </c>
      <c r="E51" s="56">
        <v>50</v>
      </c>
      <c r="F51" s="42">
        <v>0</v>
      </c>
      <c r="G51" s="42">
        <v>0</v>
      </c>
      <c r="H51" s="43">
        <v>0</v>
      </c>
      <c r="I51" s="43">
        <v>50</v>
      </c>
      <c r="J51" s="43">
        <v>50</v>
      </c>
      <c r="K51" s="45"/>
    </row>
    <row r="52" spans="1:12" ht="12.75" customHeight="1" x14ac:dyDescent="0.15">
      <c r="A52" s="32" t="s">
        <v>247</v>
      </c>
      <c r="B52" s="32" t="s">
        <v>251</v>
      </c>
      <c r="C52" s="26">
        <f t="shared" si="3"/>
        <v>0</v>
      </c>
      <c r="D52" s="51">
        <v>0</v>
      </c>
      <c r="E52" s="51">
        <v>0</v>
      </c>
      <c r="F52" s="29">
        <v>0</v>
      </c>
      <c r="G52" s="29">
        <v>0</v>
      </c>
      <c r="H52" s="30">
        <v>0</v>
      </c>
      <c r="I52" s="30">
        <v>50</v>
      </c>
      <c r="J52" s="30">
        <v>50</v>
      </c>
      <c r="K52" s="32"/>
    </row>
    <row r="53" spans="1:12" ht="12.75" customHeight="1" x14ac:dyDescent="0.15">
      <c r="A53" s="45" t="s">
        <v>180</v>
      </c>
      <c r="B53" s="45" t="s">
        <v>179</v>
      </c>
      <c r="C53" s="39">
        <f t="shared" si="3"/>
        <v>0</v>
      </c>
      <c r="D53" s="107">
        <v>0</v>
      </c>
      <c r="E53" s="107">
        <v>0</v>
      </c>
      <c r="F53" s="42">
        <v>0</v>
      </c>
      <c r="G53" s="42">
        <v>0</v>
      </c>
      <c r="H53" s="93" t="s">
        <v>132</v>
      </c>
      <c r="I53" s="93" t="s">
        <v>132</v>
      </c>
      <c r="J53" s="93" t="s">
        <v>132</v>
      </c>
      <c r="K53" s="45"/>
    </row>
    <row r="54" spans="1:12" ht="12.75" customHeight="1" x14ac:dyDescent="0.15">
      <c r="A54" s="32" t="s">
        <v>202</v>
      </c>
      <c r="B54" s="32" t="s">
        <v>150</v>
      </c>
      <c r="C54" s="26">
        <f t="shared" si="3"/>
        <v>0</v>
      </c>
      <c r="D54" s="51">
        <v>50</v>
      </c>
      <c r="E54" s="51">
        <v>50</v>
      </c>
      <c r="F54" s="29">
        <v>0</v>
      </c>
      <c r="G54" s="29">
        <v>0</v>
      </c>
      <c r="H54" s="30">
        <v>50</v>
      </c>
      <c r="I54" s="30">
        <v>50</v>
      </c>
      <c r="J54" s="30">
        <v>50</v>
      </c>
      <c r="K54" s="32"/>
    </row>
    <row r="55" spans="1:12" ht="12.75" customHeight="1" x14ac:dyDescent="0.15">
      <c r="A55" s="45" t="s">
        <v>202</v>
      </c>
      <c r="B55" s="45" t="s">
        <v>215</v>
      </c>
      <c r="C55" s="39">
        <f t="shared" si="3"/>
        <v>0</v>
      </c>
      <c r="D55" s="56">
        <v>0</v>
      </c>
      <c r="E55" s="56">
        <v>0</v>
      </c>
      <c r="F55" s="42">
        <v>0</v>
      </c>
      <c r="G55" s="42">
        <v>0</v>
      </c>
      <c r="H55" s="43">
        <v>50</v>
      </c>
      <c r="I55" s="43">
        <v>50</v>
      </c>
      <c r="J55" s="43">
        <v>50</v>
      </c>
      <c r="K55" s="77"/>
    </row>
    <row r="56" spans="1:12" ht="12.75" customHeight="1" x14ac:dyDescent="0.15">
      <c r="A56" s="32" t="s">
        <v>263</v>
      </c>
      <c r="B56" s="32" t="s">
        <v>264</v>
      </c>
      <c r="C56" s="26">
        <f t="shared" si="3"/>
        <v>-200</v>
      </c>
      <c r="D56" s="51">
        <v>0</v>
      </c>
      <c r="E56" s="51">
        <v>0</v>
      </c>
      <c r="F56" s="73">
        <v>-50</v>
      </c>
      <c r="G56" s="29">
        <v>-150</v>
      </c>
      <c r="H56" s="90" t="s">
        <v>132</v>
      </c>
      <c r="I56" s="90" t="s">
        <v>132</v>
      </c>
      <c r="J56" s="90" t="s">
        <v>132</v>
      </c>
      <c r="K56" s="54"/>
    </row>
    <row r="57" spans="1:12" ht="12.75" customHeight="1" x14ac:dyDescent="0.15">
      <c r="A57" s="45" t="s">
        <v>176</v>
      </c>
      <c r="B57" s="45" t="s">
        <v>246</v>
      </c>
      <c r="C57" s="39">
        <f t="shared" si="3"/>
        <v>0</v>
      </c>
      <c r="D57" s="56">
        <v>0</v>
      </c>
      <c r="E57" s="56">
        <v>0</v>
      </c>
      <c r="F57" s="42">
        <v>0</v>
      </c>
      <c r="G57" s="42">
        <v>0</v>
      </c>
      <c r="H57" s="43">
        <v>0</v>
      </c>
      <c r="I57" s="43">
        <v>0</v>
      </c>
      <c r="J57" s="43">
        <v>0</v>
      </c>
      <c r="K57" s="45"/>
    </row>
    <row r="58" spans="1:12" ht="12.75" customHeight="1" x14ac:dyDescent="0.15">
      <c r="A58" s="32" t="s">
        <v>176</v>
      </c>
      <c r="B58" s="32" t="s">
        <v>121</v>
      </c>
      <c r="C58" s="26">
        <f t="shared" si="3"/>
        <v>0</v>
      </c>
      <c r="D58" s="51">
        <v>0</v>
      </c>
      <c r="E58" s="51">
        <v>0</v>
      </c>
      <c r="F58" s="29">
        <v>0</v>
      </c>
      <c r="G58" s="29">
        <v>0</v>
      </c>
      <c r="H58" s="30">
        <v>0</v>
      </c>
      <c r="I58" s="30">
        <v>0</v>
      </c>
      <c r="J58" s="30">
        <v>0</v>
      </c>
      <c r="K58" s="32"/>
    </row>
    <row r="59" spans="1:12" ht="12.75" customHeight="1" x14ac:dyDescent="0.15">
      <c r="A59" s="34" t="s">
        <v>176</v>
      </c>
      <c r="B59" s="34" t="s">
        <v>177</v>
      </c>
      <c r="C59" s="39"/>
      <c r="D59" s="56"/>
      <c r="E59" s="56"/>
      <c r="F59" s="42"/>
      <c r="G59" s="42"/>
      <c r="H59" s="93"/>
      <c r="I59" s="43">
        <v>0</v>
      </c>
      <c r="J59" s="93">
        <v>40</v>
      </c>
      <c r="K59" s="45"/>
    </row>
    <row r="60" spans="1:12" ht="12.75" customHeight="1" x14ac:dyDescent="0.15">
      <c r="A60" s="32" t="s">
        <v>182</v>
      </c>
      <c r="B60" s="32" t="s">
        <v>85</v>
      </c>
      <c r="C60" s="26">
        <f t="shared" ref="C60:C61" si="4">IF(SUM(D60:G60)&gt;0, 0, (SUM(D60:G60)))</f>
        <v>0</v>
      </c>
      <c r="D60" s="51">
        <v>30</v>
      </c>
      <c r="E60" s="51">
        <v>30</v>
      </c>
      <c r="F60" s="29">
        <v>0</v>
      </c>
      <c r="G60" s="29">
        <v>0</v>
      </c>
      <c r="H60" s="90" t="s">
        <v>132</v>
      </c>
      <c r="I60" s="90" t="s">
        <v>132</v>
      </c>
      <c r="J60" s="90" t="s">
        <v>132</v>
      </c>
      <c r="K60" s="32"/>
    </row>
    <row r="61" spans="1:12" ht="12.75" customHeight="1" x14ac:dyDescent="0.15">
      <c r="A61" s="45" t="s">
        <v>269</v>
      </c>
      <c r="B61" s="45" t="s">
        <v>270</v>
      </c>
      <c r="C61" s="39">
        <f t="shared" si="4"/>
        <v>0</v>
      </c>
      <c r="D61" s="56">
        <v>0</v>
      </c>
      <c r="E61" s="56">
        <v>0</v>
      </c>
      <c r="F61" s="42">
        <v>0</v>
      </c>
      <c r="G61" s="42">
        <v>0</v>
      </c>
      <c r="H61" s="43">
        <v>0</v>
      </c>
      <c r="I61" s="93">
        <v>100</v>
      </c>
      <c r="J61" s="93" t="s">
        <v>271</v>
      </c>
      <c r="K61" s="45"/>
    </row>
    <row r="62" spans="1:12" ht="12.75" customHeight="1" x14ac:dyDescent="0.15">
      <c r="A62" s="22" t="s">
        <v>272</v>
      </c>
      <c r="B62" s="22" t="s">
        <v>274</v>
      </c>
      <c r="C62" s="26"/>
      <c r="D62" s="51"/>
      <c r="E62" s="51"/>
      <c r="F62" s="73"/>
      <c r="G62" s="29"/>
      <c r="H62" s="30"/>
      <c r="I62" s="30">
        <v>0</v>
      </c>
      <c r="J62" s="30">
        <v>0</v>
      </c>
      <c r="K62" s="32"/>
      <c r="L62" s="75"/>
    </row>
    <row r="63" spans="1:12" ht="12.75" customHeight="1" x14ac:dyDescent="0.15">
      <c r="A63" s="34" t="s">
        <v>272</v>
      </c>
      <c r="B63" s="34" t="s">
        <v>273</v>
      </c>
      <c r="C63" s="39"/>
      <c r="D63" s="56"/>
      <c r="E63" s="56"/>
      <c r="F63" s="71"/>
      <c r="G63" s="42"/>
      <c r="H63" s="43"/>
      <c r="I63" s="43">
        <v>0</v>
      </c>
      <c r="J63" s="43">
        <v>0</v>
      </c>
      <c r="K63" s="45"/>
      <c r="L63" s="75"/>
    </row>
    <row r="64" spans="1:12" ht="12.75" customHeight="1" x14ac:dyDescent="0.15">
      <c r="A64" s="32" t="s">
        <v>275</v>
      </c>
      <c r="B64" s="32" t="s">
        <v>276</v>
      </c>
      <c r="C64" s="26">
        <f t="shared" ref="C64:C65" si="5">IF(SUM(D64:G64)&gt;0, 0, (SUM(D64:G64)))</f>
        <v>-50</v>
      </c>
      <c r="D64" s="51">
        <v>0</v>
      </c>
      <c r="E64" s="51">
        <v>0</v>
      </c>
      <c r="F64" s="73">
        <v>-50</v>
      </c>
      <c r="G64" s="29">
        <v>0</v>
      </c>
      <c r="H64" s="30">
        <v>0</v>
      </c>
      <c r="I64" s="30">
        <v>0</v>
      </c>
      <c r="J64" s="30">
        <v>0</v>
      </c>
      <c r="K64" s="32"/>
      <c r="L64" s="75"/>
    </row>
    <row r="65" spans="1:15" ht="12.75" customHeight="1" x14ac:dyDescent="0.15">
      <c r="A65" s="45" t="s">
        <v>275</v>
      </c>
      <c r="B65" s="45" t="s">
        <v>278</v>
      </c>
      <c r="C65" s="39">
        <f t="shared" si="5"/>
        <v>-50</v>
      </c>
      <c r="D65" s="56">
        <v>0</v>
      </c>
      <c r="E65" s="56">
        <v>0</v>
      </c>
      <c r="F65" s="71">
        <v>-50</v>
      </c>
      <c r="G65" s="42">
        <v>0</v>
      </c>
      <c r="H65" s="43">
        <v>0</v>
      </c>
      <c r="I65" s="43">
        <v>0</v>
      </c>
      <c r="J65" s="43">
        <v>0</v>
      </c>
      <c r="K65" s="45"/>
    </row>
    <row r="66" spans="1:15" ht="12.75" customHeight="1" x14ac:dyDescent="0.15">
      <c r="A66" s="78" t="s">
        <v>279</v>
      </c>
      <c r="B66" s="124" t="s">
        <v>280</v>
      </c>
      <c r="C66" s="26"/>
      <c r="D66" s="51"/>
      <c r="E66" s="51"/>
      <c r="F66" s="29"/>
      <c r="G66" s="29"/>
      <c r="H66" s="30"/>
      <c r="I66" s="30">
        <v>0</v>
      </c>
      <c r="J66" s="30">
        <v>0</v>
      </c>
      <c r="K66" s="32"/>
    </row>
    <row r="67" spans="1:15" ht="12.75" customHeight="1" x14ac:dyDescent="0.15">
      <c r="A67" s="45" t="s">
        <v>282</v>
      </c>
      <c r="B67" s="45" t="s">
        <v>283</v>
      </c>
      <c r="C67" s="39">
        <f t="shared" ref="C67:C70" si="6">IF(SUM(D67:G67)&gt;0, 0, (SUM(D67:G67)))</f>
        <v>0</v>
      </c>
      <c r="D67" s="56">
        <v>0</v>
      </c>
      <c r="E67" s="56">
        <v>0</v>
      </c>
      <c r="F67" s="42">
        <v>0</v>
      </c>
      <c r="G67" s="42">
        <v>0</v>
      </c>
      <c r="H67" s="43">
        <v>50</v>
      </c>
      <c r="I67" s="43">
        <v>50</v>
      </c>
      <c r="J67" s="43">
        <v>0</v>
      </c>
      <c r="K67" s="45"/>
    </row>
    <row r="68" spans="1:15" ht="12.75" customHeight="1" x14ac:dyDescent="0.15">
      <c r="A68" s="32" t="s">
        <v>282</v>
      </c>
      <c r="B68" s="32" t="s">
        <v>284</v>
      </c>
      <c r="C68" s="26">
        <f t="shared" si="6"/>
        <v>0</v>
      </c>
      <c r="D68" s="51">
        <v>0</v>
      </c>
      <c r="E68" s="51">
        <v>0</v>
      </c>
      <c r="F68" s="29">
        <v>0</v>
      </c>
      <c r="G68" s="29">
        <v>0</v>
      </c>
      <c r="H68" s="90" t="s">
        <v>132</v>
      </c>
      <c r="I68" s="90" t="s">
        <v>132</v>
      </c>
      <c r="J68" s="90" t="s">
        <v>132</v>
      </c>
      <c r="K68" s="32"/>
    </row>
    <row r="69" spans="1:15" ht="12.75" customHeight="1" x14ac:dyDescent="0.15">
      <c r="A69" s="45" t="s">
        <v>194</v>
      </c>
      <c r="B69" s="45" t="s">
        <v>195</v>
      </c>
      <c r="C69" s="39">
        <f t="shared" si="6"/>
        <v>0</v>
      </c>
      <c r="D69" s="56">
        <v>0</v>
      </c>
      <c r="E69" s="56">
        <v>0</v>
      </c>
      <c r="F69" s="42">
        <v>0</v>
      </c>
      <c r="G69" s="42">
        <v>0</v>
      </c>
      <c r="H69" s="93" t="s">
        <v>271</v>
      </c>
      <c r="I69" s="43">
        <v>50</v>
      </c>
      <c r="J69" s="43">
        <v>50</v>
      </c>
      <c r="K69" s="45"/>
      <c r="N69" s="69"/>
      <c r="O69" s="126"/>
    </row>
    <row r="70" spans="1:15" ht="12.75" customHeight="1" x14ac:dyDescent="0.15">
      <c r="A70" s="32" t="s">
        <v>194</v>
      </c>
      <c r="B70" s="32" t="s">
        <v>199</v>
      </c>
      <c r="C70" s="26">
        <f t="shared" si="6"/>
        <v>0</v>
      </c>
      <c r="D70" s="51">
        <v>0</v>
      </c>
      <c r="E70" s="51">
        <v>0</v>
      </c>
      <c r="F70" s="29">
        <v>0</v>
      </c>
      <c r="G70" s="29">
        <v>0</v>
      </c>
      <c r="H70" s="30">
        <v>0</v>
      </c>
      <c r="I70" s="90" t="s">
        <v>271</v>
      </c>
      <c r="J70" s="30">
        <v>50</v>
      </c>
      <c r="K70" s="91"/>
    </row>
    <row r="71" spans="1:15" ht="12.75" customHeight="1" x14ac:dyDescent="0.15">
      <c r="A71" s="127" t="s">
        <v>61</v>
      </c>
      <c r="B71" s="128" t="s">
        <v>286</v>
      </c>
      <c r="C71" s="129">
        <f t="shared" ref="C71:E71" si="7">SUM(C2:C64)</f>
        <v>-2100</v>
      </c>
      <c r="D71" s="129">
        <f t="shared" si="7"/>
        <v>630</v>
      </c>
      <c r="E71" s="129">
        <f t="shared" si="7"/>
        <v>480</v>
      </c>
      <c r="F71" s="129">
        <f>SUM(F2:F69)</f>
        <v>-900</v>
      </c>
      <c r="G71" s="129">
        <f>SUM(G2:G52)</f>
        <v>-1200</v>
      </c>
      <c r="H71" s="130">
        <f>SUM(H2:H61)</f>
        <v>300</v>
      </c>
      <c r="I71" s="130">
        <f t="shared" ref="I71:J71" si="8">SUM(I2:I70)</f>
        <v>1400</v>
      </c>
      <c r="J71" s="130">
        <f t="shared" si="8"/>
        <v>1190</v>
      </c>
      <c r="K71" s="129">
        <f>SUM(K2:K61)</f>
        <v>0</v>
      </c>
    </row>
    <row r="72" spans="1:15" ht="12.75" customHeight="1" x14ac:dyDescent="0.15">
      <c r="A72" s="131" t="s">
        <v>287</v>
      </c>
      <c r="B72" s="132"/>
      <c r="C72" s="132"/>
      <c r="D72" s="132"/>
      <c r="E72" s="132"/>
      <c r="F72" s="132"/>
      <c r="G72" s="133" t="e">
        <f>SUM(G5,,#REF!,G26:G29,G35)</f>
        <v>#REF!</v>
      </c>
      <c r="H72" s="132"/>
      <c r="I72" s="132"/>
      <c r="J72" s="132"/>
      <c r="K72" s="132"/>
      <c r="L72" s="75"/>
      <c r="M72" s="75"/>
    </row>
    <row r="73" spans="1:15" ht="12.75" customHeight="1" x14ac:dyDescent="0.15">
      <c r="A73" s="134"/>
      <c r="B73" s="135"/>
      <c r="C73" s="135"/>
      <c r="D73" s="135"/>
      <c r="E73" s="135"/>
      <c r="F73" s="135"/>
      <c r="G73" s="136" t="e">
        <f>G71-G72</f>
        <v>#REF!</v>
      </c>
      <c r="H73" s="135"/>
      <c r="I73" s="135"/>
      <c r="J73" s="135"/>
      <c r="K73" s="135"/>
      <c r="L73" s="75"/>
      <c r="M73" s="75"/>
    </row>
    <row r="74" spans="1:15" ht="12.75" customHeight="1" x14ac:dyDescent="0.15">
      <c r="A74" s="137"/>
      <c r="B74" s="138"/>
      <c r="C74" s="138"/>
      <c r="D74" s="138"/>
      <c r="E74" s="138"/>
      <c r="F74" s="138"/>
      <c r="G74" s="139">
        <f>4000/3</f>
        <v>1333.3333333333333</v>
      </c>
      <c r="H74" s="138"/>
      <c r="I74" s="138"/>
      <c r="J74" s="138"/>
      <c r="K74" s="138"/>
      <c r="L74" s="75"/>
      <c r="M74" s="75"/>
    </row>
    <row r="75" spans="1:15" ht="12.75" customHeight="1" x14ac:dyDescent="0.15">
      <c r="A75" s="140"/>
      <c r="B75" s="140"/>
      <c r="C75" s="140"/>
      <c r="D75" s="140"/>
      <c r="E75" s="140"/>
      <c r="F75" s="140"/>
      <c r="G75" s="141"/>
      <c r="H75" s="140"/>
      <c r="I75" s="75"/>
      <c r="J75" s="75"/>
      <c r="K75" s="75"/>
      <c r="L75" s="75"/>
      <c r="M75" s="75"/>
    </row>
    <row r="76" spans="1:15" ht="12.75" customHeight="1" x14ac:dyDescent="0.15">
      <c r="A76" s="98"/>
      <c r="B76" s="98"/>
      <c r="C76" s="98"/>
      <c r="D76" s="98"/>
      <c r="E76" s="98"/>
      <c r="F76" s="98"/>
      <c r="G76" s="142"/>
      <c r="H76" s="98"/>
      <c r="I76" s="75"/>
      <c r="J76" s="75"/>
      <c r="K76" s="75"/>
      <c r="L76" s="75"/>
      <c r="M76" s="75"/>
    </row>
    <row r="77" spans="1:15" ht="12.75" customHeight="1" x14ac:dyDescent="0.15">
      <c r="A77" s="98"/>
      <c r="B77" s="98"/>
      <c r="C77" s="98"/>
      <c r="D77" s="98"/>
      <c r="E77" s="98"/>
      <c r="F77" s="98"/>
      <c r="G77" s="142"/>
      <c r="H77" s="98"/>
      <c r="I77" s="75"/>
      <c r="J77" s="75"/>
      <c r="K77" s="75"/>
      <c r="L77" s="75"/>
      <c r="M77" s="75"/>
    </row>
    <row r="78" spans="1:15" ht="12.75" customHeight="1" x14ac:dyDescent="0.15">
      <c r="A78" s="98"/>
      <c r="B78" s="98"/>
      <c r="C78" s="98"/>
      <c r="D78" s="98"/>
      <c r="E78" s="98"/>
      <c r="F78" s="98"/>
      <c r="G78" s="142"/>
      <c r="H78" s="98"/>
      <c r="I78" s="75"/>
      <c r="J78" s="75"/>
      <c r="K78" s="75"/>
      <c r="L78" s="75"/>
      <c r="M78" s="75"/>
    </row>
    <row r="79" spans="1:15" ht="12.75" customHeight="1" x14ac:dyDescent="0.15">
      <c r="A79" s="98"/>
      <c r="B79" s="98"/>
      <c r="C79" s="98"/>
      <c r="D79" s="98"/>
      <c r="E79" s="98"/>
      <c r="F79" s="98"/>
      <c r="G79" s="142"/>
      <c r="H79" s="98"/>
      <c r="I79" s="75"/>
      <c r="J79" s="75"/>
      <c r="K79" s="75"/>
      <c r="L79" s="75"/>
      <c r="M79" s="75"/>
    </row>
    <row r="80" spans="1:15" ht="12.75" customHeight="1" x14ac:dyDescent="0.15">
      <c r="A80" s="98"/>
      <c r="B80" s="98"/>
      <c r="C80" s="98"/>
      <c r="D80" s="98"/>
      <c r="E80" s="98"/>
      <c r="F80" s="98"/>
      <c r="G80" s="142"/>
      <c r="H80" s="98"/>
      <c r="I80" s="75"/>
      <c r="J80" s="75"/>
      <c r="K80" s="75"/>
      <c r="L80" s="75"/>
      <c r="M80" s="75"/>
    </row>
    <row r="81" spans="1:13" ht="12.75" customHeight="1" x14ac:dyDescent="0.15">
      <c r="A81" s="98"/>
      <c r="B81" s="98"/>
      <c r="C81" s="98"/>
      <c r="D81" s="98"/>
      <c r="E81" s="98"/>
      <c r="F81" s="98"/>
      <c r="G81" s="142"/>
      <c r="H81" s="98"/>
      <c r="I81" s="75"/>
      <c r="J81" s="75"/>
      <c r="K81" s="75"/>
      <c r="L81" s="75"/>
      <c r="M81" s="75"/>
    </row>
    <row r="82" spans="1:13" ht="12.75" customHeight="1" x14ac:dyDescent="0.15">
      <c r="A82" s="98"/>
      <c r="B82" s="98"/>
      <c r="C82" s="98"/>
      <c r="D82" s="98"/>
      <c r="E82" s="98"/>
      <c r="F82" s="98"/>
      <c r="G82" s="142"/>
      <c r="H82" s="98"/>
      <c r="I82" s="75"/>
      <c r="J82" s="75"/>
      <c r="K82" s="75"/>
      <c r="L82" s="75"/>
      <c r="M82" s="75"/>
    </row>
    <row r="83" spans="1:13" ht="12.75" customHeight="1" x14ac:dyDescent="0.15">
      <c r="A83" s="98"/>
      <c r="B83" s="98"/>
      <c r="C83" s="98"/>
      <c r="D83" s="98"/>
      <c r="E83" s="98"/>
      <c r="F83" s="98"/>
      <c r="G83" s="142"/>
      <c r="H83" s="98"/>
      <c r="I83" s="75"/>
      <c r="J83" s="75"/>
      <c r="K83" s="75"/>
      <c r="L83" s="75"/>
      <c r="M83" s="75"/>
    </row>
    <row r="84" spans="1:13" ht="12.75" customHeight="1" x14ac:dyDescent="0.15">
      <c r="A84" s="98"/>
      <c r="B84" s="98"/>
      <c r="C84" s="98"/>
      <c r="D84" s="98"/>
      <c r="E84" s="98"/>
      <c r="F84" s="98"/>
      <c r="G84" s="142"/>
      <c r="H84" s="98"/>
      <c r="I84" s="75"/>
      <c r="J84" s="75"/>
      <c r="K84" s="75"/>
      <c r="L84" s="75"/>
      <c r="M84" s="75"/>
    </row>
    <row r="85" spans="1:13" ht="12.75" customHeight="1" x14ac:dyDescent="0.15">
      <c r="A85" s="98"/>
      <c r="B85" s="98"/>
      <c r="C85" s="98"/>
      <c r="D85" s="98"/>
      <c r="E85" s="98"/>
      <c r="F85" s="98"/>
      <c r="G85" s="142"/>
      <c r="H85" s="98"/>
      <c r="I85" s="75"/>
      <c r="J85" s="75"/>
      <c r="K85" s="75"/>
      <c r="L85" s="75"/>
      <c r="M85" s="75"/>
    </row>
    <row r="86" spans="1:13" ht="12.75" customHeight="1" x14ac:dyDescent="0.15">
      <c r="A86" s="98"/>
      <c r="B86" s="98"/>
      <c r="C86" s="98"/>
      <c r="D86" s="98"/>
      <c r="E86" s="98"/>
      <c r="F86" s="98"/>
      <c r="G86" s="142"/>
      <c r="H86" s="98"/>
      <c r="I86" s="75"/>
      <c r="J86" s="75"/>
      <c r="K86" s="75"/>
      <c r="L86" s="75"/>
      <c r="M86" s="75"/>
    </row>
    <row r="87" spans="1:13" ht="12.75" customHeight="1" x14ac:dyDescent="0.15">
      <c r="A87" s="98"/>
      <c r="B87" s="98"/>
      <c r="C87" s="98"/>
      <c r="D87" s="98"/>
      <c r="E87" s="98"/>
      <c r="F87" s="98"/>
      <c r="G87" s="142"/>
      <c r="H87" s="98"/>
      <c r="I87" s="75"/>
      <c r="J87" s="75"/>
      <c r="K87" s="75"/>
      <c r="L87" s="75"/>
      <c r="M87" s="75"/>
    </row>
    <row r="88" spans="1:13" ht="12.75" customHeight="1" x14ac:dyDescent="0.15">
      <c r="A88" s="98"/>
      <c r="B88" s="98"/>
      <c r="C88" s="98"/>
      <c r="D88" s="98"/>
      <c r="E88" s="98"/>
      <c r="F88" s="98"/>
      <c r="G88" s="142"/>
      <c r="H88" s="98"/>
      <c r="I88" s="75"/>
      <c r="J88" s="75"/>
      <c r="K88" s="75"/>
      <c r="L88" s="75"/>
      <c r="M88" s="75"/>
    </row>
    <row r="89" spans="1:13" ht="12.75" customHeight="1" x14ac:dyDescent="0.15">
      <c r="A89" s="98"/>
      <c r="B89" s="98"/>
      <c r="C89" s="98"/>
      <c r="D89" s="98"/>
      <c r="E89" s="98"/>
      <c r="F89" s="98"/>
      <c r="G89" s="142"/>
      <c r="H89" s="98"/>
      <c r="I89" s="75"/>
      <c r="J89" s="75"/>
      <c r="K89" s="75"/>
      <c r="L89" s="75"/>
      <c r="M89" s="75"/>
    </row>
    <row r="90" spans="1:13" ht="12.75" customHeight="1" x14ac:dyDescent="0.15">
      <c r="A90" s="98"/>
      <c r="B90" s="98"/>
      <c r="C90" s="98"/>
      <c r="D90" s="98"/>
      <c r="E90" s="98"/>
      <c r="F90" s="98"/>
      <c r="G90" s="142"/>
      <c r="H90" s="98"/>
      <c r="I90" s="75"/>
      <c r="J90" s="75"/>
      <c r="K90" s="75"/>
      <c r="L90" s="75"/>
      <c r="M90" s="75"/>
    </row>
    <row r="91" spans="1:13" ht="12.75" customHeight="1" x14ac:dyDescent="0.15">
      <c r="A91" s="98"/>
      <c r="B91" s="98"/>
      <c r="C91" s="98"/>
      <c r="D91" s="98"/>
      <c r="E91" s="98"/>
      <c r="F91" s="98"/>
      <c r="G91" s="142"/>
      <c r="H91" s="98"/>
      <c r="I91" s="75"/>
      <c r="J91" s="75"/>
      <c r="K91" s="75"/>
      <c r="L91" s="75"/>
      <c r="M91" s="75"/>
    </row>
    <row r="92" spans="1:13" ht="12.75" customHeight="1" x14ac:dyDescent="0.15">
      <c r="A92" s="98"/>
      <c r="B92" s="98"/>
      <c r="C92" s="98"/>
      <c r="D92" s="98"/>
      <c r="E92" s="98"/>
      <c r="F92" s="98"/>
      <c r="G92" s="142"/>
      <c r="H92" s="98"/>
      <c r="I92" s="75"/>
      <c r="J92" s="75"/>
      <c r="K92" s="75"/>
      <c r="L92" s="75"/>
      <c r="M92" s="75"/>
    </row>
    <row r="93" spans="1:13" ht="12.75" customHeight="1" x14ac:dyDescent="0.15">
      <c r="A93" s="98"/>
      <c r="B93" s="98"/>
      <c r="C93" s="98"/>
      <c r="D93" s="98"/>
      <c r="E93" s="98"/>
      <c r="F93" s="98"/>
      <c r="G93" s="142"/>
      <c r="H93" s="98"/>
    </row>
    <row r="94" spans="1:13" ht="12.75" customHeight="1" x14ac:dyDescent="0.15">
      <c r="A94" s="98"/>
      <c r="B94" s="98"/>
      <c r="C94" s="98"/>
      <c r="D94" s="98"/>
      <c r="E94" s="98"/>
      <c r="F94" s="98"/>
      <c r="G94" s="142"/>
      <c r="H94" s="98"/>
    </row>
    <row r="95" spans="1:13" ht="12.75" customHeight="1" x14ac:dyDescent="0.15">
      <c r="A95" s="98"/>
      <c r="B95" s="98"/>
      <c r="C95" s="98"/>
      <c r="D95" s="98"/>
      <c r="E95" s="98"/>
      <c r="F95" s="98"/>
      <c r="G95" s="142"/>
      <c r="H95" s="98"/>
    </row>
    <row r="96" spans="1:13" ht="12.75" customHeight="1" x14ac:dyDescent="0.15">
      <c r="A96" s="98"/>
      <c r="B96" s="98"/>
      <c r="C96" s="98"/>
      <c r="D96" s="98"/>
      <c r="E96" s="98"/>
      <c r="F96" s="98"/>
      <c r="G96" s="142"/>
      <c r="H96" s="98"/>
    </row>
    <row r="97" spans="1:8" ht="12.75" customHeight="1" x14ac:dyDescent="0.15">
      <c r="A97" s="98"/>
      <c r="B97" s="98"/>
      <c r="C97" s="98"/>
      <c r="D97" s="98"/>
      <c r="E97" s="98"/>
      <c r="F97" s="98"/>
      <c r="G97" s="142"/>
      <c r="H97" s="98"/>
    </row>
    <row r="98" spans="1:8" ht="12.75" customHeight="1" x14ac:dyDescent="0.15">
      <c r="A98" s="98"/>
      <c r="B98" s="98"/>
      <c r="C98" s="98"/>
      <c r="D98" s="98"/>
      <c r="E98" s="98"/>
      <c r="F98" s="98"/>
      <c r="G98" s="142"/>
      <c r="H98" s="98"/>
    </row>
    <row r="99" spans="1:8" ht="12.75" customHeight="1" x14ac:dyDescent="0.15">
      <c r="A99" s="98"/>
      <c r="B99" s="98"/>
      <c r="C99" s="98"/>
      <c r="D99" s="98"/>
      <c r="E99" s="98"/>
      <c r="F99" s="98"/>
      <c r="G99" s="142"/>
      <c r="H99" s="98"/>
    </row>
    <row r="100" spans="1:8" ht="12.75" customHeight="1" x14ac:dyDescent="0.15">
      <c r="A100" s="98"/>
      <c r="B100" s="98"/>
      <c r="C100" s="98"/>
      <c r="D100" s="98"/>
      <c r="E100" s="98"/>
      <c r="F100" s="98"/>
      <c r="G100" s="142"/>
      <c r="H100" s="98"/>
    </row>
    <row r="101" spans="1:8" ht="12.75" customHeight="1" x14ac:dyDescent="0.15">
      <c r="A101" s="98"/>
      <c r="B101" s="98"/>
      <c r="C101" s="98"/>
      <c r="D101" s="98"/>
      <c r="E101" s="98"/>
      <c r="F101" s="98"/>
      <c r="G101" s="142"/>
      <c r="H101" s="98"/>
    </row>
    <row r="102" spans="1:8" ht="12.75" customHeight="1" x14ac:dyDescent="0.15">
      <c r="A102" s="98"/>
      <c r="B102" s="98"/>
      <c r="C102" s="98"/>
      <c r="D102" s="98"/>
      <c r="E102" s="98"/>
      <c r="F102" s="98"/>
      <c r="G102" s="142"/>
      <c r="H102" s="98"/>
    </row>
    <row r="103" spans="1:8" ht="12.75" customHeight="1" x14ac:dyDescent="0.15">
      <c r="A103" s="98"/>
      <c r="B103" s="98"/>
      <c r="C103" s="98"/>
      <c r="D103" s="98"/>
      <c r="E103" s="98"/>
      <c r="F103" s="98"/>
      <c r="G103" s="142"/>
      <c r="H103" s="98"/>
    </row>
    <row r="104" spans="1:8" ht="12.75" customHeight="1" x14ac:dyDescent="0.15">
      <c r="A104" s="98"/>
      <c r="B104" s="98"/>
      <c r="C104" s="98"/>
      <c r="D104" s="98"/>
      <c r="E104" s="98"/>
      <c r="F104" s="98"/>
      <c r="G104" s="142"/>
      <c r="H104" s="98"/>
    </row>
    <row r="105" spans="1:8" ht="12.75" customHeight="1" x14ac:dyDescent="0.15">
      <c r="A105" s="98"/>
      <c r="B105" s="98"/>
      <c r="C105" s="98"/>
      <c r="D105" s="98"/>
      <c r="E105" s="98"/>
      <c r="F105" s="98"/>
      <c r="G105" s="142"/>
      <c r="H105" s="98"/>
    </row>
    <row r="106" spans="1:8" ht="12.75" customHeight="1" x14ac:dyDescent="0.15">
      <c r="A106" s="98"/>
      <c r="B106" s="98"/>
      <c r="C106" s="98"/>
      <c r="D106" s="98"/>
      <c r="E106" s="98"/>
      <c r="F106" s="98"/>
      <c r="G106" s="142"/>
      <c r="H106" s="98"/>
    </row>
    <row r="107" spans="1:8" ht="12.75" customHeight="1" x14ac:dyDescent="0.15">
      <c r="A107" s="98"/>
      <c r="B107" s="98"/>
      <c r="C107" s="98"/>
      <c r="D107" s="98"/>
      <c r="E107" s="98"/>
      <c r="F107" s="98"/>
      <c r="G107" s="142"/>
      <c r="H107" s="98"/>
    </row>
    <row r="108" spans="1:8" ht="12.75" customHeight="1" x14ac:dyDescent="0.15">
      <c r="A108" s="98"/>
      <c r="B108" s="98"/>
      <c r="C108" s="98"/>
      <c r="D108" s="98"/>
      <c r="E108" s="98"/>
      <c r="F108" s="98"/>
      <c r="G108" s="142"/>
      <c r="H108" s="98"/>
    </row>
    <row r="109" spans="1:8" ht="12.75" customHeight="1" x14ac:dyDescent="0.15">
      <c r="A109" s="98"/>
      <c r="B109" s="98"/>
      <c r="C109" s="98"/>
      <c r="D109" s="98"/>
      <c r="E109" s="98"/>
      <c r="F109" s="98"/>
      <c r="G109" s="142"/>
      <c r="H109" s="98"/>
    </row>
    <row r="110" spans="1:8" ht="12.75" customHeight="1" x14ac:dyDescent="0.15">
      <c r="A110" s="98"/>
      <c r="B110" s="98"/>
      <c r="C110" s="98"/>
      <c r="D110" s="98"/>
      <c r="E110" s="98"/>
      <c r="F110" s="98"/>
      <c r="G110" s="142"/>
      <c r="H110" s="98"/>
    </row>
    <row r="111" spans="1:8" ht="12.75" customHeight="1" x14ac:dyDescent="0.15">
      <c r="A111" s="98"/>
      <c r="B111" s="98"/>
      <c r="C111" s="98"/>
      <c r="D111" s="98"/>
      <c r="E111" s="98"/>
      <c r="F111" s="98"/>
      <c r="G111" s="142"/>
      <c r="H111" s="98"/>
    </row>
    <row r="112" spans="1:8" ht="12.75" customHeight="1" x14ac:dyDescent="0.15">
      <c r="A112" s="98"/>
      <c r="B112" s="98"/>
      <c r="C112" s="98"/>
      <c r="D112" s="98"/>
      <c r="E112" s="98"/>
      <c r="F112" s="98"/>
      <c r="G112" s="142"/>
      <c r="H112" s="98"/>
    </row>
    <row r="113" spans="1:8" ht="12.75" customHeight="1" x14ac:dyDescent="0.15">
      <c r="A113" s="98"/>
      <c r="B113" s="98"/>
      <c r="C113" s="98"/>
      <c r="D113" s="98"/>
      <c r="E113" s="98"/>
      <c r="F113" s="98"/>
      <c r="G113" s="142"/>
      <c r="H113" s="98"/>
    </row>
    <row r="114" spans="1:8" ht="12.75" customHeight="1" x14ac:dyDescent="0.15">
      <c r="A114" s="98"/>
      <c r="B114" s="98"/>
      <c r="C114" s="98"/>
      <c r="D114" s="98"/>
      <c r="E114" s="98"/>
      <c r="F114" s="98"/>
      <c r="G114" s="142"/>
      <c r="H114" s="98"/>
    </row>
    <row r="115" spans="1:8" ht="12.75" customHeight="1" x14ac:dyDescent="0.15">
      <c r="A115" s="98"/>
      <c r="B115" s="98"/>
      <c r="C115" s="98"/>
      <c r="D115" s="98"/>
      <c r="E115" s="98"/>
      <c r="F115" s="98"/>
      <c r="G115" s="142"/>
      <c r="H115" s="98"/>
    </row>
    <row r="116" spans="1:8" ht="12.75" customHeight="1" x14ac:dyDescent="0.15">
      <c r="A116" s="98"/>
      <c r="B116" s="98"/>
      <c r="C116" s="98"/>
      <c r="D116" s="98"/>
      <c r="E116" s="98"/>
      <c r="F116" s="98"/>
      <c r="G116" s="142"/>
      <c r="H116" s="98"/>
    </row>
    <row r="117" spans="1:8" ht="12.75" customHeight="1" x14ac:dyDescent="0.15">
      <c r="A117" s="98"/>
      <c r="B117" s="98"/>
      <c r="C117" s="98"/>
      <c r="D117" s="98"/>
      <c r="E117" s="98"/>
      <c r="F117" s="98"/>
      <c r="G117" s="142"/>
      <c r="H117" s="98"/>
    </row>
    <row r="118" spans="1:8" ht="12.75" customHeight="1" x14ac:dyDescent="0.15">
      <c r="A118" s="98"/>
      <c r="B118" s="98"/>
      <c r="C118" s="98"/>
      <c r="D118" s="98"/>
      <c r="E118" s="98"/>
      <c r="F118" s="98"/>
      <c r="G118" s="142"/>
      <c r="H118" s="98"/>
    </row>
    <row r="119" spans="1:8" ht="12.75" customHeight="1" x14ac:dyDescent="0.15">
      <c r="A119" s="98"/>
      <c r="B119" s="98"/>
      <c r="C119" s="98"/>
      <c r="D119" s="98"/>
      <c r="E119" s="98"/>
      <c r="F119" s="98"/>
      <c r="G119" s="142"/>
      <c r="H119" s="98"/>
    </row>
    <row r="120" spans="1:8" ht="12.75" customHeight="1" x14ac:dyDescent="0.15">
      <c r="A120" s="98"/>
      <c r="B120" s="98"/>
      <c r="C120" s="98"/>
      <c r="D120" s="98"/>
      <c r="E120" s="98"/>
      <c r="F120" s="98"/>
      <c r="G120" s="142"/>
      <c r="H120" s="98"/>
    </row>
    <row r="121" spans="1:8" ht="12.75" customHeight="1" x14ac:dyDescent="0.15">
      <c r="A121" s="98"/>
      <c r="B121" s="98"/>
      <c r="C121" s="98"/>
      <c r="D121" s="98"/>
      <c r="E121" s="98"/>
      <c r="F121" s="98"/>
      <c r="G121" s="142"/>
      <c r="H121" s="98"/>
    </row>
    <row r="122" spans="1:8" ht="12.75" customHeight="1" x14ac:dyDescent="0.15">
      <c r="A122" s="98"/>
      <c r="B122" s="98"/>
      <c r="C122" s="98"/>
      <c r="D122" s="98"/>
      <c r="E122" s="98"/>
      <c r="F122" s="98"/>
      <c r="G122" s="142"/>
      <c r="H122" s="98"/>
    </row>
    <row r="123" spans="1:8" ht="12.75" customHeight="1" x14ac:dyDescent="0.15">
      <c r="A123" s="98"/>
      <c r="B123" s="98"/>
      <c r="C123" s="98"/>
      <c r="D123" s="98"/>
      <c r="E123" s="98"/>
      <c r="F123" s="98"/>
      <c r="G123" s="142"/>
      <c r="H123" s="98"/>
    </row>
    <row r="124" spans="1:8" ht="12.75" customHeight="1" x14ac:dyDescent="0.15">
      <c r="A124" s="98"/>
      <c r="B124" s="98"/>
      <c r="C124" s="98"/>
      <c r="D124" s="98"/>
      <c r="E124" s="98"/>
      <c r="F124" s="98"/>
      <c r="G124" s="142"/>
      <c r="H124" s="98"/>
    </row>
    <row r="125" spans="1:8" ht="12.75" customHeight="1" x14ac:dyDescent="0.15">
      <c r="A125" s="98"/>
      <c r="B125" s="98"/>
      <c r="C125" s="98"/>
      <c r="D125" s="98"/>
      <c r="E125" s="98"/>
      <c r="F125" s="98"/>
      <c r="G125" s="142"/>
      <c r="H125" s="98"/>
    </row>
    <row r="126" spans="1:8" ht="12.75" customHeight="1" x14ac:dyDescent="0.15">
      <c r="A126" s="98"/>
      <c r="B126" s="98"/>
      <c r="C126" s="98"/>
      <c r="D126" s="98"/>
      <c r="E126" s="98"/>
      <c r="F126" s="98"/>
      <c r="G126" s="142"/>
      <c r="H126" s="98"/>
    </row>
    <row r="127" spans="1:8" ht="12.75" customHeight="1" x14ac:dyDescent="0.15">
      <c r="A127" s="98"/>
      <c r="B127" s="98"/>
      <c r="C127" s="98"/>
      <c r="D127" s="98"/>
      <c r="E127" s="98"/>
      <c r="F127" s="98"/>
      <c r="G127" s="142"/>
      <c r="H127" s="98"/>
    </row>
    <row r="128" spans="1:8" ht="12.75" customHeight="1" x14ac:dyDescent="0.15">
      <c r="A128" s="98"/>
      <c r="B128" s="98"/>
      <c r="C128" s="98"/>
      <c r="D128" s="98"/>
      <c r="E128" s="98"/>
      <c r="F128" s="98"/>
      <c r="G128" s="142"/>
      <c r="H128" s="98"/>
    </row>
    <row r="129" spans="1:8" ht="12.75" customHeight="1" x14ac:dyDescent="0.15">
      <c r="A129" s="98"/>
      <c r="B129" s="98"/>
      <c r="C129" s="98"/>
      <c r="D129" s="98"/>
      <c r="E129" s="98"/>
      <c r="F129" s="98"/>
      <c r="G129" s="142"/>
      <c r="H129" s="98"/>
    </row>
    <row r="130" spans="1:8" ht="12.75" customHeight="1" x14ac:dyDescent="0.15">
      <c r="A130" s="98"/>
      <c r="B130" s="98"/>
      <c r="C130" s="98"/>
      <c r="D130" s="98"/>
      <c r="E130" s="98"/>
      <c r="F130" s="98"/>
      <c r="G130" s="142"/>
      <c r="H130" s="98"/>
    </row>
    <row r="131" spans="1:8" ht="12.75" customHeight="1" x14ac:dyDescent="0.15">
      <c r="A131" s="98"/>
      <c r="B131" s="98"/>
      <c r="C131" s="98"/>
      <c r="D131" s="98"/>
      <c r="E131" s="98"/>
      <c r="F131" s="98"/>
      <c r="G131" s="142"/>
      <c r="H131" s="98"/>
    </row>
    <row r="132" spans="1:8" ht="12.75" customHeight="1" x14ac:dyDescent="0.15">
      <c r="A132" s="98"/>
      <c r="B132" s="98"/>
      <c r="C132" s="98"/>
      <c r="D132" s="98"/>
      <c r="E132" s="98"/>
      <c r="F132" s="98"/>
      <c r="G132" s="142"/>
      <c r="H132" s="98"/>
    </row>
    <row r="133" spans="1:8" ht="12.75" customHeight="1" x14ac:dyDescent="0.15">
      <c r="A133" s="98"/>
      <c r="B133" s="98"/>
      <c r="C133" s="98"/>
      <c r="D133" s="98"/>
      <c r="E133" s="98"/>
      <c r="F133" s="98"/>
      <c r="G133" s="142"/>
      <c r="H133" s="98"/>
    </row>
    <row r="134" spans="1:8" ht="12.75" customHeight="1" x14ac:dyDescent="0.15">
      <c r="A134" s="98"/>
      <c r="B134" s="98"/>
      <c r="C134" s="98"/>
      <c r="D134" s="98"/>
      <c r="E134" s="98"/>
      <c r="F134" s="98"/>
      <c r="G134" s="142"/>
      <c r="H134" s="98"/>
    </row>
    <row r="135" spans="1:8" ht="12.75" customHeight="1" x14ac:dyDescent="0.15">
      <c r="A135" s="98"/>
      <c r="B135" s="98"/>
      <c r="C135" s="98"/>
      <c r="D135" s="98"/>
      <c r="E135" s="98"/>
      <c r="F135" s="98"/>
      <c r="G135" s="142"/>
      <c r="H135" s="98"/>
    </row>
    <row r="136" spans="1:8" ht="12.75" customHeight="1" x14ac:dyDescent="0.15">
      <c r="A136" s="98"/>
      <c r="B136" s="98"/>
      <c r="C136" s="98"/>
      <c r="D136" s="98"/>
      <c r="E136" s="98"/>
      <c r="F136" s="98"/>
      <c r="G136" s="142"/>
      <c r="H136" s="98"/>
    </row>
    <row r="137" spans="1:8" ht="12.75" customHeight="1" x14ac:dyDescent="0.15">
      <c r="A137" s="98"/>
      <c r="B137" s="98"/>
      <c r="C137" s="98"/>
      <c r="D137" s="98"/>
      <c r="E137" s="98"/>
      <c r="F137" s="98"/>
      <c r="G137" s="142"/>
      <c r="H137" s="98"/>
    </row>
    <row r="138" spans="1:8" ht="12.75" customHeight="1" x14ac:dyDescent="0.15">
      <c r="A138" s="98"/>
      <c r="B138" s="98"/>
      <c r="C138" s="98"/>
      <c r="D138" s="98"/>
      <c r="E138" s="98"/>
      <c r="F138" s="98"/>
      <c r="G138" s="142"/>
      <c r="H138" s="98"/>
    </row>
    <row r="139" spans="1:8" ht="12.75" customHeight="1" x14ac:dyDescent="0.15">
      <c r="A139" s="98"/>
      <c r="B139" s="98"/>
      <c r="C139" s="98"/>
      <c r="D139" s="98"/>
      <c r="E139" s="98"/>
      <c r="F139" s="98"/>
      <c r="G139" s="142"/>
      <c r="H139" s="98"/>
    </row>
    <row r="140" spans="1:8" ht="12.75" customHeight="1" x14ac:dyDescent="0.15">
      <c r="A140" s="98"/>
      <c r="B140" s="98"/>
      <c r="C140" s="98"/>
      <c r="D140" s="98"/>
      <c r="E140" s="98"/>
      <c r="F140" s="98"/>
      <c r="G140" s="142"/>
      <c r="H140" s="98"/>
    </row>
    <row r="141" spans="1:8" ht="12.75" customHeight="1" x14ac:dyDescent="0.15">
      <c r="A141" s="98"/>
      <c r="B141" s="98"/>
      <c r="C141" s="98"/>
      <c r="D141" s="98"/>
      <c r="E141" s="98"/>
      <c r="F141" s="98"/>
      <c r="G141" s="142"/>
      <c r="H141" s="98"/>
    </row>
    <row r="142" spans="1:8" ht="12.75" customHeight="1" x14ac:dyDescent="0.15">
      <c r="A142" s="98"/>
      <c r="B142" s="98"/>
      <c r="C142" s="98"/>
      <c r="D142" s="98"/>
      <c r="E142" s="98"/>
      <c r="F142" s="98"/>
      <c r="G142" s="142"/>
      <c r="H142" s="98"/>
    </row>
    <row r="143" spans="1:8" ht="12.75" customHeight="1" x14ac:dyDescent="0.15">
      <c r="A143" s="98"/>
      <c r="B143" s="98"/>
      <c r="C143" s="98"/>
      <c r="D143" s="98"/>
      <c r="E143" s="98"/>
      <c r="F143" s="98"/>
      <c r="G143" s="142"/>
      <c r="H143" s="98"/>
    </row>
    <row r="144" spans="1:8" ht="12.75" customHeight="1" x14ac:dyDescent="0.15">
      <c r="A144" s="98"/>
      <c r="B144" s="98"/>
      <c r="C144" s="98"/>
      <c r="D144" s="98"/>
      <c r="E144" s="98"/>
      <c r="F144" s="98"/>
      <c r="G144" s="142"/>
      <c r="H144" s="98"/>
    </row>
    <row r="145" spans="1:8" ht="12.75" customHeight="1" x14ac:dyDescent="0.15">
      <c r="A145" s="98"/>
      <c r="B145" s="98"/>
      <c r="C145" s="98"/>
      <c r="D145" s="98"/>
      <c r="E145" s="98"/>
      <c r="F145" s="98"/>
      <c r="G145" s="142"/>
      <c r="H145" s="98"/>
    </row>
    <row r="146" spans="1:8" ht="12.75" customHeight="1" x14ac:dyDescent="0.15">
      <c r="A146" s="98"/>
      <c r="B146" s="98"/>
      <c r="C146" s="98"/>
      <c r="D146" s="98"/>
      <c r="E146" s="98"/>
      <c r="F146" s="98"/>
      <c r="G146" s="142"/>
      <c r="H146" s="98"/>
    </row>
    <row r="147" spans="1:8" ht="12.75" customHeight="1" x14ac:dyDescent="0.15">
      <c r="A147" s="98"/>
      <c r="B147" s="98"/>
      <c r="C147" s="98"/>
      <c r="D147" s="98"/>
      <c r="E147" s="98"/>
      <c r="F147" s="98"/>
      <c r="G147" s="142"/>
      <c r="H147" s="98"/>
    </row>
    <row r="148" spans="1:8" ht="12.75" customHeight="1" x14ac:dyDescent="0.15">
      <c r="A148" s="98"/>
      <c r="B148" s="98"/>
      <c r="C148" s="98"/>
      <c r="D148" s="98"/>
      <c r="E148" s="98"/>
      <c r="F148" s="98"/>
      <c r="G148" s="142"/>
      <c r="H148" s="98"/>
    </row>
    <row r="149" spans="1:8" ht="12.75" customHeight="1" x14ac:dyDescent="0.15">
      <c r="A149" s="98"/>
      <c r="B149" s="98"/>
      <c r="C149" s="98"/>
      <c r="D149" s="98"/>
      <c r="E149" s="98"/>
      <c r="F149" s="98"/>
      <c r="G149" s="142"/>
      <c r="H149" s="98"/>
    </row>
    <row r="150" spans="1:8" ht="12.75" customHeight="1" x14ac:dyDescent="0.15">
      <c r="A150" s="98"/>
      <c r="B150" s="98"/>
      <c r="C150" s="98"/>
      <c r="D150" s="98"/>
      <c r="E150" s="98"/>
      <c r="F150" s="98"/>
      <c r="G150" s="142"/>
      <c r="H150" s="98"/>
    </row>
    <row r="151" spans="1:8" ht="12.75" customHeight="1" x14ac:dyDescent="0.15">
      <c r="A151" s="98"/>
      <c r="B151" s="98"/>
      <c r="C151" s="98"/>
      <c r="D151" s="98"/>
      <c r="E151" s="98"/>
      <c r="F151" s="98"/>
      <c r="G151" s="142"/>
      <c r="H151" s="98"/>
    </row>
    <row r="152" spans="1:8" ht="12.75" customHeight="1" x14ac:dyDescent="0.15">
      <c r="A152" s="98"/>
      <c r="B152" s="98"/>
      <c r="C152" s="98"/>
      <c r="D152" s="98"/>
      <c r="E152" s="98"/>
      <c r="F152" s="98"/>
      <c r="G152" s="142"/>
      <c r="H152" s="98"/>
    </row>
    <row r="153" spans="1:8" ht="12.75" customHeight="1" x14ac:dyDescent="0.15">
      <c r="A153" s="98"/>
      <c r="B153" s="98"/>
      <c r="C153" s="98"/>
      <c r="D153" s="98"/>
      <c r="E153" s="98"/>
      <c r="F153" s="98"/>
      <c r="G153" s="142"/>
      <c r="H153" s="98"/>
    </row>
    <row r="154" spans="1:8" ht="12.75" customHeight="1" x14ac:dyDescent="0.15">
      <c r="A154" s="98"/>
      <c r="B154" s="98"/>
      <c r="C154" s="98"/>
      <c r="D154" s="98"/>
      <c r="E154" s="98"/>
      <c r="F154" s="98"/>
      <c r="G154" s="142"/>
      <c r="H154" s="98"/>
    </row>
    <row r="155" spans="1:8" ht="12.75" customHeight="1" x14ac:dyDescent="0.15">
      <c r="A155" s="98"/>
      <c r="B155" s="98"/>
      <c r="C155" s="98"/>
      <c r="D155" s="98"/>
      <c r="E155" s="98"/>
      <c r="F155" s="98"/>
      <c r="G155" s="142"/>
      <c r="H155" s="98"/>
    </row>
    <row r="156" spans="1:8" ht="12.75" customHeight="1" x14ac:dyDescent="0.15">
      <c r="A156" s="98"/>
      <c r="B156" s="98"/>
      <c r="C156" s="98"/>
      <c r="D156" s="98"/>
      <c r="E156" s="98"/>
      <c r="F156" s="98"/>
      <c r="G156" s="142"/>
      <c r="H156" s="98"/>
    </row>
    <row r="157" spans="1:8" ht="12.75" customHeight="1" x14ac:dyDescent="0.15">
      <c r="A157" s="98"/>
      <c r="B157" s="98"/>
      <c r="C157" s="98"/>
      <c r="D157" s="98"/>
      <c r="E157" s="98"/>
      <c r="F157" s="98"/>
      <c r="G157" s="142"/>
      <c r="H157" s="98"/>
    </row>
    <row r="158" spans="1:8" ht="12.75" customHeight="1" x14ac:dyDescent="0.15">
      <c r="A158" s="98"/>
      <c r="B158" s="98"/>
      <c r="C158" s="98"/>
      <c r="D158" s="98"/>
      <c r="E158" s="98"/>
      <c r="F158" s="98"/>
      <c r="G158" s="142"/>
      <c r="H158" s="98"/>
    </row>
    <row r="159" spans="1:8" ht="12.75" customHeight="1" x14ac:dyDescent="0.15">
      <c r="A159" s="98"/>
      <c r="B159" s="98"/>
      <c r="C159" s="98"/>
      <c r="D159" s="98"/>
      <c r="E159" s="98"/>
      <c r="F159" s="98"/>
      <c r="G159" s="142"/>
      <c r="H159" s="98"/>
    </row>
    <row r="160" spans="1:8" ht="12.75" customHeight="1" x14ac:dyDescent="0.15">
      <c r="A160" s="98"/>
      <c r="B160" s="98"/>
      <c r="C160" s="98"/>
      <c r="D160" s="98"/>
      <c r="E160" s="98"/>
      <c r="F160" s="98"/>
      <c r="G160" s="142"/>
      <c r="H160" s="98"/>
    </row>
    <row r="161" spans="1:8" ht="12.75" customHeight="1" x14ac:dyDescent="0.15">
      <c r="A161" s="98"/>
      <c r="B161" s="98"/>
      <c r="C161" s="98"/>
      <c r="D161" s="98"/>
      <c r="E161" s="98"/>
      <c r="F161" s="98"/>
      <c r="G161" s="142"/>
      <c r="H161" s="98"/>
    </row>
    <row r="162" spans="1:8" ht="12.75" customHeight="1" x14ac:dyDescent="0.15">
      <c r="A162" s="98"/>
      <c r="B162" s="98"/>
      <c r="C162" s="98"/>
      <c r="D162" s="98"/>
      <c r="E162" s="98"/>
      <c r="F162" s="98"/>
      <c r="G162" s="142"/>
      <c r="H162" s="98"/>
    </row>
    <row r="163" spans="1:8" ht="12.75" customHeight="1" x14ac:dyDescent="0.15">
      <c r="A163" s="98"/>
      <c r="B163" s="98"/>
      <c r="C163" s="98"/>
      <c r="D163" s="98"/>
      <c r="E163" s="98"/>
      <c r="F163" s="98"/>
      <c r="G163" s="142"/>
      <c r="H163" s="98"/>
    </row>
    <row r="164" spans="1:8" ht="12.75" customHeight="1" x14ac:dyDescent="0.15">
      <c r="A164" s="98"/>
      <c r="B164" s="98"/>
      <c r="C164" s="98"/>
      <c r="D164" s="98"/>
      <c r="E164" s="98"/>
      <c r="F164" s="98"/>
      <c r="G164" s="142"/>
      <c r="H164" s="98"/>
    </row>
    <row r="165" spans="1:8" ht="12.75" customHeight="1" x14ac:dyDescent="0.15">
      <c r="A165" s="98"/>
      <c r="B165" s="98"/>
      <c r="C165" s="98"/>
      <c r="D165" s="98"/>
      <c r="E165" s="98"/>
      <c r="F165" s="98"/>
      <c r="G165" s="142"/>
      <c r="H165" s="98"/>
    </row>
    <row r="166" spans="1:8" ht="12.75" customHeight="1" x14ac:dyDescent="0.15">
      <c r="A166" s="98"/>
      <c r="B166" s="98"/>
      <c r="C166" s="98"/>
      <c r="D166" s="98"/>
      <c r="E166" s="98"/>
      <c r="F166" s="98"/>
      <c r="G166" s="142"/>
      <c r="H166" s="98"/>
    </row>
    <row r="167" spans="1:8" ht="12.75" customHeight="1" x14ac:dyDescent="0.15">
      <c r="A167" s="98"/>
      <c r="B167" s="98"/>
      <c r="C167" s="98"/>
      <c r="D167" s="98"/>
      <c r="E167" s="98"/>
      <c r="F167" s="98"/>
      <c r="G167" s="142"/>
      <c r="H167" s="98"/>
    </row>
    <row r="168" spans="1:8" ht="12.75" customHeight="1" x14ac:dyDescent="0.15">
      <c r="A168" s="98"/>
      <c r="B168" s="98"/>
      <c r="C168" s="98"/>
      <c r="D168" s="98"/>
      <c r="E168" s="98"/>
      <c r="F168" s="98"/>
      <c r="G168" s="142"/>
      <c r="H168" s="98"/>
    </row>
    <row r="169" spans="1:8" ht="12.75" customHeight="1" x14ac:dyDescent="0.15">
      <c r="A169" s="98"/>
      <c r="B169" s="98"/>
      <c r="C169" s="98"/>
      <c r="D169" s="98"/>
      <c r="E169" s="98"/>
      <c r="F169" s="98"/>
      <c r="G169" s="142"/>
      <c r="H169" s="98"/>
    </row>
    <row r="170" spans="1:8" ht="12.75" customHeight="1" x14ac:dyDescent="0.15">
      <c r="A170" s="98"/>
      <c r="B170" s="98"/>
      <c r="C170" s="98"/>
      <c r="D170" s="98"/>
      <c r="E170" s="98"/>
      <c r="F170" s="98"/>
      <c r="G170" s="142"/>
      <c r="H170" s="98"/>
    </row>
    <row r="171" spans="1:8" ht="12.75" customHeight="1" x14ac:dyDescent="0.15">
      <c r="A171" s="98"/>
      <c r="B171" s="98"/>
      <c r="C171" s="98"/>
      <c r="D171" s="98"/>
      <c r="E171" s="98"/>
      <c r="F171" s="98"/>
      <c r="G171" s="142"/>
      <c r="H171" s="98"/>
    </row>
    <row r="172" spans="1:8" ht="12.75" customHeight="1" x14ac:dyDescent="0.15">
      <c r="A172" s="98"/>
      <c r="B172" s="98"/>
      <c r="C172" s="98"/>
      <c r="D172" s="98"/>
      <c r="E172" s="98"/>
      <c r="F172" s="98"/>
      <c r="G172" s="142"/>
      <c r="H172" s="98"/>
    </row>
    <row r="173" spans="1:8" ht="12.75" customHeight="1" x14ac:dyDescent="0.15">
      <c r="A173" s="98"/>
      <c r="B173" s="98"/>
      <c r="C173" s="98"/>
      <c r="D173" s="98"/>
      <c r="E173" s="98"/>
      <c r="F173" s="98"/>
      <c r="G173" s="142"/>
      <c r="H173" s="98"/>
    </row>
    <row r="174" spans="1:8" ht="12.75" customHeight="1" x14ac:dyDescent="0.15">
      <c r="A174" s="98"/>
      <c r="B174" s="98"/>
      <c r="C174" s="98"/>
      <c r="D174" s="98"/>
      <c r="E174" s="98"/>
      <c r="F174" s="98"/>
      <c r="G174" s="142"/>
      <c r="H174" s="98"/>
    </row>
    <row r="175" spans="1:8" ht="12.75" customHeight="1" x14ac:dyDescent="0.15">
      <c r="A175" s="98"/>
      <c r="B175" s="98"/>
      <c r="C175" s="98"/>
      <c r="D175" s="98"/>
      <c r="E175" s="98"/>
      <c r="F175" s="98"/>
      <c r="G175" s="142"/>
      <c r="H175" s="98"/>
    </row>
    <row r="176" spans="1:8" ht="12.75" customHeight="1" x14ac:dyDescent="0.15">
      <c r="A176" s="98"/>
      <c r="B176" s="98"/>
      <c r="C176" s="98"/>
      <c r="D176" s="98"/>
      <c r="E176" s="98"/>
      <c r="F176" s="98"/>
      <c r="G176" s="142"/>
      <c r="H176" s="98"/>
    </row>
    <row r="177" spans="1:8" ht="12.75" customHeight="1" x14ac:dyDescent="0.15">
      <c r="A177" s="98"/>
      <c r="B177" s="98"/>
      <c r="C177" s="98"/>
      <c r="D177" s="98"/>
      <c r="E177" s="98"/>
      <c r="F177" s="98"/>
      <c r="G177" s="142"/>
      <c r="H177" s="98"/>
    </row>
    <row r="178" spans="1:8" ht="12.75" customHeight="1" x14ac:dyDescent="0.15">
      <c r="A178" s="98"/>
      <c r="B178" s="98"/>
      <c r="C178" s="98"/>
      <c r="D178" s="98"/>
      <c r="E178" s="98"/>
      <c r="F178" s="98"/>
      <c r="G178" s="142"/>
      <c r="H178" s="98"/>
    </row>
    <row r="179" spans="1:8" ht="12.75" customHeight="1" x14ac:dyDescent="0.15">
      <c r="A179" s="98"/>
      <c r="B179" s="98"/>
      <c r="C179" s="98"/>
      <c r="D179" s="98"/>
      <c r="E179" s="98"/>
      <c r="F179" s="98"/>
      <c r="G179" s="142"/>
      <c r="H179" s="98"/>
    </row>
    <row r="180" spans="1:8" ht="12.75" customHeight="1" x14ac:dyDescent="0.15">
      <c r="A180" s="98"/>
      <c r="B180" s="98"/>
      <c r="C180" s="98"/>
      <c r="D180" s="98"/>
      <c r="E180" s="98"/>
      <c r="F180" s="98"/>
      <c r="G180" s="142"/>
      <c r="H180" s="98"/>
    </row>
    <row r="181" spans="1:8" ht="12.75" customHeight="1" x14ac:dyDescent="0.15">
      <c r="A181" s="98"/>
      <c r="B181" s="98"/>
      <c r="C181" s="98"/>
      <c r="D181" s="98"/>
      <c r="E181" s="98"/>
      <c r="F181" s="98"/>
      <c r="G181" s="142"/>
      <c r="H181" s="98"/>
    </row>
    <row r="182" spans="1:8" ht="12.75" customHeight="1" x14ac:dyDescent="0.15">
      <c r="A182" s="98"/>
      <c r="B182" s="98"/>
      <c r="C182" s="98"/>
      <c r="D182" s="98"/>
      <c r="E182" s="98"/>
      <c r="F182" s="98"/>
      <c r="G182" s="142"/>
      <c r="H182" s="98"/>
    </row>
    <row r="183" spans="1:8" ht="12.75" customHeight="1" x14ac:dyDescent="0.15">
      <c r="A183" s="98"/>
      <c r="B183" s="98"/>
      <c r="C183" s="98"/>
      <c r="D183" s="98"/>
      <c r="E183" s="98"/>
      <c r="F183" s="98"/>
      <c r="G183" s="142"/>
      <c r="H183" s="98"/>
    </row>
    <row r="184" spans="1:8" ht="12.75" customHeight="1" x14ac:dyDescent="0.15">
      <c r="A184" s="98"/>
      <c r="B184" s="98"/>
      <c r="C184" s="98"/>
      <c r="D184" s="98"/>
      <c r="E184" s="98"/>
      <c r="F184" s="98"/>
      <c r="G184" s="142"/>
      <c r="H184" s="98"/>
    </row>
    <row r="185" spans="1:8" ht="12.75" customHeight="1" x14ac:dyDescent="0.15">
      <c r="A185" s="98"/>
      <c r="B185" s="98"/>
      <c r="C185" s="98"/>
      <c r="D185" s="98"/>
      <c r="E185" s="98"/>
      <c r="F185" s="98"/>
      <c r="G185" s="142"/>
      <c r="H185" s="98"/>
    </row>
    <row r="186" spans="1:8" ht="12.75" customHeight="1" x14ac:dyDescent="0.15">
      <c r="A186" s="98"/>
      <c r="B186" s="98"/>
      <c r="C186" s="98"/>
      <c r="D186" s="98"/>
      <c r="E186" s="98"/>
      <c r="F186" s="98"/>
      <c r="G186" s="142"/>
      <c r="H186" s="98"/>
    </row>
    <row r="187" spans="1:8" ht="12.75" customHeight="1" x14ac:dyDescent="0.15">
      <c r="A187" s="98"/>
      <c r="B187" s="98"/>
      <c r="C187" s="98"/>
      <c r="D187" s="98"/>
      <c r="E187" s="98"/>
      <c r="F187" s="98"/>
      <c r="G187" s="142"/>
      <c r="H187" s="98"/>
    </row>
    <row r="188" spans="1:8" ht="12.75" customHeight="1" x14ac:dyDescent="0.15">
      <c r="A188" s="98"/>
      <c r="B188" s="98"/>
      <c r="C188" s="98"/>
      <c r="D188" s="98"/>
      <c r="E188" s="98"/>
      <c r="F188" s="98"/>
      <c r="G188" s="142"/>
      <c r="H188" s="98"/>
    </row>
    <row r="189" spans="1:8" ht="12.75" customHeight="1" x14ac:dyDescent="0.15">
      <c r="A189" s="98"/>
      <c r="B189" s="98"/>
      <c r="C189" s="98"/>
      <c r="D189" s="98"/>
      <c r="E189" s="98"/>
      <c r="F189" s="98"/>
      <c r="G189" s="142"/>
      <c r="H189" s="98"/>
    </row>
    <row r="190" spans="1:8" ht="12.75" customHeight="1" x14ac:dyDescent="0.15">
      <c r="A190" s="98"/>
      <c r="B190" s="98"/>
      <c r="C190" s="98"/>
      <c r="D190" s="98"/>
      <c r="E190" s="98"/>
      <c r="F190" s="98"/>
      <c r="G190" s="142"/>
      <c r="H190" s="98"/>
    </row>
    <row r="191" spans="1:8" ht="12.75" customHeight="1" x14ac:dyDescent="0.15">
      <c r="A191" s="98"/>
      <c r="B191" s="98"/>
      <c r="C191" s="98"/>
      <c r="D191" s="98"/>
      <c r="E191" s="98"/>
      <c r="F191" s="98"/>
      <c r="G191" s="142"/>
      <c r="H191" s="98"/>
    </row>
    <row r="192" spans="1:8" ht="12.75" customHeight="1" x14ac:dyDescent="0.15">
      <c r="A192" s="98"/>
      <c r="B192" s="98"/>
      <c r="C192" s="98"/>
      <c r="D192" s="98"/>
      <c r="E192" s="98"/>
      <c r="F192" s="98"/>
      <c r="G192" s="142"/>
      <c r="H192" s="98"/>
    </row>
    <row r="193" spans="1:8" ht="12.75" customHeight="1" x14ac:dyDescent="0.15">
      <c r="A193" s="98"/>
      <c r="B193" s="98"/>
      <c r="C193" s="98"/>
      <c r="D193" s="98"/>
      <c r="E193" s="98"/>
      <c r="F193" s="98"/>
      <c r="G193" s="142"/>
      <c r="H193" s="98"/>
    </row>
    <row r="194" spans="1:8" ht="12.75" customHeight="1" x14ac:dyDescent="0.15">
      <c r="A194" s="98"/>
      <c r="B194" s="98"/>
      <c r="C194" s="98"/>
      <c r="D194" s="98"/>
      <c r="E194" s="98"/>
      <c r="F194" s="98"/>
      <c r="G194" s="142"/>
      <c r="H194" s="98"/>
    </row>
    <row r="195" spans="1:8" ht="12.75" customHeight="1" x14ac:dyDescent="0.15">
      <c r="A195" s="98"/>
      <c r="B195" s="98"/>
      <c r="C195" s="98"/>
      <c r="D195" s="98"/>
      <c r="E195" s="98"/>
      <c r="F195" s="98"/>
      <c r="G195" s="142"/>
      <c r="H195" s="98"/>
    </row>
    <row r="196" spans="1:8" ht="12.75" customHeight="1" x14ac:dyDescent="0.15">
      <c r="A196" s="98"/>
      <c r="B196" s="98"/>
      <c r="C196" s="98"/>
      <c r="D196" s="98"/>
      <c r="E196" s="98"/>
      <c r="F196" s="98"/>
      <c r="G196" s="142"/>
      <c r="H196" s="98"/>
    </row>
    <row r="197" spans="1:8" ht="12.75" customHeight="1" x14ac:dyDescent="0.15">
      <c r="A197" s="98"/>
      <c r="B197" s="98"/>
      <c r="C197" s="98"/>
      <c r="D197" s="98"/>
      <c r="E197" s="98"/>
      <c r="F197" s="98"/>
      <c r="G197" s="142"/>
      <c r="H197" s="98"/>
    </row>
    <row r="198" spans="1:8" ht="12.75" customHeight="1" x14ac:dyDescent="0.15">
      <c r="A198" s="98"/>
      <c r="B198" s="98"/>
      <c r="C198" s="98"/>
      <c r="D198" s="98"/>
      <c r="E198" s="98"/>
      <c r="F198" s="98"/>
      <c r="G198" s="142"/>
      <c r="H198" s="98"/>
    </row>
    <row r="199" spans="1:8" ht="12.75" customHeight="1" x14ac:dyDescent="0.15">
      <c r="A199" s="98"/>
      <c r="B199" s="98"/>
      <c r="C199" s="98"/>
      <c r="D199" s="98"/>
      <c r="E199" s="98"/>
      <c r="F199" s="98"/>
      <c r="G199" s="142"/>
      <c r="H199" s="98"/>
    </row>
    <row r="200" spans="1:8" ht="12.75" customHeight="1" x14ac:dyDescent="0.15">
      <c r="A200" s="98"/>
      <c r="B200" s="98"/>
      <c r="C200" s="98"/>
      <c r="D200" s="98"/>
      <c r="E200" s="98"/>
      <c r="F200" s="98"/>
      <c r="G200" s="142"/>
      <c r="H200" s="98"/>
    </row>
    <row r="201" spans="1:8" ht="12.75" customHeight="1" x14ac:dyDescent="0.15">
      <c r="A201" s="98"/>
      <c r="B201" s="98"/>
      <c r="C201" s="98"/>
      <c r="D201" s="98"/>
      <c r="E201" s="98"/>
      <c r="F201" s="98"/>
      <c r="G201" s="142"/>
      <c r="H201" s="98"/>
    </row>
    <row r="202" spans="1:8" ht="12.75" customHeight="1" x14ac:dyDescent="0.15">
      <c r="A202" s="98"/>
      <c r="B202" s="98"/>
      <c r="C202" s="98"/>
      <c r="D202" s="98"/>
      <c r="E202" s="98"/>
      <c r="F202" s="98"/>
      <c r="G202" s="142"/>
      <c r="H202" s="98"/>
    </row>
    <row r="203" spans="1:8" ht="12.75" customHeight="1" x14ac:dyDescent="0.15">
      <c r="A203" s="98"/>
      <c r="B203" s="98"/>
      <c r="C203" s="98"/>
      <c r="D203" s="98"/>
      <c r="E203" s="98"/>
      <c r="F203" s="98"/>
      <c r="G203" s="142"/>
      <c r="H203" s="98"/>
    </row>
    <row r="204" spans="1:8" ht="12.75" customHeight="1" x14ac:dyDescent="0.15">
      <c r="A204" s="98"/>
      <c r="B204" s="98"/>
      <c r="C204" s="98"/>
      <c r="D204" s="98"/>
      <c r="E204" s="98"/>
      <c r="F204" s="98"/>
      <c r="G204" s="142"/>
      <c r="H204" s="98"/>
    </row>
    <row r="205" spans="1:8" ht="12.75" customHeight="1" x14ac:dyDescent="0.15">
      <c r="A205" s="98"/>
      <c r="B205" s="98"/>
      <c r="C205" s="98"/>
      <c r="D205" s="98"/>
      <c r="E205" s="98"/>
      <c r="F205" s="98"/>
      <c r="G205" s="142"/>
      <c r="H205" s="98"/>
    </row>
    <row r="206" spans="1:8" ht="12.75" customHeight="1" x14ac:dyDescent="0.15">
      <c r="A206" s="98"/>
      <c r="B206" s="98"/>
      <c r="C206" s="98"/>
      <c r="D206" s="98"/>
      <c r="E206" s="98"/>
      <c r="F206" s="98"/>
      <c r="G206" s="142"/>
      <c r="H206" s="98"/>
    </row>
    <row r="207" spans="1:8" ht="12.75" customHeight="1" x14ac:dyDescent="0.15">
      <c r="A207" s="98"/>
      <c r="B207" s="98"/>
      <c r="C207" s="98"/>
      <c r="D207" s="98"/>
      <c r="E207" s="98"/>
      <c r="F207" s="98"/>
      <c r="G207" s="142"/>
      <c r="H207" s="98"/>
    </row>
    <row r="208" spans="1:8" ht="12.75" customHeight="1" x14ac:dyDescent="0.15">
      <c r="A208" s="98"/>
      <c r="B208" s="98"/>
      <c r="C208" s="98"/>
      <c r="D208" s="98"/>
      <c r="E208" s="98"/>
      <c r="F208" s="98"/>
      <c r="G208" s="142"/>
      <c r="H208" s="98"/>
    </row>
    <row r="209" spans="1:8" ht="12.75" customHeight="1" x14ac:dyDescent="0.15">
      <c r="A209" s="98"/>
      <c r="B209" s="98"/>
      <c r="C209" s="98"/>
      <c r="D209" s="98"/>
      <c r="E209" s="98"/>
      <c r="F209" s="98"/>
      <c r="G209" s="142"/>
      <c r="H209" s="98"/>
    </row>
    <row r="210" spans="1:8" ht="12.75" customHeight="1" x14ac:dyDescent="0.15">
      <c r="A210" s="98"/>
      <c r="B210" s="98"/>
      <c r="C210" s="98"/>
      <c r="D210" s="98"/>
      <c r="E210" s="98"/>
      <c r="F210" s="98"/>
      <c r="G210" s="142"/>
      <c r="H210" s="98"/>
    </row>
    <row r="211" spans="1:8" ht="12.75" customHeight="1" x14ac:dyDescent="0.15">
      <c r="A211" s="98"/>
      <c r="B211" s="98"/>
      <c r="C211" s="98"/>
      <c r="D211" s="98"/>
      <c r="E211" s="98"/>
      <c r="F211" s="98"/>
      <c r="G211" s="142"/>
      <c r="H211" s="98"/>
    </row>
    <row r="212" spans="1:8" ht="12.75" customHeight="1" x14ac:dyDescent="0.15">
      <c r="A212" s="98"/>
      <c r="B212" s="98"/>
      <c r="C212" s="98"/>
      <c r="D212" s="98"/>
      <c r="E212" s="98"/>
      <c r="F212" s="98"/>
      <c r="G212" s="142"/>
      <c r="H212" s="98"/>
    </row>
    <row r="213" spans="1:8" ht="12.75" customHeight="1" x14ac:dyDescent="0.15">
      <c r="A213" s="98"/>
      <c r="B213" s="98"/>
      <c r="C213" s="98"/>
      <c r="D213" s="98"/>
      <c r="E213" s="98"/>
      <c r="F213" s="98"/>
      <c r="G213" s="142"/>
      <c r="H213" s="98"/>
    </row>
    <row r="214" spans="1:8" ht="12.75" customHeight="1" x14ac:dyDescent="0.15">
      <c r="A214" s="98"/>
      <c r="B214" s="98"/>
      <c r="C214" s="98"/>
      <c r="D214" s="98"/>
      <c r="E214" s="98"/>
      <c r="F214" s="98"/>
      <c r="G214" s="142"/>
      <c r="H214" s="98"/>
    </row>
    <row r="215" spans="1:8" ht="12.75" customHeight="1" x14ac:dyDescent="0.15">
      <c r="A215" s="98"/>
      <c r="B215" s="98"/>
      <c r="C215" s="98"/>
      <c r="D215" s="98"/>
      <c r="E215" s="98"/>
      <c r="F215" s="98"/>
      <c r="G215" s="142"/>
      <c r="H215" s="98"/>
    </row>
    <row r="216" spans="1:8" ht="12.75" customHeight="1" x14ac:dyDescent="0.15">
      <c r="A216" s="98"/>
      <c r="B216" s="98"/>
      <c r="C216" s="98"/>
      <c r="D216" s="98"/>
      <c r="E216" s="98"/>
      <c r="F216" s="98"/>
      <c r="G216" s="142"/>
      <c r="H216" s="98"/>
    </row>
    <row r="217" spans="1:8" ht="12.75" customHeight="1" x14ac:dyDescent="0.15">
      <c r="A217" s="98"/>
      <c r="B217" s="98"/>
      <c r="C217" s="98"/>
      <c r="D217" s="98"/>
      <c r="E217" s="98"/>
      <c r="F217" s="98"/>
      <c r="G217" s="142"/>
      <c r="H217" s="98"/>
    </row>
    <row r="218" spans="1:8" ht="12.75" customHeight="1" x14ac:dyDescent="0.15">
      <c r="A218" s="98"/>
      <c r="B218" s="98"/>
      <c r="C218" s="98"/>
      <c r="D218" s="98"/>
      <c r="E218" s="98"/>
      <c r="F218" s="98"/>
      <c r="G218" s="142"/>
      <c r="H218" s="98"/>
    </row>
    <row r="219" spans="1:8" ht="12.75" customHeight="1" x14ac:dyDescent="0.15">
      <c r="A219" s="98"/>
      <c r="B219" s="98"/>
      <c r="C219" s="98"/>
      <c r="D219" s="98"/>
      <c r="E219" s="98"/>
      <c r="F219" s="98"/>
      <c r="G219" s="142"/>
      <c r="H219" s="98"/>
    </row>
    <row r="220" spans="1:8" ht="12.75" customHeight="1" x14ac:dyDescent="0.15">
      <c r="A220" s="98"/>
      <c r="B220" s="98"/>
      <c r="C220" s="98"/>
      <c r="D220" s="98"/>
      <c r="E220" s="98"/>
      <c r="F220" s="98"/>
      <c r="G220" s="142"/>
      <c r="H220" s="98"/>
    </row>
    <row r="221" spans="1:8" ht="12.75" customHeight="1" x14ac:dyDescent="0.15">
      <c r="A221" s="98"/>
      <c r="B221" s="98"/>
      <c r="C221" s="98"/>
      <c r="D221" s="98"/>
      <c r="E221" s="98"/>
      <c r="F221" s="98"/>
      <c r="G221" s="142"/>
      <c r="H221" s="98"/>
    </row>
    <row r="222" spans="1:8" ht="12.75" customHeight="1" x14ac:dyDescent="0.15">
      <c r="A222" s="98"/>
      <c r="B222" s="98"/>
      <c r="C222" s="98"/>
      <c r="D222" s="98"/>
      <c r="E222" s="98"/>
      <c r="F222" s="98"/>
      <c r="G222" s="142"/>
      <c r="H222" s="98"/>
    </row>
    <row r="223" spans="1:8" ht="12.75" customHeight="1" x14ac:dyDescent="0.15">
      <c r="A223" s="98"/>
      <c r="B223" s="98"/>
      <c r="C223" s="98"/>
      <c r="D223" s="98"/>
      <c r="E223" s="98"/>
      <c r="F223" s="98"/>
      <c r="G223" s="142"/>
      <c r="H223" s="98"/>
    </row>
    <row r="224" spans="1:8" ht="12.75" customHeight="1" x14ac:dyDescent="0.15">
      <c r="A224" s="98"/>
      <c r="B224" s="98"/>
      <c r="C224" s="98"/>
      <c r="D224" s="98"/>
      <c r="E224" s="98"/>
      <c r="F224" s="98"/>
      <c r="G224" s="142"/>
      <c r="H224" s="98"/>
    </row>
    <row r="225" spans="1:8" ht="12.75" customHeight="1" x14ac:dyDescent="0.15">
      <c r="A225" s="98"/>
      <c r="B225" s="98"/>
      <c r="C225" s="98"/>
      <c r="D225" s="98"/>
      <c r="E225" s="98"/>
      <c r="F225" s="98"/>
      <c r="G225" s="142"/>
      <c r="H225" s="98"/>
    </row>
    <row r="226" spans="1:8" ht="12.75" customHeight="1" x14ac:dyDescent="0.15">
      <c r="A226" s="98"/>
      <c r="B226" s="98"/>
      <c r="C226" s="98"/>
      <c r="D226" s="98"/>
      <c r="E226" s="98"/>
      <c r="F226" s="98"/>
      <c r="G226" s="142"/>
      <c r="H226" s="98"/>
    </row>
    <row r="227" spans="1:8" ht="12.75" customHeight="1" x14ac:dyDescent="0.15">
      <c r="A227" s="98"/>
      <c r="B227" s="98"/>
      <c r="C227" s="98"/>
      <c r="D227" s="98"/>
      <c r="E227" s="98"/>
      <c r="F227" s="98"/>
      <c r="G227" s="142"/>
      <c r="H227" s="98"/>
    </row>
    <row r="228" spans="1:8" ht="12.75" customHeight="1" x14ac:dyDescent="0.15">
      <c r="A228" s="98"/>
      <c r="B228" s="98"/>
      <c r="C228" s="98"/>
      <c r="D228" s="98"/>
      <c r="E228" s="98"/>
      <c r="F228" s="98"/>
      <c r="G228" s="142"/>
      <c r="H228" s="98"/>
    </row>
    <row r="229" spans="1:8" ht="12.75" customHeight="1" x14ac:dyDescent="0.15">
      <c r="A229" s="98"/>
      <c r="B229" s="98"/>
      <c r="C229" s="98"/>
      <c r="D229" s="98"/>
      <c r="E229" s="98"/>
      <c r="F229" s="98"/>
      <c r="G229" s="142"/>
      <c r="H229" s="98"/>
    </row>
    <row r="230" spans="1:8" ht="12.75" customHeight="1" x14ac:dyDescent="0.15">
      <c r="A230" s="98"/>
      <c r="B230" s="98"/>
      <c r="C230" s="98"/>
      <c r="D230" s="98"/>
      <c r="E230" s="98"/>
      <c r="F230" s="98"/>
      <c r="G230" s="142"/>
      <c r="H230" s="98"/>
    </row>
    <row r="231" spans="1:8" ht="12.75" customHeight="1" x14ac:dyDescent="0.15">
      <c r="A231" s="98"/>
      <c r="B231" s="98"/>
      <c r="C231" s="98"/>
      <c r="D231" s="98"/>
      <c r="E231" s="98"/>
      <c r="F231" s="98"/>
      <c r="G231" s="142"/>
      <c r="H231" s="98"/>
    </row>
    <row r="232" spans="1:8" ht="12.75" customHeight="1" x14ac:dyDescent="0.15">
      <c r="A232" s="98"/>
      <c r="B232" s="98"/>
      <c r="C232" s="98"/>
      <c r="D232" s="98"/>
      <c r="E232" s="98"/>
      <c r="F232" s="98"/>
      <c r="G232" s="142"/>
      <c r="H232" s="98"/>
    </row>
    <row r="233" spans="1:8" ht="12.75" customHeight="1" x14ac:dyDescent="0.15">
      <c r="A233" s="98"/>
      <c r="B233" s="98"/>
      <c r="C233" s="98"/>
      <c r="D233" s="98"/>
      <c r="E233" s="98"/>
      <c r="F233" s="98"/>
      <c r="G233" s="142"/>
      <c r="H233" s="98"/>
    </row>
    <row r="234" spans="1:8" ht="12.75" customHeight="1" x14ac:dyDescent="0.15">
      <c r="A234" s="98"/>
      <c r="B234" s="98"/>
      <c r="C234" s="98"/>
      <c r="D234" s="98"/>
      <c r="E234" s="98"/>
      <c r="F234" s="98"/>
      <c r="G234" s="142"/>
      <c r="H234" s="98"/>
    </row>
    <row r="235" spans="1:8" ht="12.75" customHeight="1" x14ac:dyDescent="0.15">
      <c r="A235" s="98"/>
      <c r="B235" s="98"/>
      <c r="C235" s="98"/>
      <c r="D235" s="98"/>
      <c r="E235" s="98"/>
      <c r="F235" s="98"/>
      <c r="G235" s="142"/>
      <c r="H235" s="98"/>
    </row>
    <row r="236" spans="1:8" ht="12.75" customHeight="1" x14ac:dyDescent="0.15">
      <c r="A236" s="98"/>
      <c r="B236" s="98"/>
      <c r="C236" s="98"/>
      <c r="D236" s="98"/>
      <c r="E236" s="98"/>
      <c r="F236" s="98"/>
      <c r="G236" s="142"/>
      <c r="H236" s="98"/>
    </row>
    <row r="237" spans="1:8" ht="12.75" customHeight="1" x14ac:dyDescent="0.15">
      <c r="A237" s="98"/>
      <c r="B237" s="98"/>
      <c r="C237" s="98"/>
      <c r="D237" s="98"/>
      <c r="E237" s="98"/>
      <c r="F237" s="98"/>
      <c r="G237" s="142"/>
      <c r="H237" s="98"/>
    </row>
    <row r="238" spans="1:8" ht="12.75" customHeight="1" x14ac:dyDescent="0.15">
      <c r="A238" s="98"/>
      <c r="B238" s="98"/>
      <c r="C238" s="98"/>
      <c r="D238" s="98"/>
      <c r="E238" s="98"/>
      <c r="F238" s="98"/>
      <c r="G238" s="142"/>
      <c r="H238" s="98"/>
    </row>
    <row r="239" spans="1:8" ht="12.75" customHeight="1" x14ac:dyDescent="0.15">
      <c r="A239" s="98"/>
      <c r="B239" s="98"/>
      <c r="C239" s="98"/>
      <c r="D239" s="98"/>
      <c r="E239" s="98"/>
      <c r="F239" s="98"/>
      <c r="G239" s="142"/>
      <c r="H239" s="98"/>
    </row>
    <row r="240" spans="1:8" ht="12.75" customHeight="1" x14ac:dyDescent="0.15">
      <c r="A240" s="98"/>
      <c r="B240" s="98"/>
      <c r="C240" s="98"/>
      <c r="D240" s="98"/>
      <c r="E240" s="98"/>
      <c r="F240" s="98"/>
      <c r="G240" s="142"/>
      <c r="H240" s="98"/>
    </row>
    <row r="241" spans="1:8" ht="12.75" customHeight="1" x14ac:dyDescent="0.15">
      <c r="A241" s="98"/>
      <c r="B241" s="98"/>
      <c r="C241" s="98"/>
      <c r="D241" s="98"/>
      <c r="E241" s="98"/>
      <c r="F241" s="98"/>
      <c r="G241" s="142"/>
      <c r="H241" s="98"/>
    </row>
    <row r="242" spans="1:8" ht="12.75" customHeight="1" x14ac:dyDescent="0.15">
      <c r="A242" s="98"/>
      <c r="B242" s="98"/>
      <c r="C242" s="98"/>
      <c r="D242" s="98"/>
      <c r="E242" s="98"/>
      <c r="F242" s="98"/>
      <c r="G242" s="142"/>
      <c r="H242" s="98"/>
    </row>
    <row r="243" spans="1:8" ht="12.75" customHeight="1" x14ac:dyDescent="0.15">
      <c r="A243" s="98"/>
      <c r="B243" s="98"/>
      <c r="C243" s="98"/>
      <c r="D243" s="98"/>
      <c r="E243" s="98"/>
      <c r="F243" s="98"/>
      <c r="G243" s="142"/>
      <c r="H243" s="98"/>
    </row>
    <row r="244" spans="1:8" ht="12.75" customHeight="1" x14ac:dyDescent="0.15">
      <c r="A244" s="98"/>
      <c r="B244" s="98"/>
      <c r="C244" s="98"/>
      <c r="D244" s="98"/>
      <c r="E244" s="98"/>
      <c r="F244" s="98"/>
      <c r="G244" s="142"/>
      <c r="H244" s="98"/>
    </row>
    <row r="245" spans="1:8" ht="12.75" customHeight="1" x14ac:dyDescent="0.15">
      <c r="A245" s="98"/>
      <c r="B245" s="98"/>
      <c r="C245" s="98"/>
      <c r="D245" s="98"/>
      <c r="E245" s="98"/>
      <c r="F245" s="98"/>
      <c r="G245" s="142"/>
      <c r="H245" s="98"/>
    </row>
    <row r="246" spans="1:8" ht="12.75" customHeight="1" x14ac:dyDescent="0.15">
      <c r="A246" s="98"/>
      <c r="B246" s="98"/>
      <c r="C246" s="98"/>
      <c r="D246" s="98"/>
      <c r="E246" s="98"/>
      <c r="F246" s="98"/>
      <c r="G246" s="142"/>
      <c r="H246" s="98"/>
    </row>
    <row r="247" spans="1:8" ht="12.75" customHeight="1" x14ac:dyDescent="0.15">
      <c r="A247" s="98"/>
      <c r="B247" s="98"/>
      <c r="C247" s="98"/>
      <c r="D247" s="98"/>
      <c r="E247" s="98"/>
      <c r="F247" s="98"/>
      <c r="G247" s="142"/>
      <c r="H247" s="98"/>
    </row>
    <row r="248" spans="1:8" ht="12.75" customHeight="1" x14ac:dyDescent="0.15">
      <c r="A248" s="98"/>
      <c r="B248" s="98"/>
      <c r="C248" s="98"/>
      <c r="D248" s="98"/>
      <c r="E248" s="98"/>
      <c r="F248" s="98"/>
      <c r="G248" s="142"/>
      <c r="H248" s="98"/>
    </row>
    <row r="249" spans="1:8" ht="12.75" customHeight="1" x14ac:dyDescent="0.15">
      <c r="A249" s="98"/>
      <c r="B249" s="98"/>
      <c r="C249" s="98"/>
      <c r="D249" s="98"/>
      <c r="E249" s="98"/>
      <c r="F249" s="98"/>
      <c r="G249" s="142"/>
      <c r="H249" s="98"/>
    </row>
    <row r="250" spans="1:8" ht="12.75" customHeight="1" x14ac:dyDescent="0.15">
      <c r="A250" s="98"/>
      <c r="B250" s="98"/>
      <c r="C250" s="98"/>
      <c r="D250" s="98"/>
      <c r="E250" s="98"/>
      <c r="F250" s="98"/>
      <c r="G250" s="142"/>
      <c r="H250" s="98"/>
    </row>
    <row r="251" spans="1:8" ht="12.75" customHeight="1" x14ac:dyDescent="0.15">
      <c r="A251" s="98"/>
      <c r="B251" s="98"/>
      <c r="C251" s="98"/>
      <c r="D251" s="98"/>
      <c r="E251" s="98"/>
      <c r="F251" s="98"/>
      <c r="G251" s="142"/>
      <c r="H251" s="98"/>
    </row>
    <row r="252" spans="1:8" ht="12.75" customHeight="1" x14ac:dyDescent="0.15">
      <c r="A252" s="98"/>
      <c r="B252" s="98"/>
      <c r="C252" s="98"/>
      <c r="D252" s="98"/>
      <c r="E252" s="98"/>
      <c r="F252" s="98"/>
      <c r="G252" s="142"/>
      <c r="H252" s="98"/>
    </row>
    <row r="253" spans="1:8" ht="12.75" customHeight="1" x14ac:dyDescent="0.15">
      <c r="A253" s="98"/>
      <c r="B253" s="98"/>
      <c r="C253" s="98"/>
      <c r="D253" s="98"/>
      <c r="E253" s="98"/>
      <c r="F253" s="98"/>
      <c r="G253" s="142"/>
      <c r="H253" s="98"/>
    </row>
    <row r="254" spans="1:8" ht="12.75" customHeight="1" x14ac:dyDescent="0.15">
      <c r="A254" s="98"/>
      <c r="B254" s="98"/>
      <c r="C254" s="98"/>
      <c r="D254" s="98"/>
      <c r="E254" s="98"/>
      <c r="F254" s="98"/>
      <c r="G254" s="142"/>
      <c r="H254" s="98"/>
    </row>
    <row r="255" spans="1:8" ht="12.75" customHeight="1" x14ac:dyDescent="0.15">
      <c r="A255" s="98"/>
      <c r="B255" s="98"/>
      <c r="C255" s="98"/>
      <c r="D255" s="98"/>
      <c r="E255" s="98"/>
      <c r="F255" s="98"/>
      <c r="G255" s="142"/>
      <c r="H255" s="98"/>
    </row>
    <row r="256" spans="1:8" ht="12.75" customHeight="1" x14ac:dyDescent="0.15">
      <c r="A256" s="98"/>
      <c r="B256" s="98"/>
      <c r="C256" s="98"/>
      <c r="D256" s="98"/>
      <c r="E256" s="98"/>
      <c r="F256" s="98"/>
      <c r="G256" s="142"/>
      <c r="H256" s="98"/>
    </row>
    <row r="257" spans="1:8" ht="12.75" customHeight="1" x14ac:dyDescent="0.15">
      <c r="A257" s="98"/>
      <c r="B257" s="98"/>
      <c r="C257" s="98"/>
      <c r="D257" s="98"/>
      <c r="E257" s="98"/>
      <c r="F257" s="98"/>
      <c r="G257" s="142"/>
      <c r="H257" s="98"/>
    </row>
    <row r="258" spans="1:8" ht="12.75" customHeight="1" x14ac:dyDescent="0.15">
      <c r="A258" s="98"/>
      <c r="B258" s="98"/>
      <c r="C258" s="98"/>
      <c r="D258" s="98"/>
      <c r="E258" s="98"/>
      <c r="F258" s="98"/>
      <c r="G258" s="142"/>
      <c r="H258" s="98"/>
    </row>
    <row r="259" spans="1:8" ht="12.75" customHeight="1" x14ac:dyDescent="0.15">
      <c r="A259" s="98"/>
      <c r="B259" s="98"/>
      <c r="C259" s="98"/>
      <c r="D259" s="98"/>
      <c r="E259" s="98"/>
      <c r="F259" s="98"/>
      <c r="G259" s="142"/>
      <c r="H259" s="98"/>
    </row>
    <row r="260" spans="1:8" ht="12.75" customHeight="1" x14ac:dyDescent="0.15">
      <c r="A260" s="98"/>
      <c r="B260" s="98"/>
      <c r="C260" s="98"/>
      <c r="D260" s="98"/>
      <c r="E260" s="98"/>
      <c r="F260" s="98"/>
      <c r="G260" s="142"/>
      <c r="H260" s="98"/>
    </row>
    <row r="261" spans="1:8" ht="12.75" customHeight="1" x14ac:dyDescent="0.15">
      <c r="A261" s="98"/>
      <c r="B261" s="98"/>
      <c r="C261" s="98"/>
      <c r="D261" s="98"/>
      <c r="E261" s="98"/>
      <c r="F261" s="98"/>
      <c r="G261" s="142"/>
      <c r="H261" s="98"/>
    </row>
    <row r="262" spans="1:8" ht="12.75" customHeight="1" x14ac:dyDescent="0.15">
      <c r="A262" s="98"/>
      <c r="B262" s="98"/>
      <c r="C262" s="98"/>
      <c r="D262" s="98"/>
      <c r="E262" s="98"/>
      <c r="F262" s="98"/>
      <c r="G262" s="142"/>
      <c r="H262" s="98"/>
    </row>
    <row r="263" spans="1:8" ht="12.75" customHeight="1" x14ac:dyDescent="0.15">
      <c r="A263" s="98"/>
      <c r="B263" s="98"/>
      <c r="C263" s="98"/>
      <c r="D263" s="98"/>
      <c r="E263" s="98"/>
      <c r="F263" s="98"/>
      <c r="G263" s="142"/>
      <c r="H263" s="98"/>
    </row>
    <row r="264" spans="1:8" ht="12.75" customHeight="1" x14ac:dyDescent="0.15">
      <c r="A264" s="98"/>
      <c r="B264" s="98"/>
      <c r="C264" s="98"/>
      <c r="D264" s="98"/>
      <c r="E264" s="98"/>
      <c r="F264" s="98"/>
      <c r="G264" s="142"/>
      <c r="H264" s="98"/>
    </row>
    <row r="265" spans="1:8" ht="12.75" customHeight="1" x14ac:dyDescent="0.15">
      <c r="A265" s="98"/>
      <c r="B265" s="98"/>
      <c r="C265" s="98"/>
      <c r="D265" s="98"/>
      <c r="E265" s="98"/>
      <c r="F265" s="98"/>
      <c r="G265" s="142"/>
      <c r="H265" s="98"/>
    </row>
    <row r="266" spans="1:8" ht="12.75" customHeight="1" x14ac:dyDescent="0.15">
      <c r="A266" s="98"/>
      <c r="B266" s="98"/>
      <c r="C266" s="98"/>
      <c r="D266" s="98"/>
      <c r="E266" s="98"/>
      <c r="F266" s="98"/>
      <c r="G266" s="142"/>
      <c r="H266" s="98"/>
    </row>
    <row r="267" spans="1:8" ht="12.75" customHeight="1" x14ac:dyDescent="0.15">
      <c r="A267" s="98"/>
      <c r="B267" s="98"/>
      <c r="C267" s="98"/>
      <c r="D267" s="98"/>
      <c r="E267" s="98"/>
      <c r="F267" s="98"/>
      <c r="G267" s="142"/>
      <c r="H267" s="98"/>
    </row>
    <row r="268" spans="1:8" ht="12.75" customHeight="1" x14ac:dyDescent="0.15">
      <c r="A268" s="98"/>
      <c r="B268" s="98"/>
      <c r="C268" s="98"/>
      <c r="D268" s="98"/>
      <c r="E268" s="98"/>
      <c r="F268" s="98"/>
      <c r="G268" s="142"/>
      <c r="H268" s="98"/>
    </row>
    <row r="269" spans="1:8" ht="12.75" customHeight="1" x14ac:dyDescent="0.15">
      <c r="A269" s="98"/>
      <c r="B269" s="98"/>
      <c r="C269" s="98"/>
      <c r="D269" s="98"/>
      <c r="E269" s="98"/>
      <c r="F269" s="98"/>
      <c r="G269" s="142"/>
      <c r="H269" s="98"/>
    </row>
    <row r="270" spans="1:8" ht="12.75" customHeight="1" x14ac:dyDescent="0.15">
      <c r="A270" s="98"/>
      <c r="B270" s="98"/>
      <c r="C270" s="98"/>
      <c r="D270" s="98"/>
      <c r="E270" s="98"/>
      <c r="F270" s="98"/>
      <c r="G270" s="142"/>
      <c r="H270" s="98"/>
    </row>
    <row r="271" spans="1:8" ht="12.75" customHeight="1" x14ac:dyDescent="0.15">
      <c r="A271" s="98"/>
      <c r="B271" s="98"/>
      <c r="C271" s="98"/>
      <c r="D271" s="98"/>
      <c r="E271" s="98"/>
      <c r="F271" s="98"/>
      <c r="G271" s="142"/>
      <c r="H271" s="98"/>
    </row>
    <row r="272" spans="1:8" ht="12.75" customHeight="1" x14ac:dyDescent="0.15">
      <c r="A272" s="98"/>
      <c r="B272" s="98"/>
      <c r="C272" s="98"/>
      <c r="D272" s="98"/>
      <c r="E272" s="98"/>
      <c r="F272" s="98"/>
      <c r="G272" s="142"/>
      <c r="H272" s="98"/>
    </row>
    <row r="273" spans="1:8" ht="12.75" customHeight="1" x14ac:dyDescent="0.15">
      <c r="A273" s="98"/>
      <c r="B273" s="98"/>
      <c r="C273" s="98"/>
      <c r="D273" s="98"/>
      <c r="E273" s="98"/>
      <c r="F273" s="98"/>
      <c r="G273" s="142"/>
      <c r="H273" s="98"/>
    </row>
    <row r="274" spans="1:8" ht="12.75" customHeight="1" x14ac:dyDescent="0.15">
      <c r="A274" s="98"/>
      <c r="B274" s="98"/>
      <c r="C274" s="98"/>
      <c r="D274" s="98"/>
      <c r="E274" s="98"/>
      <c r="F274" s="98"/>
      <c r="G274" s="142"/>
      <c r="H274" s="98"/>
    </row>
    <row r="275" spans="1:8" ht="12.75" customHeight="1" x14ac:dyDescent="0.15">
      <c r="A275" s="98"/>
      <c r="B275" s="98"/>
      <c r="C275" s="98"/>
      <c r="D275" s="98"/>
      <c r="E275" s="98"/>
      <c r="F275" s="98"/>
      <c r="G275" s="142"/>
      <c r="H275" s="98"/>
    </row>
    <row r="276" spans="1:8" ht="12.75" customHeight="1" x14ac:dyDescent="0.15">
      <c r="A276" s="98"/>
      <c r="B276" s="98"/>
      <c r="C276" s="98"/>
      <c r="D276" s="98"/>
      <c r="E276" s="98"/>
      <c r="F276" s="98"/>
      <c r="G276" s="142"/>
      <c r="H276" s="98"/>
    </row>
    <row r="277" spans="1:8" ht="12.75" customHeight="1" x14ac:dyDescent="0.15">
      <c r="A277" s="98"/>
      <c r="B277" s="98"/>
      <c r="C277" s="98"/>
      <c r="D277" s="98"/>
      <c r="E277" s="98"/>
      <c r="F277" s="98"/>
      <c r="G277" s="142"/>
      <c r="H277" s="98"/>
    </row>
    <row r="278" spans="1:8" ht="12.75" customHeight="1" x14ac:dyDescent="0.15">
      <c r="A278" s="98"/>
      <c r="B278" s="98"/>
      <c r="C278" s="98"/>
      <c r="D278" s="98"/>
      <c r="E278" s="98"/>
      <c r="F278" s="98"/>
      <c r="G278" s="142"/>
      <c r="H278" s="98"/>
    </row>
    <row r="279" spans="1:8" ht="12.75" customHeight="1" x14ac:dyDescent="0.15">
      <c r="A279" s="98"/>
      <c r="B279" s="98"/>
      <c r="C279" s="98"/>
      <c r="D279" s="98"/>
      <c r="E279" s="98"/>
      <c r="F279" s="98"/>
      <c r="G279" s="142"/>
      <c r="H279" s="98"/>
    </row>
    <row r="280" spans="1:8" ht="12.75" customHeight="1" x14ac:dyDescent="0.15">
      <c r="A280" s="98"/>
      <c r="B280" s="98"/>
      <c r="C280" s="98"/>
      <c r="D280" s="98"/>
      <c r="E280" s="98"/>
      <c r="F280" s="98"/>
      <c r="G280" s="142"/>
      <c r="H280" s="98"/>
    </row>
    <row r="281" spans="1:8" ht="12.75" customHeight="1" x14ac:dyDescent="0.15">
      <c r="A281" s="98"/>
      <c r="B281" s="98"/>
      <c r="C281" s="98"/>
      <c r="D281" s="98"/>
      <c r="E281" s="98"/>
      <c r="F281" s="98"/>
      <c r="G281" s="142"/>
      <c r="H281" s="98"/>
    </row>
    <row r="282" spans="1:8" ht="12.75" customHeight="1" x14ac:dyDescent="0.15">
      <c r="A282" s="98"/>
      <c r="B282" s="98"/>
      <c r="C282" s="98"/>
      <c r="D282" s="98"/>
      <c r="E282" s="98"/>
      <c r="F282" s="98"/>
      <c r="G282" s="142"/>
      <c r="H282" s="98"/>
    </row>
    <row r="283" spans="1:8" ht="12.75" customHeight="1" x14ac:dyDescent="0.15">
      <c r="A283" s="98"/>
      <c r="B283" s="98"/>
      <c r="C283" s="98"/>
      <c r="D283" s="98"/>
      <c r="E283" s="98"/>
      <c r="F283" s="98"/>
      <c r="G283" s="142"/>
      <c r="H283" s="98"/>
    </row>
    <row r="284" spans="1:8" ht="12.75" customHeight="1" x14ac:dyDescent="0.15">
      <c r="A284" s="98"/>
      <c r="B284" s="98"/>
      <c r="C284" s="98"/>
      <c r="D284" s="98"/>
      <c r="E284" s="98"/>
      <c r="F284" s="98"/>
      <c r="G284" s="142"/>
      <c r="H284" s="98"/>
    </row>
    <row r="285" spans="1:8" ht="12.75" customHeight="1" x14ac:dyDescent="0.15">
      <c r="A285" s="98"/>
      <c r="B285" s="98"/>
      <c r="C285" s="98"/>
      <c r="D285" s="98"/>
      <c r="E285" s="98"/>
      <c r="F285" s="98"/>
      <c r="G285" s="142"/>
      <c r="H285" s="98"/>
    </row>
    <row r="286" spans="1:8" ht="12.75" customHeight="1" x14ac:dyDescent="0.15">
      <c r="A286" s="98"/>
      <c r="B286" s="98"/>
      <c r="C286" s="98"/>
      <c r="D286" s="98"/>
      <c r="E286" s="98"/>
      <c r="F286" s="98"/>
      <c r="G286" s="142"/>
      <c r="H286" s="98"/>
    </row>
    <row r="287" spans="1:8" ht="12.75" customHeight="1" x14ac:dyDescent="0.15">
      <c r="A287" s="98"/>
      <c r="B287" s="98"/>
      <c r="C287" s="98"/>
      <c r="D287" s="98"/>
      <c r="E287" s="98"/>
      <c r="F287" s="98"/>
      <c r="G287" s="142"/>
      <c r="H287" s="98"/>
    </row>
    <row r="288" spans="1:8" ht="12.75" customHeight="1" x14ac:dyDescent="0.15">
      <c r="A288" s="98"/>
      <c r="B288" s="98"/>
      <c r="C288" s="98"/>
      <c r="D288" s="98"/>
      <c r="E288" s="98"/>
      <c r="F288" s="98"/>
      <c r="G288" s="142"/>
      <c r="H288" s="98"/>
    </row>
    <row r="289" spans="1:8" ht="12.75" customHeight="1" x14ac:dyDescent="0.15">
      <c r="A289" s="98"/>
      <c r="B289" s="98"/>
      <c r="C289" s="98"/>
      <c r="D289" s="98"/>
      <c r="E289" s="98"/>
      <c r="F289" s="98"/>
      <c r="G289" s="142"/>
      <c r="H289" s="98"/>
    </row>
    <row r="290" spans="1:8" ht="12.75" customHeight="1" x14ac:dyDescent="0.15">
      <c r="A290" s="98"/>
      <c r="B290" s="98"/>
      <c r="C290" s="98"/>
      <c r="D290" s="98"/>
      <c r="E290" s="98"/>
      <c r="F290" s="98"/>
      <c r="G290" s="142"/>
      <c r="H290" s="98"/>
    </row>
    <row r="291" spans="1:8" ht="12.75" customHeight="1" x14ac:dyDescent="0.15">
      <c r="A291" s="98"/>
      <c r="B291" s="98"/>
      <c r="C291" s="98"/>
      <c r="D291" s="98"/>
      <c r="E291" s="98"/>
      <c r="F291" s="98"/>
      <c r="G291" s="142"/>
      <c r="H291" s="98"/>
    </row>
    <row r="292" spans="1:8" ht="12.75" customHeight="1" x14ac:dyDescent="0.15">
      <c r="A292" s="98"/>
      <c r="B292" s="98"/>
      <c r="C292" s="98"/>
      <c r="D292" s="98"/>
      <c r="E292" s="98"/>
      <c r="F292" s="98"/>
      <c r="G292" s="142"/>
      <c r="H292" s="98"/>
    </row>
    <row r="293" spans="1:8" ht="12.75" customHeight="1" x14ac:dyDescent="0.15">
      <c r="A293" s="98"/>
      <c r="B293" s="98"/>
      <c r="C293" s="98"/>
      <c r="D293" s="98"/>
      <c r="E293" s="98"/>
      <c r="F293" s="98"/>
      <c r="G293" s="142"/>
      <c r="H293" s="98"/>
    </row>
    <row r="294" spans="1:8" ht="12.75" customHeight="1" x14ac:dyDescent="0.15">
      <c r="A294" s="98"/>
      <c r="B294" s="98"/>
      <c r="C294" s="98"/>
      <c r="D294" s="98"/>
      <c r="E294" s="98"/>
      <c r="F294" s="98"/>
      <c r="G294" s="142"/>
      <c r="H294" s="98"/>
    </row>
    <row r="295" spans="1:8" ht="12.75" customHeight="1" x14ac:dyDescent="0.15">
      <c r="A295" s="98"/>
      <c r="B295" s="98"/>
      <c r="C295" s="98"/>
      <c r="D295" s="98"/>
      <c r="E295" s="98"/>
      <c r="F295" s="98"/>
      <c r="G295" s="142"/>
      <c r="H295" s="98"/>
    </row>
    <row r="296" spans="1:8" ht="12.75" customHeight="1" x14ac:dyDescent="0.15">
      <c r="A296" s="98"/>
      <c r="B296" s="98"/>
      <c r="C296" s="98"/>
      <c r="D296" s="98"/>
      <c r="E296" s="98"/>
      <c r="F296" s="98"/>
      <c r="G296" s="142"/>
      <c r="H296" s="98"/>
    </row>
    <row r="297" spans="1:8" ht="12.75" customHeight="1" x14ac:dyDescent="0.15">
      <c r="A297" s="98"/>
      <c r="B297" s="98"/>
      <c r="C297" s="98"/>
      <c r="D297" s="98"/>
      <c r="E297" s="98"/>
      <c r="F297" s="98"/>
      <c r="G297" s="142"/>
      <c r="H297" s="98"/>
    </row>
    <row r="298" spans="1:8" ht="12.75" customHeight="1" x14ac:dyDescent="0.15">
      <c r="A298" s="98"/>
      <c r="B298" s="98"/>
      <c r="C298" s="98"/>
      <c r="D298" s="98"/>
      <c r="E298" s="98"/>
      <c r="F298" s="98"/>
      <c r="G298" s="142"/>
      <c r="H298" s="98"/>
    </row>
    <row r="299" spans="1:8" ht="12.75" customHeight="1" x14ac:dyDescent="0.15">
      <c r="A299" s="98"/>
      <c r="B299" s="98"/>
      <c r="C299" s="98"/>
      <c r="D299" s="98"/>
      <c r="E299" s="98"/>
      <c r="F299" s="98"/>
      <c r="G299" s="142"/>
      <c r="H299" s="98"/>
    </row>
    <row r="300" spans="1:8" ht="12.75" customHeight="1" x14ac:dyDescent="0.15">
      <c r="A300" s="98"/>
      <c r="B300" s="98"/>
      <c r="C300" s="98"/>
      <c r="D300" s="98"/>
      <c r="E300" s="98"/>
      <c r="F300" s="98"/>
      <c r="G300" s="142"/>
      <c r="H300" s="98"/>
    </row>
    <row r="301" spans="1:8" ht="12.75" customHeight="1" x14ac:dyDescent="0.15">
      <c r="A301" s="98"/>
      <c r="B301" s="98"/>
      <c r="C301" s="98"/>
      <c r="D301" s="98"/>
      <c r="E301" s="98"/>
      <c r="F301" s="98"/>
      <c r="G301" s="142"/>
      <c r="H301" s="98"/>
    </row>
    <row r="302" spans="1:8" ht="12.75" customHeight="1" x14ac:dyDescent="0.15">
      <c r="A302" s="98"/>
      <c r="B302" s="98"/>
      <c r="C302" s="98"/>
      <c r="D302" s="98"/>
      <c r="E302" s="98"/>
      <c r="F302" s="98"/>
      <c r="G302" s="142"/>
      <c r="H302" s="98"/>
    </row>
    <row r="303" spans="1:8" ht="12.75" customHeight="1" x14ac:dyDescent="0.15">
      <c r="A303" s="98"/>
      <c r="B303" s="98"/>
      <c r="C303" s="98"/>
      <c r="D303" s="98"/>
      <c r="E303" s="98"/>
      <c r="F303" s="98"/>
      <c r="G303" s="142"/>
      <c r="H303" s="98"/>
    </row>
    <row r="304" spans="1:8" ht="12.75" customHeight="1" x14ac:dyDescent="0.15">
      <c r="A304" s="98"/>
      <c r="B304" s="98"/>
      <c r="C304" s="98"/>
      <c r="D304" s="98"/>
      <c r="E304" s="98"/>
      <c r="F304" s="98"/>
      <c r="G304" s="142"/>
      <c r="H304" s="98"/>
    </row>
    <row r="305" spans="1:8" ht="12.75" customHeight="1" x14ac:dyDescent="0.15">
      <c r="A305" s="98"/>
      <c r="B305" s="98"/>
      <c r="C305" s="98"/>
      <c r="D305" s="98"/>
      <c r="E305" s="98"/>
      <c r="F305" s="98"/>
      <c r="G305" s="142"/>
      <c r="H305" s="98"/>
    </row>
    <row r="306" spans="1:8" ht="12.75" customHeight="1" x14ac:dyDescent="0.15">
      <c r="A306" s="98"/>
      <c r="B306" s="98"/>
      <c r="C306" s="98"/>
      <c r="D306" s="98"/>
      <c r="E306" s="98"/>
      <c r="F306" s="98"/>
      <c r="G306" s="142"/>
      <c r="H306" s="98"/>
    </row>
    <row r="307" spans="1:8" ht="12.75" customHeight="1" x14ac:dyDescent="0.15">
      <c r="A307" s="98"/>
      <c r="B307" s="98"/>
      <c r="C307" s="98"/>
      <c r="D307" s="98"/>
      <c r="E307" s="98"/>
      <c r="F307" s="98"/>
      <c r="G307" s="142"/>
      <c r="H307" s="98"/>
    </row>
    <row r="308" spans="1:8" ht="12.75" customHeight="1" x14ac:dyDescent="0.15">
      <c r="A308" s="98"/>
      <c r="B308" s="98"/>
      <c r="C308" s="98"/>
      <c r="D308" s="98"/>
      <c r="E308" s="98"/>
      <c r="F308" s="98"/>
      <c r="G308" s="142"/>
      <c r="H308" s="98"/>
    </row>
    <row r="309" spans="1:8" ht="12.75" customHeight="1" x14ac:dyDescent="0.15">
      <c r="A309" s="98"/>
      <c r="B309" s="98"/>
      <c r="C309" s="98"/>
      <c r="D309" s="98"/>
      <c r="E309" s="98"/>
      <c r="F309" s="98"/>
      <c r="G309" s="142"/>
      <c r="H309" s="98"/>
    </row>
    <row r="310" spans="1:8" ht="12.75" customHeight="1" x14ac:dyDescent="0.15">
      <c r="A310" s="98"/>
      <c r="B310" s="98"/>
      <c r="C310" s="98"/>
      <c r="D310" s="98"/>
      <c r="E310" s="98"/>
      <c r="F310" s="98"/>
      <c r="G310" s="142"/>
      <c r="H310" s="98"/>
    </row>
    <row r="311" spans="1:8" ht="12.75" customHeight="1" x14ac:dyDescent="0.15">
      <c r="A311" s="98"/>
      <c r="B311" s="98"/>
      <c r="C311" s="98"/>
      <c r="D311" s="98"/>
      <c r="E311" s="98"/>
      <c r="F311" s="98"/>
      <c r="G311" s="142"/>
      <c r="H311" s="98"/>
    </row>
    <row r="312" spans="1:8" ht="12.75" customHeight="1" x14ac:dyDescent="0.15">
      <c r="A312" s="98"/>
      <c r="B312" s="98"/>
      <c r="C312" s="98"/>
      <c r="D312" s="98"/>
      <c r="E312" s="98"/>
      <c r="F312" s="98"/>
      <c r="G312" s="142"/>
      <c r="H312" s="98"/>
    </row>
    <row r="313" spans="1:8" ht="12.75" customHeight="1" x14ac:dyDescent="0.15">
      <c r="A313" s="98"/>
      <c r="B313" s="98"/>
      <c r="C313" s="98"/>
      <c r="D313" s="98"/>
      <c r="E313" s="98"/>
      <c r="F313" s="98"/>
      <c r="G313" s="142"/>
      <c r="H313" s="98"/>
    </row>
    <row r="314" spans="1:8" ht="12.75" customHeight="1" x14ac:dyDescent="0.15">
      <c r="A314" s="98"/>
      <c r="B314" s="98"/>
      <c r="C314" s="98"/>
      <c r="D314" s="98"/>
      <c r="E314" s="98"/>
      <c r="F314" s="98"/>
      <c r="G314" s="142"/>
      <c r="H314" s="98"/>
    </row>
    <row r="315" spans="1:8" ht="12.75" customHeight="1" x14ac:dyDescent="0.15">
      <c r="A315" s="98"/>
      <c r="B315" s="98"/>
      <c r="C315" s="98"/>
      <c r="D315" s="98"/>
      <c r="E315" s="98"/>
      <c r="F315" s="98"/>
      <c r="G315" s="142"/>
      <c r="H315" s="98"/>
    </row>
    <row r="316" spans="1:8" ht="12.75" customHeight="1" x14ac:dyDescent="0.15">
      <c r="A316" s="98"/>
      <c r="B316" s="98"/>
      <c r="C316" s="98"/>
      <c r="D316" s="98"/>
      <c r="E316" s="98"/>
      <c r="F316" s="98"/>
      <c r="G316" s="142"/>
      <c r="H316" s="98"/>
    </row>
    <row r="317" spans="1:8" ht="12.75" customHeight="1" x14ac:dyDescent="0.15">
      <c r="A317" s="98"/>
      <c r="B317" s="98"/>
      <c r="C317" s="98"/>
      <c r="D317" s="98"/>
      <c r="E317" s="98"/>
      <c r="F317" s="98"/>
      <c r="G317" s="142"/>
      <c r="H317" s="98"/>
    </row>
    <row r="318" spans="1:8" ht="12.75" customHeight="1" x14ac:dyDescent="0.15">
      <c r="A318" s="98"/>
      <c r="B318" s="98"/>
      <c r="C318" s="98"/>
      <c r="D318" s="98"/>
      <c r="E318" s="98"/>
      <c r="F318" s="98"/>
      <c r="G318" s="142"/>
      <c r="H318" s="98"/>
    </row>
    <row r="319" spans="1:8" ht="12.75" customHeight="1" x14ac:dyDescent="0.15">
      <c r="A319" s="98"/>
      <c r="B319" s="98"/>
      <c r="C319" s="98"/>
      <c r="D319" s="98"/>
      <c r="E319" s="98"/>
      <c r="F319" s="98"/>
      <c r="G319" s="142"/>
      <c r="H319" s="98"/>
    </row>
    <row r="320" spans="1:8" ht="12.75" customHeight="1" x14ac:dyDescent="0.15">
      <c r="A320" s="98"/>
      <c r="B320" s="98"/>
      <c r="C320" s="98"/>
      <c r="D320" s="98"/>
      <c r="E320" s="98"/>
      <c r="F320" s="98"/>
      <c r="G320" s="142"/>
      <c r="H320" s="98"/>
    </row>
    <row r="321" spans="1:8" ht="12.75" customHeight="1" x14ac:dyDescent="0.15">
      <c r="A321" s="98"/>
      <c r="B321" s="98"/>
      <c r="C321" s="98"/>
      <c r="D321" s="98"/>
      <c r="E321" s="98"/>
      <c r="F321" s="98"/>
      <c r="G321" s="142"/>
      <c r="H321" s="98"/>
    </row>
    <row r="322" spans="1:8" ht="12.75" customHeight="1" x14ac:dyDescent="0.15">
      <c r="A322" s="98"/>
      <c r="B322" s="98"/>
      <c r="C322" s="98"/>
      <c r="D322" s="98"/>
      <c r="E322" s="98"/>
      <c r="F322" s="98"/>
      <c r="G322" s="142"/>
      <c r="H322" s="98"/>
    </row>
    <row r="323" spans="1:8" ht="12.75" customHeight="1" x14ac:dyDescent="0.15">
      <c r="A323" s="98"/>
      <c r="B323" s="98"/>
      <c r="C323" s="98"/>
      <c r="D323" s="98"/>
      <c r="E323" s="98"/>
      <c r="F323" s="98"/>
      <c r="G323" s="142"/>
      <c r="H323" s="98"/>
    </row>
    <row r="324" spans="1:8" ht="12.75" customHeight="1" x14ac:dyDescent="0.15">
      <c r="A324" s="98"/>
      <c r="B324" s="98"/>
      <c r="C324" s="98"/>
      <c r="D324" s="98"/>
      <c r="E324" s="98"/>
      <c r="F324" s="98"/>
      <c r="G324" s="142"/>
      <c r="H324" s="98"/>
    </row>
    <row r="325" spans="1:8" ht="12.75" customHeight="1" x14ac:dyDescent="0.15">
      <c r="A325" s="98"/>
      <c r="B325" s="98"/>
      <c r="C325" s="98"/>
      <c r="D325" s="98"/>
      <c r="E325" s="98"/>
      <c r="F325" s="98"/>
      <c r="G325" s="142"/>
      <c r="H325" s="98"/>
    </row>
    <row r="326" spans="1:8" ht="12.75" customHeight="1" x14ac:dyDescent="0.15">
      <c r="A326" s="98"/>
      <c r="B326" s="98"/>
      <c r="C326" s="98"/>
      <c r="D326" s="98"/>
      <c r="E326" s="98"/>
      <c r="F326" s="98"/>
      <c r="G326" s="142"/>
      <c r="H326" s="98"/>
    </row>
    <row r="327" spans="1:8" ht="12.75" customHeight="1" x14ac:dyDescent="0.15">
      <c r="A327" s="98"/>
      <c r="B327" s="98"/>
      <c r="C327" s="98"/>
      <c r="D327" s="98"/>
      <c r="E327" s="98"/>
      <c r="F327" s="98"/>
      <c r="G327" s="142"/>
      <c r="H327" s="98"/>
    </row>
    <row r="328" spans="1:8" ht="12.75" customHeight="1" x14ac:dyDescent="0.15">
      <c r="A328" s="98"/>
      <c r="B328" s="98"/>
      <c r="C328" s="98"/>
      <c r="D328" s="98"/>
      <c r="E328" s="98"/>
      <c r="F328" s="98"/>
      <c r="G328" s="142"/>
      <c r="H328" s="98"/>
    </row>
    <row r="329" spans="1:8" ht="12.75" customHeight="1" x14ac:dyDescent="0.15">
      <c r="A329" s="98"/>
      <c r="B329" s="98"/>
      <c r="C329" s="98"/>
      <c r="D329" s="98"/>
      <c r="E329" s="98"/>
      <c r="F329" s="98"/>
      <c r="G329" s="142"/>
      <c r="H329" s="98"/>
    </row>
    <row r="330" spans="1:8" ht="12.75" customHeight="1" x14ac:dyDescent="0.15">
      <c r="A330" s="98"/>
      <c r="B330" s="98"/>
      <c r="C330" s="98"/>
      <c r="D330" s="98"/>
      <c r="E330" s="98"/>
      <c r="F330" s="98"/>
      <c r="G330" s="142"/>
      <c r="H330" s="98"/>
    </row>
    <row r="331" spans="1:8" ht="12.75" customHeight="1" x14ac:dyDescent="0.15">
      <c r="A331" s="98"/>
      <c r="B331" s="98"/>
      <c r="C331" s="98"/>
      <c r="D331" s="98"/>
      <c r="E331" s="98"/>
      <c r="F331" s="98"/>
      <c r="G331" s="142"/>
      <c r="H331" s="98"/>
    </row>
    <row r="332" spans="1:8" ht="12.75" customHeight="1" x14ac:dyDescent="0.15">
      <c r="A332" s="98"/>
      <c r="B332" s="98"/>
      <c r="C332" s="98"/>
      <c r="D332" s="98"/>
      <c r="E332" s="98"/>
      <c r="F332" s="98"/>
      <c r="G332" s="142"/>
      <c r="H332" s="98"/>
    </row>
    <row r="333" spans="1:8" ht="12.75" customHeight="1" x14ac:dyDescent="0.15">
      <c r="A333" s="98"/>
      <c r="B333" s="98"/>
      <c r="C333" s="98"/>
      <c r="D333" s="98"/>
      <c r="E333" s="98"/>
      <c r="F333" s="98"/>
      <c r="G333" s="142"/>
      <c r="H333" s="98"/>
    </row>
    <row r="334" spans="1:8" ht="12.75" customHeight="1" x14ac:dyDescent="0.15">
      <c r="A334" s="98"/>
      <c r="B334" s="98"/>
      <c r="C334" s="98"/>
      <c r="D334" s="98"/>
      <c r="E334" s="98"/>
      <c r="F334" s="98"/>
      <c r="G334" s="142"/>
      <c r="H334" s="98"/>
    </row>
    <row r="335" spans="1:8" ht="12.75" customHeight="1" x14ac:dyDescent="0.15">
      <c r="A335" s="98"/>
      <c r="B335" s="98"/>
      <c r="C335" s="98"/>
      <c r="D335" s="98"/>
      <c r="E335" s="98"/>
      <c r="F335" s="98"/>
      <c r="G335" s="142"/>
      <c r="H335" s="98"/>
    </row>
    <row r="336" spans="1:8" ht="12.75" customHeight="1" x14ac:dyDescent="0.15">
      <c r="A336" s="98"/>
      <c r="B336" s="98"/>
      <c r="C336" s="98"/>
      <c r="D336" s="98"/>
      <c r="E336" s="98"/>
      <c r="F336" s="98"/>
      <c r="G336" s="142"/>
      <c r="H336" s="98"/>
    </row>
    <row r="337" spans="1:8" ht="12.75" customHeight="1" x14ac:dyDescent="0.15">
      <c r="A337" s="98"/>
      <c r="B337" s="98"/>
      <c r="C337" s="98"/>
      <c r="D337" s="98"/>
      <c r="E337" s="98"/>
      <c r="F337" s="98"/>
      <c r="G337" s="142"/>
      <c r="H337" s="98"/>
    </row>
    <row r="338" spans="1:8" ht="12.75" customHeight="1" x14ac:dyDescent="0.15">
      <c r="A338" s="98"/>
      <c r="B338" s="98"/>
      <c r="C338" s="98"/>
      <c r="D338" s="98"/>
      <c r="E338" s="98"/>
      <c r="F338" s="98"/>
      <c r="G338" s="142"/>
      <c r="H338" s="98"/>
    </row>
    <row r="339" spans="1:8" ht="12.75" customHeight="1" x14ac:dyDescent="0.15">
      <c r="A339" s="98"/>
      <c r="B339" s="98"/>
      <c r="C339" s="98"/>
      <c r="D339" s="98"/>
      <c r="E339" s="98"/>
      <c r="F339" s="98"/>
      <c r="G339" s="142"/>
      <c r="H339" s="98"/>
    </row>
    <row r="340" spans="1:8" ht="12.75" customHeight="1" x14ac:dyDescent="0.15">
      <c r="A340" s="98"/>
      <c r="B340" s="98"/>
      <c r="C340" s="98"/>
      <c r="D340" s="98"/>
      <c r="E340" s="98"/>
      <c r="F340" s="98"/>
      <c r="G340" s="142"/>
      <c r="H340" s="98"/>
    </row>
    <row r="341" spans="1:8" ht="12.75" customHeight="1" x14ac:dyDescent="0.15">
      <c r="A341" s="98"/>
      <c r="B341" s="98"/>
      <c r="C341" s="98"/>
      <c r="D341" s="98"/>
      <c r="E341" s="98"/>
      <c r="F341" s="98"/>
      <c r="G341" s="142"/>
      <c r="H341" s="98"/>
    </row>
    <row r="342" spans="1:8" ht="12.75" customHeight="1" x14ac:dyDescent="0.15">
      <c r="A342" s="98"/>
      <c r="B342" s="98"/>
      <c r="C342" s="98"/>
      <c r="D342" s="98"/>
      <c r="E342" s="98"/>
      <c r="F342" s="98"/>
      <c r="G342" s="142"/>
      <c r="H342" s="98"/>
    </row>
    <row r="343" spans="1:8" ht="12.75" customHeight="1" x14ac:dyDescent="0.15">
      <c r="A343" s="98"/>
      <c r="B343" s="98"/>
      <c r="C343" s="98"/>
      <c r="D343" s="98"/>
      <c r="E343" s="98"/>
      <c r="F343" s="98"/>
      <c r="G343" s="142"/>
      <c r="H343" s="98"/>
    </row>
    <row r="344" spans="1:8" ht="12.75" customHeight="1" x14ac:dyDescent="0.15">
      <c r="A344" s="98"/>
      <c r="B344" s="98"/>
      <c r="C344" s="98"/>
      <c r="D344" s="98"/>
      <c r="E344" s="98"/>
      <c r="F344" s="98"/>
      <c r="G344" s="142"/>
      <c r="H344" s="98"/>
    </row>
    <row r="345" spans="1:8" ht="12.75" customHeight="1" x14ac:dyDescent="0.15">
      <c r="A345" s="98"/>
      <c r="B345" s="98"/>
      <c r="C345" s="98"/>
      <c r="D345" s="98"/>
      <c r="E345" s="98"/>
      <c r="F345" s="98"/>
      <c r="G345" s="142"/>
      <c r="H345" s="98"/>
    </row>
    <row r="346" spans="1:8" ht="12.75" customHeight="1" x14ac:dyDescent="0.15">
      <c r="A346" s="98"/>
      <c r="B346" s="98"/>
      <c r="C346" s="98"/>
      <c r="D346" s="98"/>
      <c r="E346" s="98"/>
      <c r="F346" s="98"/>
      <c r="G346" s="142"/>
      <c r="H346" s="98"/>
    </row>
    <row r="347" spans="1:8" ht="12.75" customHeight="1" x14ac:dyDescent="0.15">
      <c r="A347" s="98"/>
      <c r="B347" s="98"/>
      <c r="C347" s="98"/>
      <c r="D347" s="98"/>
      <c r="E347" s="98"/>
      <c r="F347" s="98"/>
      <c r="G347" s="142"/>
      <c r="H347" s="98"/>
    </row>
    <row r="348" spans="1:8" ht="12.75" customHeight="1" x14ac:dyDescent="0.15">
      <c r="A348" s="98"/>
      <c r="B348" s="98"/>
      <c r="C348" s="98"/>
      <c r="D348" s="98"/>
      <c r="E348" s="98"/>
      <c r="F348" s="98"/>
      <c r="G348" s="142"/>
      <c r="H348" s="98"/>
    </row>
    <row r="349" spans="1:8" ht="12.75" customHeight="1" x14ac:dyDescent="0.15">
      <c r="A349" s="98"/>
      <c r="B349" s="98"/>
      <c r="C349" s="98"/>
      <c r="D349" s="98"/>
      <c r="E349" s="98"/>
      <c r="F349" s="98"/>
      <c r="G349" s="142"/>
      <c r="H349" s="98"/>
    </row>
    <row r="350" spans="1:8" ht="12.75" customHeight="1" x14ac:dyDescent="0.15">
      <c r="A350" s="98"/>
      <c r="B350" s="98"/>
      <c r="C350" s="98"/>
      <c r="D350" s="98"/>
      <c r="E350" s="98"/>
      <c r="F350" s="98"/>
      <c r="G350" s="142"/>
      <c r="H350" s="98"/>
    </row>
    <row r="351" spans="1:8" ht="12.75" customHeight="1" x14ac:dyDescent="0.15">
      <c r="A351" s="98"/>
      <c r="B351" s="98"/>
      <c r="C351" s="98"/>
      <c r="D351" s="98"/>
      <c r="E351" s="98"/>
      <c r="F351" s="98"/>
      <c r="G351" s="142"/>
      <c r="H351" s="98"/>
    </row>
    <row r="352" spans="1:8" ht="12.75" customHeight="1" x14ac:dyDescent="0.15">
      <c r="A352" s="98"/>
      <c r="B352" s="98"/>
      <c r="C352" s="98"/>
      <c r="D352" s="98"/>
      <c r="E352" s="98"/>
      <c r="F352" s="98"/>
      <c r="G352" s="142"/>
      <c r="H352" s="98"/>
    </row>
    <row r="353" spans="1:8" ht="12.75" customHeight="1" x14ac:dyDescent="0.15">
      <c r="A353" s="98"/>
      <c r="B353" s="98"/>
      <c r="C353" s="98"/>
      <c r="D353" s="98"/>
      <c r="E353" s="98"/>
      <c r="F353" s="98"/>
      <c r="G353" s="142"/>
      <c r="H353" s="98"/>
    </row>
    <row r="354" spans="1:8" ht="12.75" customHeight="1" x14ac:dyDescent="0.15">
      <c r="A354" s="98"/>
      <c r="B354" s="98"/>
      <c r="C354" s="98"/>
      <c r="D354" s="98"/>
      <c r="E354" s="98"/>
      <c r="F354" s="98"/>
      <c r="G354" s="142"/>
      <c r="H354" s="98"/>
    </row>
    <row r="355" spans="1:8" ht="12.75" customHeight="1" x14ac:dyDescent="0.15">
      <c r="A355" s="98"/>
      <c r="B355" s="98"/>
      <c r="C355" s="98"/>
      <c r="D355" s="98"/>
      <c r="E355" s="98"/>
      <c r="F355" s="98"/>
      <c r="G355" s="142"/>
      <c r="H355" s="98"/>
    </row>
    <row r="356" spans="1:8" ht="12.75" customHeight="1" x14ac:dyDescent="0.15">
      <c r="A356" s="98"/>
      <c r="B356" s="98"/>
      <c r="C356" s="98"/>
      <c r="D356" s="98"/>
      <c r="E356" s="98"/>
      <c r="F356" s="98"/>
      <c r="G356" s="142"/>
      <c r="H356" s="98"/>
    </row>
    <row r="357" spans="1:8" ht="12.75" customHeight="1" x14ac:dyDescent="0.15">
      <c r="A357" s="98"/>
      <c r="B357" s="98"/>
      <c r="C357" s="98"/>
      <c r="D357" s="98"/>
      <c r="E357" s="98"/>
      <c r="F357" s="98"/>
      <c r="G357" s="142"/>
      <c r="H357" s="98"/>
    </row>
    <row r="358" spans="1:8" ht="12.75" customHeight="1" x14ac:dyDescent="0.15">
      <c r="A358" s="98"/>
      <c r="B358" s="98"/>
      <c r="C358" s="98"/>
      <c r="D358" s="98"/>
      <c r="E358" s="98"/>
      <c r="F358" s="98"/>
      <c r="G358" s="142"/>
      <c r="H358" s="98"/>
    </row>
    <row r="359" spans="1:8" ht="12.75" customHeight="1" x14ac:dyDescent="0.15">
      <c r="A359" s="98"/>
      <c r="B359" s="98"/>
      <c r="C359" s="98"/>
      <c r="D359" s="98"/>
      <c r="E359" s="98"/>
      <c r="F359" s="98"/>
      <c r="G359" s="142"/>
      <c r="H359" s="98"/>
    </row>
    <row r="360" spans="1:8" ht="12.75" customHeight="1" x14ac:dyDescent="0.15">
      <c r="A360" s="98"/>
      <c r="B360" s="98"/>
      <c r="C360" s="98"/>
      <c r="D360" s="98"/>
      <c r="E360" s="98"/>
      <c r="F360" s="98"/>
      <c r="G360" s="142"/>
      <c r="H360" s="98"/>
    </row>
    <row r="361" spans="1:8" ht="12.75" customHeight="1" x14ac:dyDescent="0.15">
      <c r="A361" s="98"/>
      <c r="B361" s="98"/>
      <c r="C361" s="98"/>
      <c r="D361" s="98"/>
      <c r="E361" s="98"/>
      <c r="F361" s="98"/>
      <c r="G361" s="142"/>
      <c r="H361" s="98"/>
    </row>
    <row r="362" spans="1:8" ht="12.75" customHeight="1" x14ac:dyDescent="0.15">
      <c r="A362" s="98"/>
      <c r="B362" s="98"/>
      <c r="C362" s="98"/>
      <c r="D362" s="98"/>
      <c r="E362" s="98"/>
      <c r="F362" s="98"/>
      <c r="G362" s="142"/>
      <c r="H362" s="98"/>
    </row>
    <row r="363" spans="1:8" ht="12.75" customHeight="1" x14ac:dyDescent="0.15">
      <c r="A363" s="98"/>
      <c r="B363" s="98"/>
      <c r="C363" s="98"/>
      <c r="D363" s="98"/>
      <c r="E363" s="98"/>
      <c r="F363" s="98"/>
      <c r="G363" s="142"/>
      <c r="H363" s="98"/>
    </row>
    <row r="364" spans="1:8" ht="12.75" customHeight="1" x14ac:dyDescent="0.15">
      <c r="A364" s="98"/>
      <c r="B364" s="98"/>
      <c r="C364" s="98"/>
      <c r="D364" s="98"/>
      <c r="E364" s="98"/>
      <c r="F364" s="98"/>
      <c r="G364" s="142"/>
      <c r="H364" s="98"/>
    </row>
    <row r="365" spans="1:8" ht="12.75" customHeight="1" x14ac:dyDescent="0.15">
      <c r="A365" s="98"/>
      <c r="B365" s="98"/>
      <c r="C365" s="98"/>
      <c r="D365" s="98"/>
      <c r="E365" s="98"/>
      <c r="F365" s="98"/>
      <c r="G365" s="142"/>
      <c r="H365" s="98"/>
    </row>
    <row r="366" spans="1:8" ht="12.75" customHeight="1" x14ac:dyDescent="0.15">
      <c r="A366" s="98"/>
      <c r="B366" s="98"/>
      <c r="C366" s="98"/>
      <c r="D366" s="98"/>
      <c r="E366" s="98"/>
      <c r="F366" s="98"/>
      <c r="G366" s="142"/>
      <c r="H366" s="98"/>
    </row>
    <row r="367" spans="1:8" ht="12.75" customHeight="1" x14ac:dyDescent="0.15">
      <c r="A367" s="98"/>
      <c r="B367" s="98"/>
      <c r="C367" s="98"/>
      <c r="D367" s="98"/>
      <c r="E367" s="98"/>
      <c r="F367" s="98"/>
      <c r="G367" s="142"/>
      <c r="H367" s="98"/>
    </row>
    <row r="368" spans="1:8" ht="12.75" customHeight="1" x14ac:dyDescent="0.15">
      <c r="A368" s="98"/>
      <c r="B368" s="98"/>
      <c r="C368" s="98"/>
      <c r="D368" s="98"/>
      <c r="E368" s="98"/>
      <c r="F368" s="98"/>
      <c r="G368" s="142"/>
      <c r="H368" s="98"/>
    </row>
    <row r="369" spans="1:8" ht="12.75" customHeight="1" x14ac:dyDescent="0.15">
      <c r="A369" s="98"/>
      <c r="B369" s="98"/>
      <c r="C369" s="98"/>
      <c r="D369" s="98"/>
      <c r="E369" s="98"/>
      <c r="F369" s="98"/>
      <c r="G369" s="142"/>
      <c r="H369" s="98"/>
    </row>
    <row r="370" spans="1:8" ht="12.75" customHeight="1" x14ac:dyDescent="0.15">
      <c r="A370" s="98"/>
      <c r="B370" s="98"/>
      <c r="C370" s="98"/>
      <c r="D370" s="98"/>
      <c r="E370" s="98"/>
      <c r="F370" s="98"/>
      <c r="G370" s="142"/>
      <c r="H370" s="98"/>
    </row>
    <row r="371" spans="1:8" ht="12.75" customHeight="1" x14ac:dyDescent="0.15">
      <c r="A371" s="98"/>
      <c r="B371" s="98"/>
      <c r="C371" s="98"/>
      <c r="D371" s="98"/>
      <c r="E371" s="98"/>
      <c r="F371" s="98"/>
      <c r="G371" s="142"/>
      <c r="H371" s="98"/>
    </row>
    <row r="372" spans="1:8" ht="12.75" customHeight="1" x14ac:dyDescent="0.15">
      <c r="A372" s="98"/>
      <c r="B372" s="98"/>
      <c r="C372" s="98"/>
      <c r="D372" s="98"/>
      <c r="E372" s="98"/>
      <c r="F372" s="98"/>
      <c r="G372" s="142"/>
      <c r="H372" s="98"/>
    </row>
    <row r="373" spans="1:8" ht="12.75" customHeight="1" x14ac:dyDescent="0.15">
      <c r="A373" s="98"/>
      <c r="B373" s="98"/>
      <c r="C373" s="98"/>
      <c r="D373" s="98"/>
      <c r="E373" s="98"/>
      <c r="F373" s="98"/>
      <c r="G373" s="142"/>
      <c r="H373" s="98"/>
    </row>
    <row r="374" spans="1:8" ht="12.75" customHeight="1" x14ac:dyDescent="0.15">
      <c r="A374" s="98"/>
      <c r="B374" s="98"/>
      <c r="C374" s="98"/>
      <c r="D374" s="98"/>
      <c r="E374" s="98"/>
      <c r="F374" s="98"/>
      <c r="G374" s="142"/>
      <c r="H374" s="98"/>
    </row>
    <row r="375" spans="1:8" ht="12.75" customHeight="1" x14ac:dyDescent="0.15">
      <c r="A375" s="98"/>
      <c r="B375" s="98"/>
      <c r="C375" s="98"/>
      <c r="D375" s="98"/>
      <c r="E375" s="98"/>
      <c r="F375" s="98"/>
      <c r="G375" s="142"/>
      <c r="H375" s="98"/>
    </row>
    <row r="376" spans="1:8" ht="12.75" customHeight="1" x14ac:dyDescent="0.15">
      <c r="A376" s="98"/>
      <c r="B376" s="98"/>
      <c r="C376" s="98"/>
      <c r="D376" s="98"/>
      <c r="E376" s="98"/>
      <c r="F376" s="98"/>
      <c r="G376" s="142"/>
      <c r="H376" s="98"/>
    </row>
    <row r="377" spans="1:8" ht="12.75" customHeight="1" x14ac:dyDescent="0.15">
      <c r="A377" s="98"/>
      <c r="B377" s="98"/>
      <c r="C377" s="98"/>
      <c r="D377" s="98"/>
      <c r="E377" s="98"/>
      <c r="F377" s="98"/>
      <c r="G377" s="142"/>
      <c r="H377" s="98"/>
    </row>
    <row r="378" spans="1:8" ht="12.75" customHeight="1" x14ac:dyDescent="0.15">
      <c r="A378" s="98"/>
      <c r="B378" s="98"/>
      <c r="C378" s="98"/>
      <c r="D378" s="98"/>
      <c r="E378" s="98"/>
      <c r="F378" s="98"/>
      <c r="G378" s="142"/>
      <c r="H378" s="98"/>
    </row>
    <row r="379" spans="1:8" ht="12.75" customHeight="1" x14ac:dyDescent="0.15">
      <c r="A379" s="98"/>
      <c r="B379" s="98"/>
      <c r="C379" s="98"/>
      <c r="D379" s="98"/>
      <c r="E379" s="98"/>
      <c r="F379" s="98"/>
      <c r="G379" s="142"/>
      <c r="H379" s="98"/>
    </row>
    <row r="380" spans="1:8" ht="12.75" customHeight="1" x14ac:dyDescent="0.15">
      <c r="A380" s="98"/>
      <c r="B380" s="98"/>
      <c r="C380" s="98"/>
      <c r="D380" s="98"/>
      <c r="E380" s="98"/>
      <c r="F380" s="98"/>
      <c r="G380" s="142"/>
      <c r="H380" s="98"/>
    </row>
    <row r="381" spans="1:8" ht="12.75" customHeight="1" x14ac:dyDescent="0.15">
      <c r="A381" s="98"/>
      <c r="B381" s="98"/>
      <c r="C381" s="98"/>
      <c r="D381" s="98"/>
      <c r="E381" s="98"/>
      <c r="F381" s="98"/>
      <c r="G381" s="142"/>
      <c r="H381" s="98"/>
    </row>
    <row r="382" spans="1:8" ht="12.75" customHeight="1" x14ac:dyDescent="0.15">
      <c r="A382" s="98"/>
      <c r="B382" s="98"/>
      <c r="C382" s="98"/>
      <c r="D382" s="98"/>
      <c r="E382" s="98"/>
      <c r="F382" s="98"/>
      <c r="G382" s="142"/>
      <c r="H382" s="98"/>
    </row>
    <row r="383" spans="1:8" ht="12.75" customHeight="1" x14ac:dyDescent="0.15">
      <c r="A383" s="98"/>
      <c r="B383" s="98"/>
      <c r="C383" s="98"/>
      <c r="D383" s="98"/>
      <c r="E383" s="98"/>
      <c r="F383" s="98"/>
      <c r="G383" s="142"/>
      <c r="H383" s="98"/>
    </row>
    <row r="384" spans="1:8" ht="12.75" customHeight="1" x14ac:dyDescent="0.15">
      <c r="A384" s="98"/>
      <c r="B384" s="98"/>
      <c r="C384" s="98"/>
      <c r="D384" s="98"/>
      <c r="E384" s="98"/>
      <c r="F384" s="98"/>
      <c r="G384" s="142"/>
      <c r="H384" s="98"/>
    </row>
    <row r="385" spans="1:8" ht="12.75" customHeight="1" x14ac:dyDescent="0.15">
      <c r="A385" s="98"/>
      <c r="B385" s="98"/>
      <c r="C385" s="98"/>
      <c r="D385" s="98"/>
      <c r="E385" s="98"/>
      <c r="F385" s="98"/>
      <c r="G385" s="142"/>
      <c r="H385" s="98"/>
    </row>
    <row r="386" spans="1:8" ht="12.75" customHeight="1" x14ac:dyDescent="0.15">
      <c r="A386" s="98"/>
      <c r="B386" s="98"/>
      <c r="C386" s="98"/>
      <c r="D386" s="98"/>
      <c r="E386" s="98"/>
      <c r="F386" s="98"/>
      <c r="G386" s="142"/>
      <c r="H386" s="98"/>
    </row>
    <row r="387" spans="1:8" ht="12.75" customHeight="1" x14ac:dyDescent="0.15">
      <c r="A387" s="98"/>
      <c r="B387" s="98"/>
      <c r="C387" s="98"/>
      <c r="D387" s="98"/>
      <c r="E387" s="98"/>
      <c r="F387" s="98"/>
      <c r="G387" s="142"/>
      <c r="H387" s="98"/>
    </row>
    <row r="388" spans="1:8" ht="12.75" customHeight="1" x14ac:dyDescent="0.15">
      <c r="A388" s="98"/>
      <c r="B388" s="98"/>
      <c r="C388" s="98"/>
      <c r="D388" s="98"/>
      <c r="E388" s="98"/>
      <c r="F388" s="98"/>
      <c r="G388" s="142"/>
      <c r="H388" s="98"/>
    </row>
    <row r="389" spans="1:8" ht="12.75" customHeight="1" x14ac:dyDescent="0.15">
      <c r="A389" s="98"/>
      <c r="B389" s="98"/>
      <c r="C389" s="98"/>
      <c r="D389" s="98"/>
      <c r="E389" s="98"/>
      <c r="F389" s="98"/>
      <c r="G389" s="142"/>
      <c r="H389" s="98"/>
    </row>
    <row r="390" spans="1:8" ht="12.75" customHeight="1" x14ac:dyDescent="0.15">
      <c r="A390" s="98"/>
      <c r="B390" s="98"/>
      <c r="C390" s="98"/>
      <c r="D390" s="98"/>
      <c r="E390" s="98"/>
      <c r="F390" s="98"/>
      <c r="G390" s="142"/>
      <c r="H390" s="98"/>
    </row>
    <row r="391" spans="1:8" ht="12.75" customHeight="1" x14ac:dyDescent="0.15">
      <c r="A391" s="98"/>
      <c r="B391" s="98"/>
      <c r="C391" s="98"/>
      <c r="D391" s="98"/>
      <c r="E391" s="98"/>
      <c r="F391" s="98"/>
      <c r="G391" s="142"/>
      <c r="H391" s="98"/>
    </row>
    <row r="392" spans="1:8" ht="12.75" customHeight="1" x14ac:dyDescent="0.15">
      <c r="A392" s="98"/>
      <c r="B392" s="98"/>
      <c r="C392" s="98"/>
      <c r="D392" s="98"/>
      <c r="E392" s="98"/>
      <c r="F392" s="98"/>
      <c r="G392" s="142"/>
      <c r="H392" s="98"/>
    </row>
    <row r="393" spans="1:8" ht="12.75" customHeight="1" x14ac:dyDescent="0.15">
      <c r="A393" s="98"/>
      <c r="B393" s="98"/>
      <c r="C393" s="98"/>
      <c r="D393" s="98"/>
      <c r="E393" s="98"/>
      <c r="F393" s="98"/>
      <c r="G393" s="142"/>
      <c r="H393" s="98"/>
    </row>
    <row r="394" spans="1:8" ht="12.75" customHeight="1" x14ac:dyDescent="0.15">
      <c r="A394" s="98"/>
      <c r="B394" s="98"/>
      <c r="C394" s="98"/>
      <c r="D394" s="98"/>
      <c r="E394" s="98"/>
      <c r="F394" s="98"/>
      <c r="G394" s="142"/>
      <c r="H394" s="98"/>
    </row>
    <row r="395" spans="1:8" ht="12.75" customHeight="1" x14ac:dyDescent="0.15">
      <c r="A395" s="98"/>
      <c r="B395" s="98"/>
      <c r="C395" s="98"/>
      <c r="D395" s="98"/>
      <c r="E395" s="98"/>
      <c r="F395" s="98"/>
      <c r="G395" s="142"/>
      <c r="H395" s="98"/>
    </row>
    <row r="396" spans="1:8" ht="12.75" customHeight="1" x14ac:dyDescent="0.15">
      <c r="A396" s="98"/>
      <c r="B396" s="98"/>
      <c r="C396" s="98"/>
      <c r="D396" s="98"/>
      <c r="E396" s="98"/>
      <c r="F396" s="98"/>
      <c r="G396" s="142"/>
      <c r="H396" s="98"/>
    </row>
    <row r="397" spans="1:8" ht="12.75" customHeight="1" x14ac:dyDescent="0.15">
      <c r="A397" s="98"/>
      <c r="B397" s="98"/>
      <c r="C397" s="98"/>
      <c r="D397" s="98"/>
      <c r="E397" s="98"/>
      <c r="F397" s="98"/>
      <c r="G397" s="142"/>
      <c r="H397" s="98"/>
    </row>
    <row r="398" spans="1:8" ht="12.75" customHeight="1" x14ac:dyDescent="0.15">
      <c r="A398" s="98"/>
      <c r="B398" s="98"/>
      <c r="C398" s="98"/>
      <c r="D398" s="98"/>
      <c r="E398" s="98"/>
      <c r="F398" s="98"/>
      <c r="G398" s="142"/>
      <c r="H398" s="98"/>
    </row>
    <row r="399" spans="1:8" ht="12.75" customHeight="1" x14ac:dyDescent="0.15">
      <c r="A399" s="98"/>
      <c r="B399" s="98"/>
      <c r="C399" s="98"/>
      <c r="D399" s="98"/>
      <c r="E399" s="98"/>
      <c r="F399" s="98"/>
      <c r="G399" s="142"/>
      <c r="H399" s="98"/>
    </row>
    <row r="400" spans="1:8" ht="12.75" customHeight="1" x14ac:dyDescent="0.15">
      <c r="A400" s="98"/>
      <c r="B400" s="98"/>
      <c r="C400" s="98"/>
      <c r="D400" s="98"/>
      <c r="E400" s="98"/>
      <c r="F400" s="98"/>
      <c r="G400" s="142"/>
      <c r="H400" s="98"/>
    </row>
    <row r="401" spans="1:8" ht="12.75" customHeight="1" x14ac:dyDescent="0.15">
      <c r="A401" s="98"/>
      <c r="B401" s="98"/>
      <c r="C401" s="98"/>
      <c r="D401" s="98"/>
      <c r="E401" s="98"/>
      <c r="F401" s="98"/>
      <c r="G401" s="142"/>
      <c r="H401" s="98"/>
    </row>
    <row r="402" spans="1:8" ht="12.75" customHeight="1" x14ac:dyDescent="0.15">
      <c r="A402" s="98"/>
      <c r="B402" s="98"/>
      <c r="C402" s="98"/>
      <c r="D402" s="98"/>
      <c r="E402" s="98"/>
      <c r="F402" s="98"/>
      <c r="G402" s="142"/>
      <c r="H402" s="98"/>
    </row>
    <row r="403" spans="1:8" ht="12.75" customHeight="1" x14ac:dyDescent="0.15">
      <c r="A403" s="98"/>
      <c r="B403" s="98"/>
      <c r="C403" s="98"/>
      <c r="D403" s="98"/>
      <c r="E403" s="98"/>
      <c r="F403" s="98"/>
      <c r="G403" s="142"/>
      <c r="H403" s="98"/>
    </row>
    <row r="404" spans="1:8" ht="12.75" customHeight="1" x14ac:dyDescent="0.15">
      <c r="A404" s="98"/>
      <c r="B404" s="98"/>
      <c r="C404" s="98"/>
      <c r="D404" s="98"/>
      <c r="E404" s="98"/>
      <c r="F404" s="98"/>
      <c r="G404" s="142"/>
      <c r="H404" s="98"/>
    </row>
    <row r="405" spans="1:8" ht="12.75" customHeight="1" x14ac:dyDescent="0.15">
      <c r="A405" s="98"/>
      <c r="B405" s="98"/>
      <c r="C405" s="98"/>
      <c r="D405" s="98"/>
      <c r="E405" s="98"/>
      <c r="F405" s="98"/>
      <c r="G405" s="142"/>
      <c r="H405" s="98"/>
    </row>
    <row r="406" spans="1:8" ht="12.75" customHeight="1" x14ac:dyDescent="0.15">
      <c r="A406" s="98"/>
      <c r="B406" s="98"/>
      <c r="C406" s="98"/>
      <c r="D406" s="98"/>
      <c r="E406" s="98"/>
      <c r="F406" s="98"/>
      <c r="G406" s="142"/>
      <c r="H406" s="98"/>
    </row>
    <row r="407" spans="1:8" ht="12.75" customHeight="1" x14ac:dyDescent="0.15">
      <c r="A407" s="98"/>
      <c r="B407" s="98"/>
      <c r="C407" s="98"/>
      <c r="D407" s="98"/>
      <c r="E407" s="98"/>
      <c r="F407" s="98"/>
      <c r="G407" s="142"/>
      <c r="H407" s="98"/>
    </row>
    <row r="408" spans="1:8" ht="12.75" customHeight="1" x14ac:dyDescent="0.15">
      <c r="A408" s="98"/>
      <c r="B408" s="98"/>
      <c r="C408" s="98"/>
      <c r="D408" s="98"/>
      <c r="E408" s="98"/>
      <c r="F408" s="98"/>
      <c r="G408" s="142"/>
      <c r="H408" s="98"/>
    </row>
    <row r="409" spans="1:8" ht="12.75" customHeight="1" x14ac:dyDescent="0.15">
      <c r="A409" s="98"/>
      <c r="B409" s="98"/>
      <c r="C409" s="98"/>
      <c r="D409" s="98"/>
      <c r="E409" s="98"/>
      <c r="F409" s="98"/>
      <c r="G409" s="142"/>
      <c r="H409" s="98"/>
    </row>
    <row r="410" spans="1:8" ht="12.75" customHeight="1" x14ac:dyDescent="0.15">
      <c r="A410" s="98"/>
      <c r="B410" s="98"/>
      <c r="C410" s="98"/>
      <c r="D410" s="98"/>
      <c r="E410" s="98"/>
      <c r="F410" s="98"/>
      <c r="G410" s="142"/>
      <c r="H410" s="98"/>
    </row>
    <row r="411" spans="1:8" ht="12.75" customHeight="1" x14ac:dyDescent="0.15">
      <c r="A411" s="98"/>
      <c r="B411" s="98"/>
      <c r="C411" s="98"/>
      <c r="D411" s="98"/>
      <c r="E411" s="98"/>
      <c r="F411" s="98"/>
      <c r="G411" s="142"/>
      <c r="H411" s="98"/>
    </row>
    <row r="412" spans="1:8" ht="12.75" customHeight="1" x14ac:dyDescent="0.15">
      <c r="A412" s="98"/>
      <c r="B412" s="98"/>
      <c r="C412" s="98"/>
      <c r="D412" s="98"/>
      <c r="E412" s="98"/>
      <c r="F412" s="98"/>
      <c r="G412" s="142"/>
      <c r="H412" s="98"/>
    </row>
    <row r="413" spans="1:8" ht="12.75" customHeight="1" x14ac:dyDescent="0.15">
      <c r="A413" s="98"/>
      <c r="B413" s="98"/>
      <c r="C413" s="98"/>
      <c r="D413" s="98"/>
      <c r="E413" s="98"/>
      <c r="F413" s="98"/>
      <c r="G413" s="142"/>
      <c r="H413" s="98"/>
    </row>
    <row r="414" spans="1:8" ht="12.75" customHeight="1" x14ac:dyDescent="0.15">
      <c r="A414" s="98"/>
      <c r="B414" s="98"/>
      <c r="C414" s="98"/>
      <c r="D414" s="98"/>
      <c r="E414" s="98"/>
      <c r="F414" s="98"/>
      <c r="G414" s="142"/>
      <c r="H414" s="98"/>
    </row>
    <row r="415" spans="1:8" ht="12.75" customHeight="1" x14ac:dyDescent="0.15">
      <c r="A415" s="98"/>
      <c r="B415" s="98"/>
      <c r="C415" s="98"/>
      <c r="D415" s="98"/>
      <c r="E415" s="98"/>
      <c r="F415" s="98"/>
      <c r="G415" s="142"/>
      <c r="H415" s="98"/>
    </row>
    <row r="416" spans="1:8" ht="12.75" customHeight="1" x14ac:dyDescent="0.15">
      <c r="A416" s="98"/>
      <c r="B416" s="98"/>
      <c r="C416" s="98"/>
      <c r="D416" s="98"/>
      <c r="E416" s="98"/>
      <c r="F416" s="98"/>
      <c r="G416" s="142"/>
      <c r="H416" s="98"/>
    </row>
    <row r="417" spans="1:8" ht="12.75" customHeight="1" x14ac:dyDescent="0.15">
      <c r="A417" s="98"/>
      <c r="B417" s="98"/>
      <c r="C417" s="98"/>
      <c r="D417" s="98"/>
      <c r="E417" s="98"/>
      <c r="F417" s="98"/>
      <c r="G417" s="142"/>
      <c r="H417" s="98"/>
    </row>
    <row r="418" spans="1:8" ht="12.75" customHeight="1" x14ac:dyDescent="0.15">
      <c r="A418" s="98"/>
      <c r="B418" s="98"/>
      <c r="C418" s="98"/>
      <c r="D418" s="98"/>
      <c r="E418" s="98"/>
      <c r="F418" s="98"/>
      <c r="G418" s="142"/>
      <c r="H418" s="98"/>
    </row>
    <row r="419" spans="1:8" ht="12.75" customHeight="1" x14ac:dyDescent="0.15">
      <c r="A419" s="98"/>
      <c r="B419" s="98"/>
      <c r="C419" s="98"/>
      <c r="D419" s="98"/>
      <c r="E419" s="98"/>
      <c r="F419" s="98"/>
      <c r="G419" s="142"/>
      <c r="H419" s="98"/>
    </row>
    <row r="420" spans="1:8" ht="12.75" customHeight="1" x14ac:dyDescent="0.15">
      <c r="A420" s="98"/>
      <c r="B420" s="98"/>
      <c r="C420" s="98"/>
      <c r="D420" s="98"/>
      <c r="E420" s="98"/>
      <c r="F420" s="98"/>
      <c r="G420" s="142"/>
      <c r="H420" s="98"/>
    </row>
    <row r="421" spans="1:8" ht="12.75" customHeight="1" x14ac:dyDescent="0.15">
      <c r="A421" s="98"/>
      <c r="B421" s="98"/>
      <c r="C421" s="98"/>
      <c r="D421" s="98"/>
      <c r="E421" s="98"/>
      <c r="F421" s="98"/>
      <c r="G421" s="142"/>
      <c r="H421" s="98"/>
    </row>
    <row r="422" spans="1:8" ht="12.75" customHeight="1" x14ac:dyDescent="0.15">
      <c r="A422" s="98"/>
      <c r="B422" s="98"/>
      <c r="C422" s="98"/>
      <c r="D422" s="98"/>
      <c r="E422" s="98"/>
      <c r="F422" s="98"/>
      <c r="G422" s="142"/>
      <c r="H422" s="98"/>
    </row>
    <row r="423" spans="1:8" ht="12.75" customHeight="1" x14ac:dyDescent="0.15">
      <c r="A423" s="98"/>
      <c r="B423" s="98"/>
      <c r="C423" s="98"/>
      <c r="D423" s="98"/>
      <c r="E423" s="98"/>
      <c r="F423" s="98"/>
      <c r="G423" s="142"/>
      <c r="H423" s="98"/>
    </row>
    <row r="424" spans="1:8" ht="12.75" customHeight="1" x14ac:dyDescent="0.15">
      <c r="A424" s="98"/>
      <c r="B424" s="98"/>
      <c r="C424" s="98"/>
      <c r="D424" s="98"/>
      <c r="E424" s="98"/>
      <c r="F424" s="98"/>
      <c r="G424" s="142"/>
      <c r="H424" s="98"/>
    </row>
    <row r="425" spans="1:8" ht="12.75" customHeight="1" x14ac:dyDescent="0.15">
      <c r="A425" s="98"/>
      <c r="B425" s="98"/>
      <c r="C425" s="98"/>
      <c r="D425" s="98"/>
      <c r="E425" s="98"/>
      <c r="F425" s="98"/>
      <c r="G425" s="142"/>
      <c r="H425" s="98"/>
    </row>
    <row r="426" spans="1:8" ht="12.75" customHeight="1" x14ac:dyDescent="0.15">
      <c r="A426" s="98"/>
      <c r="B426" s="98"/>
      <c r="C426" s="98"/>
      <c r="D426" s="98"/>
      <c r="E426" s="98"/>
      <c r="F426" s="98"/>
      <c r="G426" s="142"/>
      <c r="H426" s="98"/>
    </row>
    <row r="427" spans="1:8" ht="12.75" customHeight="1" x14ac:dyDescent="0.15">
      <c r="A427" s="98"/>
      <c r="B427" s="98"/>
      <c r="C427" s="98"/>
      <c r="D427" s="98"/>
      <c r="E427" s="98"/>
      <c r="F427" s="98"/>
      <c r="G427" s="142"/>
      <c r="H427" s="98"/>
    </row>
    <row r="428" spans="1:8" ht="12.75" customHeight="1" x14ac:dyDescent="0.15">
      <c r="A428" s="98"/>
      <c r="B428" s="98"/>
      <c r="C428" s="98"/>
      <c r="D428" s="98"/>
      <c r="E428" s="98"/>
      <c r="F428" s="98"/>
      <c r="G428" s="142"/>
      <c r="H428" s="98"/>
    </row>
    <row r="429" spans="1:8" ht="12.75" customHeight="1" x14ac:dyDescent="0.15">
      <c r="A429" s="98"/>
      <c r="B429" s="98"/>
      <c r="C429" s="98"/>
      <c r="D429" s="98"/>
      <c r="E429" s="98"/>
      <c r="F429" s="98"/>
      <c r="G429" s="142"/>
      <c r="H429" s="98"/>
    </row>
    <row r="430" spans="1:8" ht="12.75" customHeight="1" x14ac:dyDescent="0.15">
      <c r="A430" s="98"/>
      <c r="B430" s="98"/>
      <c r="C430" s="98"/>
      <c r="D430" s="98"/>
      <c r="E430" s="98"/>
      <c r="F430" s="98"/>
      <c r="G430" s="142"/>
      <c r="H430" s="98"/>
    </row>
    <row r="431" spans="1:8" ht="12.75" customHeight="1" x14ac:dyDescent="0.15">
      <c r="A431" s="98"/>
      <c r="B431" s="98"/>
      <c r="C431" s="98"/>
      <c r="D431" s="98"/>
      <c r="E431" s="98"/>
      <c r="F431" s="98"/>
      <c r="G431" s="142"/>
      <c r="H431" s="98"/>
    </row>
    <row r="432" spans="1:8" ht="12.75" customHeight="1" x14ac:dyDescent="0.15">
      <c r="A432" s="98"/>
      <c r="B432" s="98"/>
      <c r="C432" s="98"/>
      <c r="D432" s="98"/>
      <c r="E432" s="98"/>
      <c r="F432" s="98"/>
      <c r="G432" s="142"/>
      <c r="H432" s="98"/>
    </row>
    <row r="433" spans="1:8" ht="12.75" customHeight="1" x14ac:dyDescent="0.15">
      <c r="A433" s="98"/>
      <c r="B433" s="98"/>
      <c r="C433" s="98"/>
      <c r="D433" s="98"/>
      <c r="E433" s="98"/>
      <c r="F433" s="98"/>
      <c r="G433" s="142"/>
      <c r="H433" s="98"/>
    </row>
    <row r="434" spans="1:8" ht="12.75" customHeight="1" x14ac:dyDescent="0.15">
      <c r="A434" s="98"/>
      <c r="B434" s="98"/>
      <c r="C434" s="98"/>
      <c r="D434" s="98"/>
      <c r="E434" s="98"/>
      <c r="F434" s="98"/>
      <c r="G434" s="142"/>
      <c r="H434" s="98"/>
    </row>
    <row r="435" spans="1:8" ht="12.75" customHeight="1" x14ac:dyDescent="0.15">
      <c r="A435" s="98"/>
      <c r="B435" s="98"/>
      <c r="C435" s="98"/>
      <c r="D435" s="98"/>
      <c r="E435" s="98"/>
      <c r="F435" s="98"/>
      <c r="G435" s="142"/>
      <c r="H435" s="98"/>
    </row>
    <row r="436" spans="1:8" ht="12.75" customHeight="1" x14ac:dyDescent="0.15">
      <c r="A436" s="98"/>
      <c r="B436" s="98"/>
      <c r="C436" s="98"/>
      <c r="D436" s="98"/>
      <c r="E436" s="98"/>
      <c r="F436" s="98"/>
      <c r="G436" s="142"/>
      <c r="H436" s="98"/>
    </row>
    <row r="437" spans="1:8" ht="12.75" customHeight="1" x14ac:dyDescent="0.15">
      <c r="A437" s="98"/>
      <c r="B437" s="98"/>
      <c r="C437" s="98"/>
      <c r="D437" s="98"/>
      <c r="E437" s="98"/>
      <c r="F437" s="98"/>
      <c r="G437" s="142"/>
      <c r="H437" s="98"/>
    </row>
    <row r="438" spans="1:8" ht="12.75" customHeight="1" x14ac:dyDescent="0.15">
      <c r="A438" s="98"/>
      <c r="B438" s="98"/>
      <c r="C438" s="98"/>
      <c r="D438" s="98"/>
      <c r="E438" s="98"/>
      <c r="F438" s="98"/>
      <c r="G438" s="142"/>
      <c r="H438" s="98"/>
    </row>
    <row r="439" spans="1:8" ht="12.75" customHeight="1" x14ac:dyDescent="0.15">
      <c r="A439" s="98"/>
      <c r="B439" s="98"/>
      <c r="C439" s="98"/>
      <c r="D439" s="98"/>
      <c r="E439" s="98"/>
      <c r="F439" s="98"/>
      <c r="G439" s="142"/>
      <c r="H439" s="98"/>
    </row>
    <row r="440" spans="1:8" ht="12.75" customHeight="1" x14ac:dyDescent="0.15">
      <c r="A440" s="98"/>
      <c r="B440" s="98"/>
      <c r="C440" s="98"/>
      <c r="D440" s="98"/>
      <c r="E440" s="98"/>
      <c r="F440" s="98"/>
      <c r="G440" s="142"/>
      <c r="H440" s="98"/>
    </row>
    <row r="441" spans="1:8" ht="12.75" customHeight="1" x14ac:dyDescent="0.15">
      <c r="A441" s="98"/>
      <c r="B441" s="98"/>
      <c r="C441" s="98"/>
      <c r="D441" s="98"/>
      <c r="E441" s="98"/>
      <c r="F441" s="98"/>
      <c r="G441" s="142"/>
      <c r="H441" s="98"/>
    </row>
    <row r="442" spans="1:8" ht="12.75" customHeight="1" x14ac:dyDescent="0.15">
      <c r="A442" s="98"/>
      <c r="B442" s="98"/>
      <c r="C442" s="98"/>
      <c r="D442" s="98"/>
      <c r="E442" s="98"/>
      <c r="F442" s="98"/>
      <c r="G442" s="142"/>
      <c r="H442" s="98"/>
    </row>
    <row r="443" spans="1:8" ht="12.75" customHeight="1" x14ac:dyDescent="0.15">
      <c r="A443" s="98"/>
      <c r="B443" s="98"/>
      <c r="C443" s="98"/>
      <c r="D443" s="98"/>
      <c r="E443" s="98"/>
      <c r="F443" s="98"/>
      <c r="G443" s="142"/>
      <c r="H443" s="98"/>
    </row>
    <row r="444" spans="1:8" ht="12.75" customHeight="1" x14ac:dyDescent="0.15">
      <c r="A444" s="98"/>
      <c r="B444" s="98"/>
      <c r="C444" s="98"/>
      <c r="D444" s="98"/>
      <c r="E444" s="98"/>
      <c r="F444" s="98"/>
      <c r="G444" s="142"/>
      <c r="H444" s="98"/>
    </row>
    <row r="445" spans="1:8" ht="12.75" customHeight="1" x14ac:dyDescent="0.15">
      <c r="A445" s="98"/>
      <c r="B445" s="98"/>
      <c r="C445" s="98"/>
      <c r="D445" s="98"/>
      <c r="E445" s="98"/>
      <c r="F445" s="98"/>
      <c r="G445" s="142"/>
      <c r="H445" s="98"/>
    </row>
    <row r="446" spans="1:8" ht="12.75" customHeight="1" x14ac:dyDescent="0.15">
      <c r="A446" s="98"/>
      <c r="B446" s="98"/>
      <c r="C446" s="98"/>
      <c r="D446" s="98"/>
      <c r="E446" s="98"/>
      <c r="F446" s="98"/>
      <c r="G446" s="142"/>
      <c r="H446" s="98"/>
    </row>
    <row r="447" spans="1:8" ht="12.75" customHeight="1" x14ac:dyDescent="0.15">
      <c r="A447" s="98"/>
      <c r="B447" s="98"/>
      <c r="C447" s="98"/>
      <c r="D447" s="98"/>
      <c r="E447" s="98"/>
      <c r="F447" s="98"/>
      <c r="G447" s="142"/>
      <c r="H447" s="98"/>
    </row>
    <row r="448" spans="1:8" ht="12.75" customHeight="1" x14ac:dyDescent="0.15">
      <c r="A448" s="98"/>
      <c r="B448" s="98"/>
      <c r="C448" s="98"/>
      <c r="D448" s="98"/>
      <c r="E448" s="98"/>
      <c r="F448" s="98"/>
      <c r="G448" s="142"/>
      <c r="H448" s="98"/>
    </row>
    <row r="449" spans="1:8" ht="12.75" customHeight="1" x14ac:dyDescent="0.15">
      <c r="A449" s="98"/>
      <c r="B449" s="98"/>
      <c r="C449" s="98"/>
      <c r="D449" s="98"/>
      <c r="E449" s="98"/>
      <c r="F449" s="98"/>
      <c r="G449" s="142"/>
      <c r="H449" s="98"/>
    </row>
    <row r="450" spans="1:8" ht="12.75" customHeight="1" x14ac:dyDescent="0.15">
      <c r="A450" s="98"/>
      <c r="B450" s="98"/>
      <c r="C450" s="98"/>
      <c r="D450" s="98"/>
      <c r="E450" s="98"/>
      <c r="F450" s="98"/>
      <c r="G450" s="142"/>
      <c r="H450" s="98"/>
    </row>
    <row r="451" spans="1:8" ht="12.75" customHeight="1" x14ac:dyDescent="0.15">
      <c r="A451" s="98"/>
      <c r="B451" s="98"/>
      <c r="C451" s="98"/>
      <c r="D451" s="98"/>
      <c r="E451" s="98"/>
      <c r="F451" s="98"/>
      <c r="G451" s="142"/>
      <c r="H451" s="98"/>
    </row>
    <row r="452" spans="1:8" ht="12.75" customHeight="1" x14ac:dyDescent="0.15">
      <c r="A452" s="98"/>
      <c r="B452" s="98"/>
      <c r="C452" s="98"/>
      <c r="D452" s="98"/>
      <c r="E452" s="98"/>
      <c r="F452" s="98"/>
      <c r="G452" s="142"/>
      <c r="H452" s="98"/>
    </row>
    <row r="453" spans="1:8" ht="12.75" customHeight="1" x14ac:dyDescent="0.15">
      <c r="A453" s="98"/>
      <c r="B453" s="98"/>
      <c r="C453" s="98"/>
      <c r="D453" s="98"/>
      <c r="E453" s="98"/>
      <c r="F453" s="98"/>
      <c r="G453" s="142"/>
      <c r="H453" s="98"/>
    </row>
    <row r="454" spans="1:8" ht="12.75" customHeight="1" x14ac:dyDescent="0.15">
      <c r="A454" s="98"/>
      <c r="B454" s="98"/>
      <c r="C454" s="98"/>
      <c r="D454" s="98"/>
      <c r="E454" s="98"/>
      <c r="F454" s="98"/>
      <c r="G454" s="142"/>
      <c r="H454" s="98"/>
    </row>
    <row r="455" spans="1:8" ht="12.75" customHeight="1" x14ac:dyDescent="0.15">
      <c r="A455" s="98"/>
      <c r="B455" s="98"/>
      <c r="C455" s="98"/>
      <c r="D455" s="98"/>
      <c r="E455" s="98"/>
      <c r="F455" s="98"/>
      <c r="G455" s="142"/>
      <c r="H455" s="98"/>
    </row>
    <row r="456" spans="1:8" ht="12.75" customHeight="1" x14ac:dyDescent="0.15">
      <c r="A456" s="98"/>
      <c r="B456" s="98"/>
      <c r="C456" s="98"/>
      <c r="D456" s="98"/>
      <c r="E456" s="98"/>
      <c r="F456" s="98"/>
      <c r="G456" s="142"/>
      <c r="H456" s="98"/>
    </row>
    <row r="457" spans="1:8" ht="12.75" customHeight="1" x14ac:dyDescent="0.15">
      <c r="A457" s="98"/>
      <c r="B457" s="98"/>
      <c r="C457" s="98"/>
      <c r="D457" s="98"/>
      <c r="E457" s="98"/>
      <c r="F457" s="98"/>
      <c r="G457" s="142"/>
      <c r="H457" s="98"/>
    </row>
    <row r="458" spans="1:8" ht="12.75" customHeight="1" x14ac:dyDescent="0.15">
      <c r="A458" s="98"/>
      <c r="B458" s="98"/>
      <c r="C458" s="98"/>
      <c r="D458" s="98"/>
      <c r="E458" s="98"/>
      <c r="F458" s="98"/>
      <c r="G458" s="142"/>
      <c r="H458" s="98"/>
    </row>
    <row r="459" spans="1:8" ht="12.75" customHeight="1" x14ac:dyDescent="0.15">
      <c r="A459" s="98"/>
      <c r="B459" s="98"/>
      <c r="C459" s="98"/>
      <c r="D459" s="98"/>
      <c r="E459" s="98"/>
      <c r="F459" s="98"/>
      <c r="G459" s="142"/>
      <c r="H459" s="98"/>
    </row>
    <row r="460" spans="1:8" ht="12.75" customHeight="1" x14ac:dyDescent="0.15">
      <c r="A460" s="98"/>
      <c r="B460" s="98"/>
      <c r="C460" s="98"/>
      <c r="D460" s="98"/>
      <c r="E460" s="98"/>
      <c r="F460" s="98"/>
      <c r="G460" s="142"/>
      <c r="H460" s="98"/>
    </row>
    <row r="461" spans="1:8" ht="12.75" customHeight="1" x14ac:dyDescent="0.15">
      <c r="A461" s="98"/>
      <c r="B461" s="98"/>
      <c r="C461" s="98"/>
      <c r="D461" s="98"/>
      <c r="E461" s="98"/>
      <c r="F461" s="98"/>
      <c r="G461" s="142"/>
      <c r="H461" s="98"/>
    </row>
    <row r="462" spans="1:8" ht="12.75" customHeight="1" x14ac:dyDescent="0.15">
      <c r="A462" s="98"/>
      <c r="B462" s="98"/>
      <c r="C462" s="98"/>
      <c r="D462" s="98"/>
      <c r="E462" s="98"/>
      <c r="F462" s="98"/>
      <c r="G462" s="142"/>
      <c r="H462" s="98"/>
    </row>
    <row r="463" spans="1:8" ht="12.75" customHeight="1" x14ac:dyDescent="0.15">
      <c r="A463" s="98"/>
      <c r="B463" s="98"/>
      <c r="C463" s="98"/>
      <c r="D463" s="98"/>
      <c r="E463" s="98"/>
      <c r="F463" s="98"/>
      <c r="G463" s="142"/>
      <c r="H463" s="98"/>
    </row>
    <row r="464" spans="1:8" ht="12.75" customHeight="1" x14ac:dyDescent="0.15">
      <c r="A464" s="98"/>
      <c r="B464" s="98"/>
      <c r="C464" s="98"/>
      <c r="D464" s="98"/>
      <c r="E464" s="98"/>
      <c r="F464" s="98"/>
      <c r="G464" s="142"/>
      <c r="H464" s="98"/>
    </row>
    <row r="465" spans="1:8" ht="12.75" customHeight="1" x14ac:dyDescent="0.15">
      <c r="A465" s="98"/>
      <c r="B465" s="98"/>
      <c r="C465" s="98"/>
      <c r="D465" s="98"/>
      <c r="E465" s="98"/>
      <c r="F465" s="98"/>
      <c r="G465" s="142"/>
      <c r="H465" s="98"/>
    </row>
    <row r="466" spans="1:8" ht="12.75" customHeight="1" x14ac:dyDescent="0.15">
      <c r="A466" s="98"/>
      <c r="B466" s="98"/>
      <c r="C466" s="98"/>
      <c r="D466" s="98"/>
      <c r="E466" s="98"/>
      <c r="F466" s="98"/>
      <c r="G466" s="142"/>
      <c r="H466" s="98"/>
    </row>
    <row r="467" spans="1:8" ht="12.75" customHeight="1" x14ac:dyDescent="0.15">
      <c r="A467" s="98"/>
      <c r="B467" s="98"/>
      <c r="C467" s="98"/>
      <c r="D467" s="98"/>
      <c r="E467" s="98"/>
      <c r="F467" s="98"/>
      <c r="G467" s="142"/>
      <c r="H467" s="98"/>
    </row>
    <row r="468" spans="1:8" ht="12.75" customHeight="1" x14ac:dyDescent="0.15">
      <c r="A468" s="98"/>
      <c r="B468" s="98"/>
      <c r="C468" s="98"/>
      <c r="D468" s="98"/>
      <c r="E468" s="98"/>
      <c r="F468" s="98"/>
      <c r="G468" s="142"/>
      <c r="H468" s="98"/>
    </row>
    <row r="469" spans="1:8" ht="12.75" customHeight="1" x14ac:dyDescent="0.15">
      <c r="A469" s="98"/>
      <c r="B469" s="98"/>
      <c r="C469" s="98"/>
      <c r="D469" s="98"/>
      <c r="E469" s="98"/>
      <c r="F469" s="98"/>
      <c r="G469" s="142"/>
      <c r="H469" s="98"/>
    </row>
    <row r="470" spans="1:8" ht="12.75" customHeight="1" x14ac:dyDescent="0.15">
      <c r="A470" s="98"/>
      <c r="B470" s="98"/>
      <c r="C470" s="98"/>
      <c r="D470" s="98"/>
      <c r="E470" s="98"/>
      <c r="F470" s="98"/>
      <c r="G470" s="142"/>
      <c r="H470" s="98"/>
    </row>
    <row r="471" spans="1:8" ht="12.75" customHeight="1" x14ac:dyDescent="0.15">
      <c r="A471" s="98"/>
      <c r="B471" s="98"/>
      <c r="C471" s="98"/>
      <c r="D471" s="98"/>
      <c r="E471" s="98"/>
      <c r="F471" s="98"/>
      <c r="G471" s="142"/>
      <c r="H471" s="98"/>
    </row>
    <row r="472" spans="1:8" ht="12.75" customHeight="1" x14ac:dyDescent="0.15">
      <c r="A472" s="98"/>
      <c r="B472" s="98"/>
      <c r="C472" s="98"/>
      <c r="D472" s="98"/>
      <c r="E472" s="98"/>
      <c r="F472" s="98"/>
      <c r="G472" s="142"/>
      <c r="H472" s="98"/>
    </row>
    <row r="473" spans="1:8" ht="12.75" customHeight="1" x14ac:dyDescent="0.15">
      <c r="A473" s="98"/>
      <c r="B473" s="98"/>
      <c r="C473" s="98"/>
      <c r="D473" s="98"/>
      <c r="E473" s="98"/>
      <c r="F473" s="98"/>
      <c r="G473" s="142"/>
      <c r="H473" s="98"/>
    </row>
    <row r="474" spans="1:8" ht="12.75" customHeight="1" x14ac:dyDescent="0.15">
      <c r="A474" s="98"/>
      <c r="B474" s="98"/>
      <c r="C474" s="98"/>
      <c r="D474" s="98"/>
      <c r="E474" s="98"/>
      <c r="F474" s="98"/>
      <c r="G474" s="142"/>
      <c r="H474" s="98"/>
    </row>
    <row r="475" spans="1:8" ht="12.75" customHeight="1" x14ac:dyDescent="0.15">
      <c r="A475" s="98"/>
      <c r="B475" s="98"/>
      <c r="C475" s="98"/>
      <c r="D475" s="98"/>
      <c r="E475" s="98"/>
      <c r="F475" s="98"/>
      <c r="G475" s="142"/>
      <c r="H475" s="98"/>
    </row>
    <row r="476" spans="1:8" ht="12.75" customHeight="1" x14ac:dyDescent="0.15">
      <c r="A476" s="98"/>
      <c r="B476" s="98"/>
      <c r="C476" s="98"/>
      <c r="D476" s="98"/>
      <c r="E476" s="98"/>
      <c r="F476" s="98"/>
      <c r="G476" s="142"/>
      <c r="H476" s="98"/>
    </row>
    <row r="477" spans="1:8" ht="12.75" customHeight="1" x14ac:dyDescent="0.15">
      <c r="A477" s="98"/>
      <c r="B477" s="98"/>
      <c r="C477" s="98"/>
      <c r="D477" s="98"/>
      <c r="E477" s="98"/>
      <c r="F477" s="98"/>
      <c r="G477" s="142"/>
      <c r="H477" s="98"/>
    </row>
    <row r="478" spans="1:8" ht="12.75" customHeight="1" x14ac:dyDescent="0.15">
      <c r="A478" s="98"/>
      <c r="B478" s="98"/>
      <c r="C478" s="98"/>
      <c r="D478" s="98"/>
      <c r="E478" s="98"/>
      <c r="F478" s="98"/>
      <c r="G478" s="142"/>
      <c r="H478" s="98"/>
    </row>
    <row r="479" spans="1:8" ht="12.75" customHeight="1" x14ac:dyDescent="0.15">
      <c r="A479" s="98"/>
      <c r="B479" s="98"/>
      <c r="C479" s="98"/>
      <c r="D479" s="98"/>
      <c r="E479" s="98"/>
      <c r="F479" s="98"/>
      <c r="G479" s="142"/>
      <c r="H479" s="98"/>
    </row>
    <row r="480" spans="1:8" ht="12.75" customHeight="1" x14ac:dyDescent="0.15">
      <c r="A480" s="98"/>
      <c r="B480" s="98"/>
      <c r="C480" s="98"/>
      <c r="D480" s="98"/>
      <c r="E480" s="98"/>
      <c r="F480" s="98"/>
      <c r="G480" s="142"/>
      <c r="H480" s="98"/>
    </row>
    <row r="481" spans="1:8" ht="12.75" customHeight="1" x14ac:dyDescent="0.15">
      <c r="A481" s="98"/>
      <c r="B481" s="98"/>
      <c r="C481" s="98"/>
      <c r="D481" s="98"/>
      <c r="E481" s="98"/>
      <c r="F481" s="98"/>
      <c r="G481" s="142"/>
      <c r="H481" s="98"/>
    </row>
    <row r="482" spans="1:8" ht="12.75" customHeight="1" x14ac:dyDescent="0.15">
      <c r="A482" s="98"/>
      <c r="B482" s="98"/>
      <c r="C482" s="98"/>
      <c r="D482" s="98"/>
      <c r="E482" s="98"/>
      <c r="F482" s="98"/>
      <c r="G482" s="142"/>
      <c r="H482" s="98"/>
    </row>
    <row r="483" spans="1:8" ht="12.75" customHeight="1" x14ac:dyDescent="0.15">
      <c r="A483" s="98"/>
      <c r="B483" s="98"/>
      <c r="C483" s="98"/>
      <c r="D483" s="98"/>
      <c r="E483" s="98"/>
      <c r="F483" s="98"/>
      <c r="G483" s="142"/>
      <c r="H483" s="98"/>
    </row>
    <row r="484" spans="1:8" ht="12.75" customHeight="1" x14ac:dyDescent="0.15">
      <c r="A484" s="98"/>
      <c r="B484" s="98"/>
      <c r="C484" s="98"/>
      <c r="D484" s="98"/>
      <c r="E484" s="98"/>
      <c r="F484" s="98"/>
      <c r="G484" s="142"/>
      <c r="H484" s="98"/>
    </row>
    <row r="485" spans="1:8" ht="12.75" customHeight="1" x14ac:dyDescent="0.15">
      <c r="A485" s="98"/>
      <c r="B485" s="98"/>
      <c r="C485" s="98"/>
      <c r="D485" s="98"/>
      <c r="E485" s="98"/>
      <c r="F485" s="98"/>
      <c r="G485" s="142"/>
      <c r="H485" s="98"/>
    </row>
    <row r="486" spans="1:8" ht="12.75" customHeight="1" x14ac:dyDescent="0.15">
      <c r="A486" s="98"/>
      <c r="B486" s="98"/>
      <c r="C486" s="98"/>
      <c r="D486" s="98"/>
      <c r="E486" s="98"/>
      <c r="F486" s="98"/>
      <c r="G486" s="142"/>
      <c r="H486" s="98"/>
    </row>
    <row r="487" spans="1:8" ht="12.75" customHeight="1" x14ac:dyDescent="0.15">
      <c r="A487" s="98"/>
      <c r="B487" s="98"/>
      <c r="C487" s="98"/>
      <c r="D487" s="98"/>
      <c r="E487" s="98"/>
      <c r="F487" s="98"/>
      <c r="G487" s="142"/>
      <c r="H487" s="98"/>
    </row>
    <row r="488" spans="1:8" ht="12.75" customHeight="1" x14ac:dyDescent="0.15">
      <c r="A488" s="98"/>
      <c r="B488" s="98"/>
      <c r="C488" s="98"/>
      <c r="D488" s="98"/>
      <c r="E488" s="98"/>
      <c r="F488" s="98"/>
      <c r="G488" s="142"/>
      <c r="H488" s="98"/>
    </row>
    <row r="489" spans="1:8" ht="12.75" customHeight="1" x14ac:dyDescent="0.15">
      <c r="A489" s="98"/>
      <c r="B489" s="98"/>
      <c r="C489" s="98"/>
      <c r="D489" s="98"/>
      <c r="E489" s="98"/>
      <c r="F489" s="98"/>
      <c r="G489" s="142"/>
      <c r="H489" s="98"/>
    </row>
    <row r="490" spans="1:8" ht="12.75" customHeight="1" x14ac:dyDescent="0.15">
      <c r="A490" s="98"/>
      <c r="B490" s="98"/>
      <c r="C490" s="98"/>
      <c r="D490" s="98"/>
      <c r="E490" s="98"/>
      <c r="F490" s="98"/>
      <c r="G490" s="142"/>
      <c r="H490" s="98"/>
    </row>
    <row r="491" spans="1:8" ht="12.75" customHeight="1" x14ac:dyDescent="0.15">
      <c r="A491" s="98"/>
      <c r="B491" s="98"/>
      <c r="C491" s="98"/>
      <c r="D491" s="98"/>
      <c r="E491" s="98"/>
      <c r="F491" s="98"/>
      <c r="G491" s="142"/>
      <c r="H491" s="98"/>
    </row>
    <row r="492" spans="1:8" ht="12.75" customHeight="1" x14ac:dyDescent="0.15">
      <c r="A492" s="98"/>
      <c r="B492" s="98"/>
      <c r="C492" s="98"/>
      <c r="D492" s="98"/>
      <c r="E492" s="98"/>
      <c r="F492" s="98"/>
      <c r="G492" s="142"/>
      <c r="H492" s="98"/>
    </row>
    <row r="493" spans="1:8" ht="12.75" customHeight="1" x14ac:dyDescent="0.15">
      <c r="A493" s="98"/>
      <c r="B493" s="98"/>
      <c r="C493" s="98"/>
      <c r="D493" s="98"/>
      <c r="E493" s="98"/>
      <c r="F493" s="98"/>
      <c r="G493" s="142"/>
      <c r="H493" s="98"/>
    </row>
    <row r="494" spans="1:8" ht="12.75" customHeight="1" x14ac:dyDescent="0.15">
      <c r="A494" s="98"/>
      <c r="B494" s="98"/>
      <c r="C494" s="98"/>
      <c r="D494" s="98"/>
      <c r="E494" s="98"/>
      <c r="F494" s="98"/>
      <c r="G494" s="142"/>
      <c r="H494" s="98"/>
    </row>
    <row r="495" spans="1:8" ht="12.75" customHeight="1" x14ac:dyDescent="0.15">
      <c r="A495" s="98"/>
      <c r="B495" s="98"/>
      <c r="C495" s="98"/>
      <c r="D495" s="98"/>
      <c r="E495" s="98"/>
      <c r="F495" s="98"/>
      <c r="G495" s="142"/>
      <c r="H495" s="98"/>
    </row>
    <row r="496" spans="1:8" ht="12.75" customHeight="1" x14ac:dyDescent="0.15">
      <c r="A496" s="98"/>
      <c r="B496" s="98"/>
      <c r="C496" s="98"/>
      <c r="D496" s="98"/>
      <c r="E496" s="98"/>
      <c r="F496" s="98"/>
      <c r="G496" s="142"/>
      <c r="H496" s="98"/>
    </row>
    <row r="497" spans="1:8" ht="12.75" customHeight="1" x14ac:dyDescent="0.15">
      <c r="A497" s="98"/>
      <c r="B497" s="98"/>
      <c r="C497" s="98"/>
      <c r="D497" s="98"/>
      <c r="E497" s="98"/>
      <c r="F497" s="98"/>
      <c r="G497" s="142"/>
      <c r="H497" s="98"/>
    </row>
    <row r="498" spans="1:8" ht="12.75" customHeight="1" x14ac:dyDescent="0.15">
      <c r="A498" s="98"/>
      <c r="B498" s="98"/>
      <c r="C498" s="98"/>
      <c r="D498" s="98"/>
      <c r="E498" s="98"/>
      <c r="F498" s="98"/>
      <c r="G498" s="142"/>
      <c r="H498" s="98"/>
    </row>
    <row r="499" spans="1:8" ht="12.75" customHeight="1" x14ac:dyDescent="0.15">
      <c r="A499" s="98"/>
      <c r="B499" s="98"/>
      <c r="C499" s="98"/>
      <c r="D499" s="98"/>
      <c r="E499" s="98"/>
      <c r="F499" s="98"/>
      <c r="G499" s="142"/>
      <c r="H499" s="98"/>
    </row>
    <row r="500" spans="1:8" ht="12.75" customHeight="1" x14ac:dyDescent="0.15">
      <c r="A500" s="98"/>
      <c r="B500" s="98"/>
      <c r="C500" s="98"/>
      <c r="D500" s="98"/>
      <c r="E500" s="98"/>
      <c r="F500" s="98"/>
      <c r="G500" s="142"/>
      <c r="H500" s="98"/>
    </row>
    <row r="501" spans="1:8" ht="12.75" customHeight="1" x14ac:dyDescent="0.15">
      <c r="A501" s="98"/>
      <c r="B501" s="98"/>
      <c r="C501" s="98"/>
      <c r="D501" s="98"/>
      <c r="E501" s="98"/>
      <c r="F501" s="98"/>
      <c r="G501" s="142"/>
      <c r="H501" s="98"/>
    </row>
    <row r="502" spans="1:8" ht="12.75" customHeight="1" x14ac:dyDescent="0.15">
      <c r="A502" s="98"/>
      <c r="B502" s="98"/>
      <c r="C502" s="98"/>
      <c r="D502" s="98"/>
      <c r="E502" s="98"/>
      <c r="F502" s="98"/>
      <c r="G502" s="142"/>
      <c r="H502" s="98"/>
    </row>
    <row r="503" spans="1:8" ht="12.75" customHeight="1" x14ac:dyDescent="0.15">
      <c r="A503" s="98"/>
      <c r="B503" s="98"/>
      <c r="C503" s="98"/>
      <c r="D503" s="98"/>
      <c r="E503" s="98"/>
      <c r="F503" s="98"/>
      <c r="G503" s="142"/>
      <c r="H503" s="98"/>
    </row>
    <row r="504" spans="1:8" ht="12.75" customHeight="1" x14ac:dyDescent="0.15">
      <c r="A504" s="98"/>
      <c r="B504" s="98"/>
      <c r="C504" s="98"/>
      <c r="D504" s="98"/>
      <c r="E504" s="98"/>
      <c r="F504" s="98"/>
      <c r="G504" s="142"/>
      <c r="H504" s="98"/>
    </row>
    <row r="505" spans="1:8" ht="12.75" customHeight="1" x14ac:dyDescent="0.15">
      <c r="A505" s="98"/>
      <c r="B505" s="98"/>
      <c r="C505" s="98"/>
      <c r="D505" s="98"/>
      <c r="E505" s="98"/>
      <c r="F505" s="98"/>
      <c r="G505" s="142"/>
      <c r="H505" s="98"/>
    </row>
    <row r="506" spans="1:8" ht="12.75" customHeight="1" x14ac:dyDescent="0.15">
      <c r="A506" s="98"/>
      <c r="B506" s="98"/>
      <c r="C506" s="98"/>
      <c r="D506" s="98"/>
      <c r="E506" s="98"/>
      <c r="F506" s="98"/>
      <c r="G506" s="142"/>
      <c r="H506" s="98"/>
    </row>
    <row r="507" spans="1:8" ht="12.75" customHeight="1" x14ac:dyDescent="0.15">
      <c r="A507" s="98"/>
      <c r="B507" s="98"/>
      <c r="C507" s="98"/>
      <c r="D507" s="98"/>
      <c r="E507" s="98"/>
      <c r="F507" s="98"/>
      <c r="G507" s="142"/>
      <c r="H507" s="98"/>
    </row>
    <row r="508" spans="1:8" ht="12.75" customHeight="1" x14ac:dyDescent="0.15">
      <c r="A508" s="98"/>
      <c r="B508" s="98"/>
      <c r="C508" s="98"/>
      <c r="D508" s="98"/>
      <c r="E508" s="98"/>
      <c r="F508" s="98"/>
      <c r="G508" s="142"/>
      <c r="H508" s="98"/>
    </row>
    <row r="509" spans="1:8" ht="12.75" customHeight="1" x14ac:dyDescent="0.15">
      <c r="A509" s="98"/>
      <c r="B509" s="98"/>
      <c r="C509" s="98"/>
      <c r="D509" s="98"/>
      <c r="E509" s="98"/>
      <c r="F509" s="98"/>
      <c r="G509" s="142"/>
      <c r="H509" s="98"/>
    </row>
    <row r="510" spans="1:8" ht="12.75" customHeight="1" x14ac:dyDescent="0.15">
      <c r="A510" s="98"/>
      <c r="B510" s="98"/>
      <c r="C510" s="98"/>
      <c r="D510" s="98"/>
      <c r="E510" s="98"/>
      <c r="F510" s="98"/>
      <c r="G510" s="142"/>
      <c r="H510" s="98"/>
    </row>
    <row r="511" spans="1:8" ht="12.75" customHeight="1" x14ac:dyDescent="0.15">
      <c r="A511" s="98"/>
      <c r="B511" s="98"/>
      <c r="C511" s="98"/>
      <c r="D511" s="98"/>
      <c r="E511" s="98"/>
      <c r="F511" s="98"/>
      <c r="G511" s="142"/>
      <c r="H511" s="98"/>
    </row>
    <row r="512" spans="1:8" ht="12.75" customHeight="1" x14ac:dyDescent="0.15">
      <c r="A512" s="98"/>
      <c r="B512" s="98"/>
      <c r="C512" s="98"/>
      <c r="D512" s="98"/>
      <c r="E512" s="98"/>
      <c r="F512" s="98"/>
      <c r="G512" s="142"/>
      <c r="H512" s="98"/>
    </row>
    <row r="513" spans="1:8" ht="12.75" customHeight="1" x14ac:dyDescent="0.15">
      <c r="A513" s="98"/>
      <c r="B513" s="98"/>
      <c r="C513" s="98"/>
      <c r="D513" s="98"/>
      <c r="E513" s="98"/>
      <c r="F513" s="98"/>
      <c r="G513" s="142"/>
      <c r="H513" s="98"/>
    </row>
    <row r="514" spans="1:8" ht="12.75" customHeight="1" x14ac:dyDescent="0.15">
      <c r="A514" s="98"/>
      <c r="B514" s="98"/>
      <c r="C514" s="98"/>
      <c r="D514" s="98"/>
      <c r="E514" s="98"/>
      <c r="F514" s="98"/>
      <c r="G514" s="142"/>
      <c r="H514" s="98"/>
    </row>
    <row r="515" spans="1:8" ht="12.75" customHeight="1" x14ac:dyDescent="0.15">
      <c r="A515" s="98"/>
      <c r="B515" s="98"/>
      <c r="C515" s="98"/>
      <c r="D515" s="98"/>
      <c r="E515" s="98"/>
      <c r="F515" s="98"/>
      <c r="G515" s="142"/>
      <c r="H515" s="98"/>
    </row>
    <row r="516" spans="1:8" ht="12.75" customHeight="1" x14ac:dyDescent="0.15">
      <c r="A516" s="98"/>
      <c r="B516" s="98"/>
      <c r="C516" s="98"/>
      <c r="D516" s="98"/>
      <c r="E516" s="98"/>
      <c r="F516" s="98"/>
      <c r="G516" s="142"/>
      <c r="H516" s="98"/>
    </row>
    <row r="517" spans="1:8" ht="12.75" customHeight="1" x14ac:dyDescent="0.15">
      <c r="A517" s="98"/>
      <c r="B517" s="98"/>
      <c r="C517" s="98"/>
      <c r="D517" s="98"/>
      <c r="E517" s="98"/>
      <c r="F517" s="98"/>
      <c r="G517" s="142"/>
      <c r="H517" s="98"/>
    </row>
    <row r="518" spans="1:8" ht="12.75" customHeight="1" x14ac:dyDescent="0.15">
      <c r="A518" s="98"/>
      <c r="B518" s="98"/>
      <c r="C518" s="98"/>
      <c r="D518" s="98"/>
      <c r="E518" s="98"/>
      <c r="F518" s="98"/>
      <c r="G518" s="142"/>
      <c r="H518" s="98"/>
    </row>
    <row r="519" spans="1:8" ht="12.75" customHeight="1" x14ac:dyDescent="0.15">
      <c r="A519" s="98"/>
      <c r="B519" s="98"/>
      <c r="C519" s="98"/>
      <c r="D519" s="98"/>
      <c r="E519" s="98"/>
      <c r="F519" s="98"/>
      <c r="G519" s="142"/>
      <c r="H519" s="98"/>
    </row>
    <row r="520" spans="1:8" ht="12.75" customHeight="1" x14ac:dyDescent="0.15">
      <c r="A520" s="98"/>
      <c r="B520" s="98"/>
      <c r="C520" s="98"/>
      <c r="D520" s="98"/>
      <c r="E520" s="98"/>
      <c r="F520" s="98"/>
      <c r="G520" s="142"/>
      <c r="H520" s="98"/>
    </row>
    <row r="521" spans="1:8" ht="12.75" customHeight="1" x14ac:dyDescent="0.15">
      <c r="A521" s="98"/>
      <c r="B521" s="98"/>
      <c r="C521" s="98"/>
      <c r="D521" s="98"/>
      <c r="E521" s="98"/>
      <c r="F521" s="98"/>
      <c r="G521" s="142"/>
      <c r="H521" s="98"/>
    </row>
    <row r="522" spans="1:8" ht="12.75" customHeight="1" x14ac:dyDescent="0.15">
      <c r="A522" s="98"/>
      <c r="B522" s="98"/>
      <c r="C522" s="98"/>
      <c r="D522" s="98"/>
      <c r="E522" s="98"/>
      <c r="F522" s="98"/>
      <c r="G522" s="142"/>
      <c r="H522" s="98"/>
    </row>
    <row r="523" spans="1:8" ht="12.75" customHeight="1" x14ac:dyDescent="0.15">
      <c r="A523" s="98"/>
      <c r="B523" s="98"/>
      <c r="C523" s="98"/>
      <c r="D523" s="98"/>
      <c r="E523" s="98"/>
      <c r="F523" s="98"/>
      <c r="G523" s="142"/>
      <c r="H523" s="98"/>
    </row>
    <row r="524" spans="1:8" ht="12.75" customHeight="1" x14ac:dyDescent="0.15">
      <c r="A524" s="98"/>
      <c r="B524" s="98"/>
      <c r="C524" s="98"/>
      <c r="D524" s="98"/>
      <c r="E524" s="98"/>
      <c r="F524" s="98"/>
      <c r="G524" s="142"/>
      <c r="H524" s="98"/>
    </row>
    <row r="525" spans="1:8" ht="12.75" customHeight="1" x14ac:dyDescent="0.15">
      <c r="A525" s="98"/>
      <c r="B525" s="98"/>
      <c r="C525" s="98"/>
      <c r="D525" s="98"/>
      <c r="E525" s="98"/>
      <c r="F525" s="98"/>
      <c r="G525" s="142"/>
      <c r="H525" s="98"/>
    </row>
    <row r="526" spans="1:8" ht="12.75" customHeight="1" x14ac:dyDescent="0.15">
      <c r="A526" s="98"/>
      <c r="B526" s="98"/>
      <c r="C526" s="98"/>
      <c r="D526" s="98"/>
      <c r="E526" s="98"/>
      <c r="F526" s="98"/>
      <c r="G526" s="142"/>
      <c r="H526" s="98"/>
    </row>
    <row r="527" spans="1:8" ht="12.75" customHeight="1" x14ac:dyDescent="0.15">
      <c r="A527" s="98"/>
      <c r="B527" s="98"/>
      <c r="C527" s="98"/>
      <c r="D527" s="98"/>
      <c r="E527" s="98"/>
      <c r="F527" s="98"/>
      <c r="G527" s="142"/>
      <c r="H527" s="98"/>
    </row>
    <row r="528" spans="1:8" ht="12.75" customHeight="1" x14ac:dyDescent="0.15">
      <c r="A528" s="98"/>
      <c r="B528" s="98"/>
      <c r="C528" s="98"/>
      <c r="D528" s="98"/>
      <c r="E528" s="98"/>
      <c r="F528" s="98"/>
      <c r="G528" s="142"/>
      <c r="H528" s="98"/>
    </row>
    <row r="529" spans="1:8" ht="12.75" customHeight="1" x14ac:dyDescent="0.15">
      <c r="A529" s="98"/>
      <c r="B529" s="98"/>
      <c r="C529" s="98"/>
      <c r="D529" s="98"/>
      <c r="E529" s="98"/>
      <c r="F529" s="98"/>
      <c r="G529" s="142"/>
      <c r="H529" s="98"/>
    </row>
    <row r="530" spans="1:8" ht="12.75" customHeight="1" x14ac:dyDescent="0.15">
      <c r="A530" s="98"/>
      <c r="B530" s="98"/>
      <c r="C530" s="98"/>
      <c r="D530" s="98"/>
      <c r="E530" s="98"/>
      <c r="F530" s="98"/>
      <c r="G530" s="142"/>
      <c r="H530" s="98"/>
    </row>
    <row r="531" spans="1:8" ht="12.75" customHeight="1" x14ac:dyDescent="0.15">
      <c r="A531" s="98"/>
      <c r="B531" s="98"/>
      <c r="C531" s="98"/>
      <c r="D531" s="98"/>
      <c r="E531" s="98"/>
      <c r="F531" s="98"/>
      <c r="G531" s="142"/>
      <c r="H531" s="98"/>
    </row>
    <row r="532" spans="1:8" ht="12.75" customHeight="1" x14ac:dyDescent="0.15">
      <c r="A532" s="98"/>
      <c r="B532" s="98"/>
      <c r="C532" s="98"/>
      <c r="D532" s="98"/>
      <c r="E532" s="98"/>
      <c r="F532" s="98"/>
      <c r="G532" s="142"/>
      <c r="H532" s="98"/>
    </row>
    <row r="533" spans="1:8" ht="12.75" customHeight="1" x14ac:dyDescent="0.15">
      <c r="A533" s="98"/>
      <c r="B533" s="98"/>
      <c r="C533" s="98"/>
      <c r="D533" s="98"/>
      <c r="E533" s="98"/>
      <c r="F533" s="98"/>
      <c r="G533" s="142"/>
      <c r="H533" s="98"/>
    </row>
    <row r="534" spans="1:8" ht="12.75" customHeight="1" x14ac:dyDescent="0.15">
      <c r="A534" s="98"/>
      <c r="B534" s="98"/>
      <c r="C534" s="98"/>
      <c r="D534" s="98"/>
      <c r="E534" s="98"/>
      <c r="F534" s="98"/>
      <c r="G534" s="142"/>
      <c r="H534" s="98"/>
    </row>
    <row r="535" spans="1:8" ht="12.75" customHeight="1" x14ac:dyDescent="0.15">
      <c r="A535" s="98"/>
      <c r="B535" s="98"/>
      <c r="C535" s="98"/>
      <c r="D535" s="98"/>
      <c r="E535" s="98"/>
      <c r="F535" s="98"/>
      <c r="G535" s="142"/>
      <c r="H535" s="98"/>
    </row>
    <row r="536" spans="1:8" ht="12.75" customHeight="1" x14ac:dyDescent="0.15">
      <c r="A536" s="98"/>
      <c r="B536" s="98"/>
      <c r="C536" s="98"/>
      <c r="D536" s="98"/>
      <c r="E536" s="98"/>
      <c r="F536" s="98"/>
      <c r="G536" s="142"/>
      <c r="H536" s="98"/>
    </row>
    <row r="537" spans="1:8" ht="12.75" customHeight="1" x14ac:dyDescent="0.15">
      <c r="A537" s="98"/>
      <c r="B537" s="98"/>
      <c r="C537" s="98"/>
      <c r="D537" s="98"/>
      <c r="E537" s="98"/>
      <c r="F537" s="98"/>
      <c r="G537" s="142"/>
      <c r="H537" s="98"/>
    </row>
    <row r="538" spans="1:8" ht="12.75" customHeight="1" x14ac:dyDescent="0.15">
      <c r="A538" s="98"/>
      <c r="B538" s="98"/>
      <c r="C538" s="98"/>
      <c r="D538" s="98"/>
      <c r="E538" s="98"/>
      <c r="F538" s="98"/>
      <c r="G538" s="142"/>
      <c r="H538" s="98"/>
    </row>
    <row r="539" spans="1:8" ht="12.75" customHeight="1" x14ac:dyDescent="0.15">
      <c r="A539" s="98"/>
      <c r="B539" s="98"/>
      <c r="C539" s="98"/>
      <c r="D539" s="98"/>
      <c r="E539" s="98"/>
      <c r="F539" s="98"/>
      <c r="G539" s="142"/>
      <c r="H539" s="98"/>
    </row>
    <row r="540" spans="1:8" ht="12.75" customHeight="1" x14ac:dyDescent="0.15">
      <c r="A540" s="98"/>
      <c r="B540" s="98"/>
      <c r="C540" s="98"/>
      <c r="D540" s="98"/>
      <c r="E540" s="98"/>
      <c r="F540" s="98"/>
      <c r="G540" s="142"/>
      <c r="H540" s="98"/>
    </row>
    <row r="541" spans="1:8" ht="12.75" customHeight="1" x14ac:dyDescent="0.15">
      <c r="A541" s="98"/>
      <c r="B541" s="98"/>
      <c r="C541" s="98"/>
      <c r="D541" s="98"/>
      <c r="E541" s="98"/>
      <c r="F541" s="98"/>
      <c r="G541" s="142"/>
      <c r="H541" s="98"/>
    </row>
    <row r="542" spans="1:8" ht="12.75" customHeight="1" x14ac:dyDescent="0.15">
      <c r="A542" s="98"/>
      <c r="B542" s="98"/>
      <c r="C542" s="98"/>
      <c r="D542" s="98"/>
      <c r="E542" s="98"/>
      <c r="F542" s="98"/>
      <c r="G542" s="142"/>
      <c r="H542" s="98"/>
    </row>
    <row r="543" spans="1:8" ht="12.75" customHeight="1" x14ac:dyDescent="0.15">
      <c r="A543" s="98"/>
      <c r="B543" s="98"/>
      <c r="C543" s="98"/>
      <c r="D543" s="98"/>
      <c r="E543" s="98"/>
      <c r="F543" s="98"/>
      <c r="G543" s="142"/>
      <c r="H543" s="98"/>
    </row>
    <row r="544" spans="1:8" ht="12.75" customHeight="1" x14ac:dyDescent="0.15">
      <c r="A544" s="98"/>
      <c r="B544" s="98"/>
      <c r="C544" s="98"/>
      <c r="D544" s="98"/>
      <c r="E544" s="98"/>
      <c r="F544" s="98"/>
      <c r="G544" s="142"/>
      <c r="H544" s="98"/>
    </row>
    <row r="545" spans="1:8" ht="12.75" customHeight="1" x14ac:dyDescent="0.15">
      <c r="A545" s="98"/>
      <c r="B545" s="98"/>
      <c r="C545" s="98"/>
      <c r="D545" s="98"/>
      <c r="E545" s="98"/>
      <c r="F545" s="98"/>
      <c r="G545" s="142"/>
      <c r="H545" s="98"/>
    </row>
    <row r="546" spans="1:8" ht="12.75" customHeight="1" x14ac:dyDescent="0.15">
      <c r="A546" s="98"/>
      <c r="B546" s="98"/>
      <c r="C546" s="98"/>
      <c r="D546" s="98"/>
      <c r="E546" s="98"/>
      <c r="F546" s="98"/>
      <c r="G546" s="142"/>
      <c r="H546" s="98"/>
    </row>
    <row r="547" spans="1:8" ht="12.75" customHeight="1" x14ac:dyDescent="0.15">
      <c r="A547" s="98"/>
      <c r="B547" s="98"/>
      <c r="C547" s="98"/>
      <c r="D547" s="98"/>
      <c r="E547" s="98"/>
      <c r="F547" s="98"/>
      <c r="G547" s="142"/>
      <c r="H547" s="98"/>
    </row>
    <row r="548" spans="1:8" ht="12.75" customHeight="1" x14ac:dyDescent="0.15">
      <c r="A548" s="98"/>
      <c r="B548" s="98"/>
      <c r="C548" s="98"/>
      <c r="D548" s="98"/>
      <c r="E548" s="98"/>
      <c r="F548" s="98"/>
      <c r="G548" s="142"/>
      <c r="H548" s="98"/>
    </row>
    <row r="549" spans="1:8" ht="12.75" customHeight="1" x14ac:dyDescent="0.15">
      <c r="A549" s="98"/>
      <c r="B549" s="98"/>
      <c r="C549" s="98"/>
      <c r="D549" s="98"/>
      <c r="E549" s="98"/>
      <c r="F549" s="98"/>
      <c r="G549" s="142"/>
      <c r="H549" s="98"/>
    </row>
    <row r="550" spans="1:8" ht="12.75" customHeight="1" x14ac:dyDescent="0.15">
      <c r="A550" s="98"/>
      <c r="B550" s="98"/>
      <c r="C550" s="98"/>
      <c r="D550" s="98"/>
      <c r="E550" s="98"/>
      <c r="F550" s="98"/>
      <c r="G550" s="142"/>
      <c r="H550" s="98"/>
    </row>
    <row r="551" spans="1:8" ht="12.75" customHeight="1" x14ac:dyDescent="0.15">
      <c r="A551" s="98"/>
      <c r="B551" s="98"/>
      <c r="C551" s="98"/>
      <c r="D551" s="98"/>
      <c r="E551" s="98"/>
      <c r="F551" s="98"/>
      <c r="G551" s="142"/>
      <c r="H551" s="98"/>
    </row>
    <row r="552" spans="1:8" ht="12.75" customHeight="1" x14ac:dyDescent="0.15">
      <c r="A552" s="98"/>
      <c r="B552" s="98"/>
      <c r="C552" s="98"/>
      <c r="D552" s="98"/>
      <c r="E552" s="98"/>
      <c r="F552" s="98"/>
      <c r="G552" s="142"/>
      <c r="H552" s="98"/>
    </row>
    <row r="553" spans="1:8" ht="12.75" customHeight="1" x14ac:dyDescent="0.15">
      <c r="A553" s="98"/>
      <c r="B553" s="98"/>
      <c r="C553" s="98"/>
      <c r="D553" s="98"/>
      <c r="E553" s="98"/>
      <c r="F553" s="98"/>
      <c r="G553" s="142"/>
      <c r="H553" s="98"/>
    </row>
    <row r="554" spans="1:8" ht="12.75" customHeight="1" x14ac:dyDescent="0.15">
      <c r="A554" s="98"/>
      <c r="B554" s="98"/>
      <c r="C554" s="98"/>
      <c r="D554" s="98"/>
      <c r="E554" s="98"/>
      <c r="F554" s="98"/>
      <c r="G554" s="142"/>
      <c r="H554" s="98"/>
    </row>
    <row r="555" spans="1:8" ht="12.75" customHeight="1" x14ac:dyDescent="0.15">
      <c r="A555" s="98"/>
      <c r="B555" s="98"/>
      <c r="C555" s="98"/>
      <c r="D555" s="98"/>
      <c r="E555" s="98"/>
      <c r="F555" s="98"/>
      <c r="G555" s="142"/>
      <c r="H555" s="98"/>
    </row>
    <row r="556" spans="1:8" ht="12.75" customHeight="1" x14ac:dyDescent="0.15">
      <c r="A556" s="98"/>
      <c r="B556" s="98"/>
      <c r="C556" s="98"/>
      <c r="D556" s="98"/>
      <c r="E556" s="98"/>
      <c r="F556" s="98"/>
      <c r="G556" s="142"/>
      <c r="H556" s="98"/>
    </row>
    <row r="557" spans="1:8" ht="12.75" customHeight="1" x14ac:dyDescent="0.15">
      <c r="A557" s="98"/>
      <c r="B557" s="98"/>
      <c r="C557" s="98"/>
      <c r="D557" s="98"/>
      <c r="E557" s="98"/>
      <c r="F557" s="98"/>
      <c r="G557" s="142"/>
      <c r="H557" s="98"/>
    </row>
    <row r="558" spans="1:8" ht="12.75" customHeight="1" x14ac:dyDescent="0.15">
      <c r="A558" s="98"/>
      <c r="B558" s="98"/>
      <c r="C558" s="98"/>
      <c r="D558" s="98"/>
      <c r="E558" s="98"/>
      <c r="F558" s="98"/>
      <c r="G558" s="142"/>
      <c r="H558" s="98"/>
    </row>
    <row r="559" spans="1:8" ht="12.75" customHeight="1" x14ac:dyDescent="0.15">
      <c r="A559" s="98"/>
      <c r="B559" s="98"/>
      <c r="C559" s="98"/>
      <c r="D559" s="98"/>
      <c r="E559" s="98"/>
      <c r="F559" s="98"/>
      <c r="G559" s="142"/>
      <c r="H559" s="98"/>
    </row>
    <row r="560" spans="1:8" ht="12.75" customHeight="1" x14ac:dyDescent="0.15">
      <c r="A560" s="98"/>
      <c r="B560" s="98"/>
      <c r="C560" s="98"/>
      <c r="D560" s="98"/>
      <c r="E560" s="98"/>
      <c r="F560" s="98"/>
      <c r="G560" s="142"/>
      <c r="H560" s="98"/>
    </row>
    <row r="561" spans="1:8" ht="12.75" customHeight="1" x14ac:dyDescent="0.15">
      <c r="A561" s="98"/>
      <c r="B561" s="98"/>
      <c r="C561" s="98"/>
      <c r="D561" s="98"/>
      <c r="E561" s="98"/>
      <c r="F561" s="98"/>
      <c r="G561" s="142"/>
      <c r="H561" s="98"/>
    </row>
    <row r="562" spans="1:8" ht="12.75" customHeight="1" x14ac:dyDescent="0.15">
      <c r="A562" s="98"/>
      <c r="B562" s="98"/>
      <c r="C562" s="98"/>
      <c r="D562" s="98"/>
      <c r="E562" s="98"/>
      <c r="F562" s="98"/>
      <c r="G562" s="142"/>
      <c r="H562" s="98"/>
    </row>
    <row r="563" spans="1:8" ht="12.75" customHeight="1" x14ac:dyDescent="0.15">
      <c r="A563" s="98"/>
      <c r="B563" s="98"/>
      <c r="C563" s="98"/>
      <c r="D563" s="98"/>
      <c r="E563" s="98"/>
      <c r="F563" s="98"/>
      <c r="G563" s="142"/>
      <c r="H563" s="98"/>
    </row>
    <row r="564" spans="1:8" ht="12.75" customHeight="1" x14ac:dyDescent="0.15">
      <c r="A564" s="98"/>
      <c r="B564" s="98"/>
      <c r="C564" s="98"/>
      <c r="D564" s="98"/>
      <c r="E564" s="98"/>
      <c r="F564" s="98"/>
      <c r="G564" s="142"/>
      <c r="H564" s="98"/>
    </row>
    <row r="565" spans="1:8" ht="12.75" customHeight="1" x14ac:dyDescent="0.15">
      <c r="A565" s="98"/>
      <c r="B565" s="98"/>
      <c r="C565" s="98"/>
      <c r="D565" s="98"/>
      <c r="E565" s="98"/>
      <c r="F565" s="98"/>
      <c r="G565" s="142"/>
      <c r="H565" s="98"/>
    </row>
    <row r="566" spans="1:8" ht="12.75" customHeight="1" x14ac:dyDescent="0.15">
      <c r="A566" s="98"/>
      <c r="B566" s="98"/>
      <c r="C566" s="98"/>
      <c r="D566" s="98"/>
      <c r="E566" s="98"/>
      <c r="F566" s="98"/>
      <c r="G566" s="142"/>
      <c r="H566" s="98"/>
    </row>
    <row r="567" spans="1:8" ht="12.75" customHeight="1" x14ac:dyDescent="0.15">
      <c r="A567" s="98"/>
      <c r="B567" s="98"/>
      <c r="C567" s="98"/>
      <c r="D567" s="98"/>
      <c r="E567" s="98"/>
      <c r="F567" s="98"/>
      <c r="G567" s="142"/>
      <c r="H567" s="98"/>
    </row>
    <row r="568" spans="1:8" ht="12.75" customHeight="1" x14ac:dyDescent="0.15">
      <c r="A568" s="98"/>
      <c r="B568" s="98"/>
      <c r="C568" s="98"/>
      <c r="D568" s="98"/>
      <c r="E568" s="98"/>
      <c r="F568" s="98"/>
      <c r="G568" s="142"/>
      <c r="H568" s="98"/>
    </row>
    <row r="569" spans="1:8" ht="12.75" customHeight="1" x14ac:dyDescent="0.15">
      <c r="A569" s="98"/>
      <c r="B569" s="98"/>
      <c r="C569" s="98"/>
      <c r="D569" s="98"/>
      <c r="E569" s="98"/>
      <c r="F569" s="98"/>
      <c r="G569" s="142"/>
      <c r="H569" s="98"/>
    </row>
    <row r="570" spans="1:8" ht="12.75" customHeight="1" x14ac:dyDescent="0.15">
      <c r="A570" s="98"/>
      <c r="B570" s="98"/>
      <c r="C570" s="98"/>
      <c r="D570" s="98"/>
      <c r="E570" s="98"/>
      <c r="F570" s="98"/>
      <c r="G570" s="142"/>
      <c r="H570" s="98"/>
    </row>
    <row r="571" spans="1:8" ht="12.75" customHeight="1" x14ac:dyDescent="0.15">
      <c r="A571" s="98"/>
      <c r="B571" s="98"/>
      <c r="C571" s="98"/>
      <c r="D571" s="98"/>
      <c r="E571" s="98"/>
      <c r="F571" s="98"/>
      <c r="G571" s="142"/>
      <c r="H571" s="98"/>
    </row>
    <row r="572" spans="1:8" ht="12.75" customHeight="1" x14ac:dyDescent="0.15">
      <c r="A572" s="98"/>
      <c r="B572" s="98"/>
      <c r="C572" s="98"/>
      <c r="D572" s="98"/>
      <c r="E572" s="98"/>
      <c r="F572" s="98"/>
      <c r="G572" s="142"/>
      <c r="H572" s="98"/>
    </row>
    <row r="573" spans="1:8" ht="12.75" customHeight="1" x14ac:dyDescent="0.15">
      <c r="A573" s="98"/>
      <c r="B573" s="98"/>
      <c r="C573" s="98"/>
      <c r="D573" s="98"/>
      <c r="E573" s="98"/>
      <c r="F573" s="98"/>
      <c r="G573" s="142"/>
      <c r="H573" s="98"/>
    </row>
    <row r="574" spans="1:8" ht="12.75" customHeight="1" x14ac:dyDescent="0.15">
      <c r="A574" s="98"/>
      <c r="B574" s="98"/>
      <c r="C574" s="98"/>
      <c r="D574" s="98"/>
      <c r="E574" s="98"/>
      <c r="F574" s="98"/>
      <c r="G574" s="142"/>
      <c r="H574" s="98"/>
    </row>
    <row r="575" spans="1:8" ht="12.75" customHeight="1" x14ac:dyDescent="0.15">
      <c r="A575" s="98"/>
      <c r="B575" s="98"/>
      <c r="C575" s="98"/>
      <c r="D575" s="98"/>
      <c r="E575" s="98"/>
      <c r="F575" s="98"/>
      <c r="G575" s="142"/>
      <c r="H575" s="98"/>
    </row>
    <row r="576" spans="1:8" ht="12.75" customHeight="1" x14ac:dyDescent="0.15">
      <c r="A576" s="98"/>
      <c r="B576" s="98"/>
      <c r="C576" s="98"/>
      <c r="D576" s="98"/>
      <c r="E576" s="98"/>
      <c r="F576" s="98"/>
      <c r="G576" s="142"/>
      <c r="H576" s="98"/>
    </row>
    <row r="577" spans="1:8" ht="12.75" customHeight="1" x14ac:dyDescent="0.15">
      <c r="A577" s="98"/>
      <c r="B577" s="98"/>
      <c r="C577" s="98"/>
      <c r="D577" s="98"/>
      <c r="E577" s="98"/>
      <c r="F577" s="98"/>
      <c r="G577" s="142"/>
      <c r="H577" s="98"/>
    </row>
    <row r="578" spans="1:8" ht="12.75" customHeight="1" x14ac:dyDescent="0.15">
      <c r="A578" s="98"/>
      <c r="B578" s="98"/>
      <c r="C578" s="98"/>
      <c r="D578" s="98"/>
      <c r="E578" s="98"/>
      <c r="F578" s="98"/>
      <c r="G578" s="142"/>
      <c r="H578" s="98"/>
    </row>
    <row r="579" spans="1:8" ht="12.75" customHeight="1" x14ac:dyDescent="0.15">
      <c r="A579" s="98"/>
      <c r="B579" s="98"/>
      <c r="C579" s="98"/>
      <c r="D579" s="98"/>
      <c r="E579" s="98"/>
      <c r="F579" s="98"/>
      <c r="G579" s="142"/>
      <c r="H579" s="98"/>
    </row>
    <row r="580" spans="1:8" ht="12.75" customHeight="1" x14ac:dyDescent="0.15">
      <c r="A580" s="98"/>
      <c r="B580" s="98"/>
      <c r="C580" s="98"/>
      <c r="D580" s="98"/>
      <c r="E580" s="98"/>
      <c r="F580" s="98"/>
      <c r="G580" s="142"/>
      <c r="H580" s="98"/>
    </row>
    <row r="581" spans="1:8" ht="12.75" customHeight="1" x14ac:dyDescent="0.15">
      <c r="A581" s="98"/>
      <c r="B581" s="98"/>
      <c r="C581" s="98"/>
      <c r="D581" s="98"/>
      <c r="E581" s="98"/>
      <c r="F581" s="98"/>
      <c r="G581" s="142"/>
      <c r="H581" s="98"/>
    </row>
    <row r="582" spans="1:8" ht="12.75" customHeight="1" x14ac:dyDescent="0.15">
      <c r="A582" s="98"/>
      <c r="B582" s="98"/>
      <c r="C582" s="98"/>
      <c r="D582" s="98"/>
      <c r="E582" s="98"/>
      <c r="F582" s="98"/>
      <c r="G582" s="142"/>
      <c r="H582" s="98"/>
    </row>
    <row r="583" spans="1:8" ht="12.75" customHeight="1" x14ac:dyDescent="0.15">
      <c r="A583" s="98"/>
      <c r="B583" s="98"/>
      <c r="C583" s="98"/>
      <c r="D583" s="98"/>
      <c r="E583" s="98"/>
      <c r="F583" s="98"/>
      <c r="G583" s="142"/>
      <c r="H583" s="98"/>
    </row>
    <row r="584" spans="1:8" ht="12.75" customHeight="1" x14ac:dyDescent="0.15">
      <c r="A584" s="98"/>
      <c r="B584" s="98"/>
      <c r="C584" s="98"/>
      <c r="D584" s="98"/>
      <c r="E584" s="98"/>
      <c r="F584" s="98"/>
      <c r="G584" s="142"/>
      <c r="H584" s="98"/>
    </row>
    <row r="585" spans="1:8" ht="12.75" customHeight="1" x14ac:dyDescent="0.15">
      <c r="A585" s="98"/>
      <c r="B585" s="98"/>
      <c r="C585" s="98"/>
      <c r="D585" s="98"/>
      <c r="E585" s="98"/>
      <c r="F585" s="98"/>
      <c r="G585" s="142"/>
      <c r="H585" s="98"/>
    </row>
    <row r="586" spans="1:8" ht="12.75" customHeight="1" x14ac:dyDescent="0.15">
      <c r="A586" s="98"/>
      <c r="B586" s="98"/>
      <c r="C586" s="98"/>
      <c r="D586" s="98"/>
      <c r="E586" s="98"/>
      <c r="F586" s="98"/>
      <c r="G586" s="142"/>
      <c r="H586" s="98"/>
    </row>
    <row r="587" spans="1:8" ht="12.75" customHeight="1" x14ac:dyDescent="0.15">
      <c r="A587" s="98"/>
      <c r="B587" s="98"/>
      <c r="C587" s="98"/>
      <c r="D587" s="98"/>
      <c r="E587" s="98"/>
      <c r="F587" s="98"/>
      <c r="G587" s="142"/>
      <c r="H587" s="98"/>
    </row>
    <row r="588" spans="1:8" ht="12.75" customHeight="1" x14ac:dyDescent="0.15">
      <c r="A588" s="98"/>
      <c r="B588" s="98"/>
      <c r="C588" s="98"/>
      <c r="D588" s="98"/>
      <c r="E588" s="98"/>
      <c r="F588" s="98"/>
      <c r="G588" s="142"/>
      <c r="H588" s="98"/>
    </row>
    <row r="589" spans="1:8" ht="12.75" customHeight="1" x14ac:dyDescent="0.15">
      <c r="A589" s="98"/>
      <c r="B589" s="98"/>
      <c r="C589" s="98"/>
      <c r="D589" s="98"/>
      <c r="E589" s="98"/>
      <c r="F589" s="98"/>
      <c r="G589" s="142"/>
      <c r="H589" s="98"/>
    </row>
    <row r="590" spans="1:8" ht="12.75" customHeight="1" x14ac:dyDescent="0.15">
      <c r="A590" s="98"/>
      <c r="B590" s="98"/>
      <c r="C590" s="98"/>
      <c r="D590" s="98"/>
      <c r="E590" s="98"/>
      <c r="F590" s="98"/>
      <c r="G590" s="142"/>
      <c r="H590" s="98"/>
    </row>
    <row r="591" spans="1:8" ht="12.75" customHeight="1" x14ac:dyDescent="0.15">
      <c r="A591" s="98"/>
      <c r="B591" s="98"/>
      <c r="C591" s="98"/>
      <c r="D591" s="98"/>
      <c r="E591" s="98"/>
      <c r="F591" s="98"/>
      <c r="G591" s="142"/>
      <c r="H591" s="98"/>
    </row>
    <row r="592" spans="1:8" ht="12.75" customHeight="1" x14ac:dyDescent="0.15">
      <c r="A592" s="98"/>
      <c r="B592" s="98"/>
      <c r="C592" s="98"/>
      <c r="D592" s="98"/>
      <c r="E592" s="98"/>
      <c r="F592" s="98"/>
      <c r="G592" s="142"/>
      <c r="H592" s="98"/>
    </row>
    <row r="593" spans="1:8" ht="12.75" customHeight="1" x14ac:dyDescent="0.15">
      <c r="A593" s="98"/>
      <c r="B593" s="98"/>
      <c r="C593" s="98"/>
      <c r="D593" s="98"/>
      <c r="E593" s="98"/>
      <c r="F593" s="98"/>
      <c r="G593" s="142"/>
      <c r="H593" s="98"/>
    </row>
    <row r="594" spans="1:8" ht="12.75" customHeight="1" x14ac:dyDescent="0.15">
      <c r="A594" s="98"/>
      <c r="B594" s="98"/>
      <c r="C594" s="98"/>
      <c r="D594" s="98"/>
      <c r="E594" s="98"/>
      <c r="F594" s="98"/>
      <c r="G594" s="142"/>
      <c r="H594" s="98"/>
    </row>
    <row r="595" spans="1:8" ht="12.75" customHeight="1" x14ac:dyDescent="0.15">
      <c r="A595" s="98"/>
      <c r="B595" s="98"/>
      <c r="C595" s="98"/>
      <c r="D595" s="98"/>
      <c r="E595" s="98"/>
      <c r="F595" s="98"/>
      <c r="G595" s="142"/>
      <c r="H595" s="98"/>
    </row>
    <row r="596" spans="1:8" ht="12.75" customHeight="1" x14ac:dyDescent="0.15">
      <c r="A596" s="98"/>
      <c r="B596" s="98"/>
      <c r="C596" s="98"/>
      <c r="D596" s="98"/>
      <c r="E596" s="98"/>
      <c r="F596" s="98"/>
      <c r="G596" s="142"/>
      <c r="H596" s="98"/>
    </row>
    <row r="597" spans="1:8" ht="12.75" customHeight="1" x14ac:dyDescent="0.15">
      <c r="A597" s="98"/>
      <c r="B597" s="98"/>
      <c r="C597" s="98"/>
      <c r="D597" s="98"/>
      <c r="E597" s="98"/>
      <c r="F597" s="98"/>
      <c r="G597" s="142"/>
      <c r="H597" s="98"/>
    </row>
    <row r="598" spans="1:8" ht="12.75" customHeight="1" x14ac:dyDescent="0.15">
      <c r="A598" s="98"/>
      <c r="B598" s="98"/>
      <c r="C598" s="98"/>
      <c r="D598" s="98"/>
      <c r="E598" s="98"/>
      <c r="F598" s="98"/>
      <c r="G598" s="142"/>
      <c r="H598" s="98"/>
    </row>
    <row r="599" spans="1:8" ht="12.75" customHeight="1" x14ac:dyDescent="0.15">
      <c r="A599" s="98"/>
      <c r="B599" s="98"/>
      <c r="C599" s="98"/>
      <c r="D599" s="98"/>
      <c r="E599" s="98"/>
      <c r="F599" s="98"/>
      <c r="G599" s="142"/>
      <c r="H599" s="98"/>
    </row>
    <row r="600" spans="1:8" ht="12.75" customHeight="1" x14ac:dyDescent="0.15">
      <c r="A600" s="98"/>
      <c r="B600" s="98"/>
      <c r="C600" s="98"/>
      <c r="D600" s="98"/>
      <c r="E600" s="98"/>
      <c r="F600" s="98"/>
      <c r="G600" s="142"/>
      <c r="H600" s="98"/>
    </row>
    <row r="601" spans="1:8" ht="12.75" customHeight="1" x14ac:dyDescent="0.15">
      <c r="A601" s="98"/>
      <c r="B601" s="98"/>
      <c r="C601" s="98"/>
      <c r="D601" s="98"/>
      <c r="E601" s="98"/>
      <c r="F601" s="98"/>
      <c r="G601" s="142"/>
      <c r="H601" s="98"/>
    </row>
    <row r="602" spans="1:8" ht="12.75" customHeight="1" x14ac:dyDescent="0.15">
      <c r="A602" s="98"/>
      <c r="B602" s="98"/>
      <c r="C602" s="98"/>
      <c r="D602" s="98"/>
      <c r="E602" s="98"/>
      <c r="F602" s="98"/>
      <c r="G602" s="142"/>
      <c r="H602" s="98"/>
    </row>
    <row r="603" spans="1:8" ht="12.75" customHeight="1" x14ac:dyDescent="0.15">
      <c r="A603" s="98"/>
      <c r="B603" s="98"/>
      <c r="C603" s="98"/>
      <c r="D603" s="98"/>
      <c r="E603" s="98"/>
      <c r="F603" s="98"/>
      <c r="G603" s="142"/>
      <c r="H603" s="98"/>
    </row>
    <row r="604" spans="1:8" ht="12.75" customHeight="1" x14ac:dyDescent="0.15">
      <c r="A604" s="98"/>
      <c r="B604" s="98"/>
      <c r="C604" s="98"/>
      <c r="D604" s="98"/>
      <c r="E604" s="98"/>
      <c r="F604" s="98"/>
      <c r="G604" s="142"/>
      <c r="H604" s="98"/>
    </row>
    <row r="605" spans="1:8" ht="12.75" customHeight="1" x14ac:dyDescent="0.15">
      <c r="A605" s="98"/>
      <c r="B605" s="98"/>
      <c r="C605" s="98"/>
      <c r="D605" s="98"/>
      <c r="E605" s="98"/>
      <c r="F605" s="98"/>
      <c r="G605" s="142"/>
      <c r="H605" s="98"/>
    </row>
    <row r="606" spans="1:8" ht="12.75" customHeight="1" x14ac:dyDescent="0.15">
      <c r="A606" s="98"/>
      <c r="B606" s="98"/>
      <c r="C606" s="98"/>
      <c r="D606" s="98"/>
      <c r="E606" s="98"/>
      <c r="F606" s="98"/>
      <c r="G606" s="142"/>
      <c r="H606" s="98"/>
    </row>
    <row r="607" spans="1:8" ht="12.75" customHeight="1" x14ac:dyDescent="0.15">
      <c r="A607" s="98"/>
      <c r="B607" s="98"/>
      <c r="C607" s="98"/>
      <c r="D607" s="98"/>
      <c r="E607" s="98"/>
      <c r="F607" s="98"/>
      <c r="G607" s="142"/>
      <c r="H607" s="98"/>
    </row>
    <row r="608" spans="1:8" ht="12.75" customHeight="1" x14ac:dyDescent="0.15">
      <c r="A608" s="98"/>
      <c r="B608" s="98"/>
      <c r="C608" s="98"/>
      <c r="D608" s="98"/>
      <c r="E608" s="98"/>
      <c r="F608" s="98"/>
      <c r="G608" s="142"/>
      <c r="H608" s="98"/>
    </row>
    <row r="609" spans="1:8" ht="12.75" customHeight="1" x14ac:dyDescent="0.15">
      <c r="A609" s="98"/>
      <c r="B609" s="98"/>
      <c r="C609" s="98"/>
      <c r="D609" s="98"/>
      <c r="E609" s="98"/>
      <c r="F609" s="98"/>
      <c r="G609" s="142"/>
      <c r="H609" s="98"/>
    </row>
    <row r="610" spans="1:8" ht="12.75" customHeight="1" x14ac:dyDescent="0.15">
      <c r="A610" s="98"/>
      <c r="B610" s="98"/>
      <c r="C610" s="98"/>
      <c r="D610" s="98"/>
      <c r="E610" s="98"/>
      <c r="F610" s="98"/>
      <c r="G610" s="142"/>
      <c r="H610" s="98"/>
    </row>
    <row r="611" spans="1:8" ht="12.75" customHeight="1" x14ac:dyDescent="0.15">
      <c r="A611" s="98"/>
      <c r="B611" s="98"/>
      <c r="C611" s="98"/>
      <c r="D611" s="98"/>
      <c r="E611" s="98"/>
      <c r="F611" s="98"/>
      <c r="G611" s="142"/>
      <c r="H611" s="98"/>
    </row>
    <row r="612" spans="1:8" ht="12.75" customHeight="1" x14ac:dyDescent="0.15">
      <c r="A612" s="98"/>
      <c r="B612" s="98"/>
      <c r="C612" s="98"/>
      <c r="D612" s="98"/>
      <c r="E612" s="98"/>
      <c r="F612" s="98"/>
      <c r="G612" s="142"/>
      <c r="H612" s="98"/>
    </row>
    <row r="613" spans="1:8" ht="12.75" customHeight="1" x14ac:dyDescent="0.15">
      <c r="A613" s="98"/>
      <c r="B613" s="98"/>
      <c r="C613" s="98"/>
      <c r="D613" s="98"/>
      <c r="E613" s="98"/>
      <c r="F613" s="98"/>
      <c r="G613" s="142"/>
      <c r="H613" s="98"/>
    </row>
    <row r="614" spans="1:8" ht="12.75" customHeight="1" x14ac:dyDescent="0.15">
      <c r="A614" s="98"/>
      <c r="B614" s="98"/>
      <c r="C614" s="98"/>
      <c r="D614" s="98"/>
      <c r="E614" s="98"/>
      <c r="F614" s="98"/>
      <c r="G614" s="142"/>
      <c r="H614" s="98"/>
    </row>
    <row r="615" spans="1:8" ht="12.75" customHeight="1" x14ac:dyDescent="0.15">
      <c r="A615" s="98"/>
      <c r="B615" s="98"/>
      <c r="C615" s="98"/>
      <c r="D615" s="98"/>
      <c r="E615" s="98"/>
      <c r="F615" s="98"/>
      <c r="G615" s="142"/>
      <c r="H615" s="98"/>
    </row>
    <row r="616" spans="1:8" ht="12.75" customHeight="1" x14ac:dyDescent="0.15">
      <c r="A616" s="98"/>
      <c r="B616" s="98"/>
      <c r="C616" s="98"/>
      <c r="D616" s="98"/>
      <c r="E616" s="98"/>
      <c r="F616" s="98"/>
      <c r="G616" s="142"/>
      <c r="H616" s="98"/>
    </row>
    <row r="617" spans="1:8" ht="12.75" customHeight="1" x14ac:dyDescent="0.15">
      <c r="A617" s="98"/>
      <c r="B617" s="98"/>
      <c r="C617" s="98"/>
      <c r="D617" s="98"/>
      <c r="E617" s="98"/>
      <c r="F617" s="98"/>
      <c r="G617" s="142"/>
      <c r="H617" s="98"/>
    </row>
    <row r="618" spans="1:8" ht="12.75" customHeight="1" x14ac:dyDescent="0.15">
      <c r="A618" s="98"/>
      <c r="B618" s="98"/>
      <c r="C618" s="98"/>
      <c r="D618" s="98"/>
      <c r="E618" s="98"/>
      <c r="F618" s="98"/>
      <c r="G618" s="142"/>
      <c r="H618" s="98"/>
    </row>
    <row r="619" spans="1:8" ht="12.75" customHeight="1" x14ac:dyDescent="0.15">
      <c r="A619" s="98"/>
      <c r="B619" s="98"/>
      <c r="C619" s="98"/>
      <c r="D619" s="98"/>
      <c r="E619" s="98"/>
      <c r="F619" s="98"/>
      <c r="G619" s="142"/>
      <c r="H619" s="98"/>
    </row>
    <row r="620" spans="1:8" ht="12.75" customHeight="1" x14ac:dyDescent="0.15">
      <c r="A620" s="98"/>
      <c r="B620" s="98"/>
      <c r="C620" s="98"/>
      <c r="D620" s="98"/>
      <c r="E620" s="98"/>
      <c r="F620" s="98"/>
      <c r="G620" s="142"/>
      <c r="H620" s="98"/>
    </row>
    <row r="621" spans="1:8" ht="12.75" customHeight="1" x14ac:dyDescent="0.15">
      <c r="A621" s="98"/>
      <c r="B621" s="98"/>
      <c r="C621" s="98"/>
      <c r="D621" s="98"/>
      <c r="E621" s="98"/>
      <c r="F621" s="98"/>
      <c r="G621" s="142"/>
      <c r="H621" s="98"/>
    </row>
    <row r="622" spans="1:8" ht="12.75" customHeight="1" x14ac:dyDescent="0.15">
      <c r="A622" s="98"/>
      <c r="B622" s="98"/>
      <c r="C622" s="98"/>
      <c r="D622" s="98"/>
      <c r="E622" s="98"/>
      <c r="F622" s="98"/>
      <c r="G622" s="142"/>
      <c r="H622" s="98"/>
    </row>
    <row r="623" spans="1:8" ht="12.75" customHeight="1" x14ac:dyDescent="0.15">
      <c r="A623" s="98"/>
      <c r="B623" s="98"/>
      <c r="C623" s="98"/>
      <c r="D623" s="98"/>
      <c r="E623" s="98"/>
      <c r="F623" s="98"/>
      <c r="G623" s="142"/>
      <c r="H623" s="98"/>
    </row>
    <row r="624" spans="1:8" ht="12.75" customHeight="1" x14ac:dyDescent="0.15">
      <c r="A624" s="98"/>
      <c r="B624" s="98"/>
      <c r="C624" s="98"/>
      <c r="D624" s="98"/>
      <c r="E624" s="98"/>
      <c r="F624" s="98"/>
      <c r="G624" s="142"/>
      <c r="H624" s="98"/>
    </row>
    <row r="625" spans="1:8" ht="12.75" customHeight="1" x14ac:dyDescent="0.15">
      <c r="A625" s="98"/>
      <c r="B625" s="98"/>
      <c r="C625" s="98"/>
      <c r="D625" s="98"/>
      <c r="E625" s="98"/>
      <c r="F625" s="98"/>
      <c r="G625" s="142"/>
      <c r="H625" s="98"/>
    </row>
    <row r="626" spans="1:8" ht="12.75" customHeight="1" x14ac:dyDescent="0.15">
      <c r="A626" s="98"/>
      <c r="B626" s="98"/>
      <c r="C626" s="98"/>
      <c r="D626" s="98"/>
      <c r="E626" s="98"/>
      <c r="F626" s="98"/>
      <c r="G626" s="142"/>
      <c r="H626" s="98"/>
    </row>
    <row r="627" spans="1:8" ht="12.75" customHeight="1" x14ac:dyDescent="0.15">
      <c r="A627" s="98"/>
      <c r="B627" s="98"/>
      <c r="C627" s="98"/>
      <c r="D627" s="98"/>
      <c r="E627" s="98"/>
      <c r="F627" s="98"/>
      <c r="G627" s="142"/>
      <c r="H627" s="98"/>
    </row>
    <row r="628" spans="1:8" ht="12.75" customHeight="1" x14ac:dyDescent="0.15">
      <c r="A628" s="98"/>
      <c r="B628" s="98"/>
      <c r="C628" s="98"/>
      <c r="D628" s="98"/>
      <c r="E628" s="98"/>
      <c r="F628" s="98"/>
      <c r="G628" s="142"/>
      <c r="H628" s="98"/>
    </row>
    <row r="629" spans="1:8" ht="12.75" customHeight="1" x14ac:dyDescent="0.15">
      <c r="A629" s="98"/>
      <c r="B629" s="98"/>
      <c r="C629" s="98"/>
      <c r="D629" s="98"/>
      <c r="E629" s="98"/>
      <c r="F629" s="98"/>
      <c r="G629" s="142"/>
      <c r="H629" s="98"/>
    </row>
    <row r="630" spans="1:8" ht="12.75" customHeight="1" x14ac:dyDescent="0.15">
      <c r="A630" s="98"/>
      <c r="B630" s="98"/>
      <c r="C630" s="98"/>
      <c r="D630" s="98"/>
      <c r="E630" s="98"/>
      <c r="F630" s="98"/>
      <c r="G630" s="142"/>
      <c r="H630" s="98"/>
    </row>
    <row r="631" spans="1:8" ht="12.75" customHeight="1" x14ac:dyDescent="0.15">
      <c r="A631" s="98"/>
      <c r="B631" s="98"/>
      <c r="C631" s="98"/>
      <c r="D631" s="98"/>
      <c r="E631" s="98"/>
      <c r="F631" s="98"/>
      <c r="G631" s="142"/>
      <c r="H631" s="98"/>
    </row>
    <row r="632" spans="1:8" ht="12.75" customHeight="1" x14ac:dyDescent="0.15">
      <c r="A632" s="98"/>
      <c r="B632" s="98"/>
      <c r="C632" s="98"/>
      <c r="D632" s="98"/>
      <c r="E632" s="98"/>
      <c r="F632" s="98"/>
      <c r="G632" s="142"/>
      <c r="H632" s="98"/>
    </row>
    <row r="633" spans="1:8" ht="12.75" customHeight="1" x14ac:dyDescent="0.15">
      <c r="A633" s="98"/>
      <c r="B633" s="98"/>
      <c r="C633" s="98"/>
      <c r="D633" s="98"/>
      <c r="E633" s="98"/>
      <c r="F633" s="98"/>
      <c r="G633" s="142"/>
      <c r="H633" s="98"/>
    </row>
    <row r="634" spans="1:8" ht="12.75" customHeight="1" x14ac:dyDescent="0.15">
      <c r="A634" s="98"/>
      <c r="B634" s="98"/>
      <c r="C634" s="98"/>
      <c r="D634" s="98"/>
      <c r="E634" s="98"/>
      <c r="F634" s="98"/>
      <c r="G634" s="142"/>
      <c r="H634" s="98"/>
    </row>
    <row r="635" spans="1:8" ht="12.75" customHeight="1" x14ac:dyDescent="0.15">
      <c r="A635" s="98"/>
      <c r="B635" s="98"/>
      <c r="C635" s="98"/>
      <c r="D635" s="98"/>
      <c r="E635" s="98"/>
      <c r="F635" s="98"/>
      <c r="G635" s="142"/>
      <c r="H635" s="98"/>
    </row>
    <row r="636" spans="1:8" ht="12.75" customHeight="1" x14ac:dyDescent="0.15">
      <c r="A636" s="98"/>
      <c r="B636" s="98"/>
      <c r="C636" s="98"/>
      <c r="D636" s="98"/>
      <c r="E636" s="98"/>
      <c r="F636" s="98"/>
      <c r="G636" s="142"/>
      <c r="H636" s="98"/>
    </row>
    <row r="637" spans="1:8" ht="12.75" customHeight="1" x14ac:dyDescent="0.15">
      <c r="A637" s="98"/>
      <c r="B637" s="98"/>
      <c r="C637" s="98"/>
      <c r="D637" s="98"/>
      <c r="E637" s="98"/>
      <c r="F637" s="98"/>
      <c r="G637" s="142"/>
      <c r="H637" s="98"/>
    </row>
    <row r="638" spans="1:8" ht="12.75" customHeight="1" x14ac:dyDescent="0.15">
      <c r="A638" s="98"/>
      <c r="B638" s="98"/>
      <c r="C638" s="98"/>
      <c r="D638" s="98"/>
      <c r="E638" s="98"/>
      <c r="F638" s="98"/>
      <c r="G638" s="142"/>
      <c r="H638" s="98"/>
    </row>
    <row r="639" spans="1:8" ht="12.75" customHeight="1" x14ac:dyDescent="0.15">
      <c r="A639" s="98"/>
      <c r="B639" s="98"/>
      <c r="C639" s="98"/>
      <c r="D639" s="98"/>
      <c r="E639" s="98"/>
      <c r="F639" s="98"/>
      <c r="G639" s="142"/>
      <c r="H639" s="98"/>
    </row>
    <row r="640" spans="1:8" ht="12.75" customHeight="1" x14ac:dyDescent="0.15">
      <c r="A640" s="98"/>
      <c r="B640" s="98"/>
      <c r="C640" s="98"/>
      <c r="D640" s="98"/>
      <c r="E640" s="98"/>
      <c r="F640" s="98"/>
      <c r="G640" s="142"/>
      <c r="H640" s="98"/>
    </row>
    <row r="641" spans="1:8" ht="12.75" customHeight="1" x14ac:dyDescent="0.15">
      <c r="A641" s="98"/>
      <c r="B641" s="98"/>
      <c r="C641" s="98"/>
      <c r="D641" s="98"/>
      <c r="E641" s="98"/>
      <c r="F641" s="98"/>
      <c r="G641" s="142"/>
      <c r="H641" s="98"/>
    </row>
    <row r="642" spans="1:8" ht="12.75" customHeight="1" x14ac:dyDescent="0.15">
      <c r="A642" s="98"/>
      <c r="B642" s="98"/>
      <c r="C642" s="98"/>
      <c r="D642" s="98"/>
      <c r="E642" s="98"/>
      <c r="F642" s="98"/>
      <c r="G642" s="142"/>
      <c r="H642" s="98"/>
    </row>
    <row r="643" spans="1:8" ht="12.75" customHeight="1" x14ac:dyDescent="0.15">
      <c r="A643" s="98"/>
      <c r="B643" s="98"/>
      <c r="C643" s="98"/>
      <c r="D643" s="98"/>
      <c r="E643" s="98"/>
      <c r="F643" s="98"/>
      <c r="G643" s="142"/>
      <c r="H643" s="98"/>
    </row>
    <row r="644" spans="1:8" ht="12.75" customHeight="1" x14ac:dyDescent="0.15">
      <c r="A644" s="98"/>
      <c r="B644" s="98"/>
      <c r="C644" s="98"/>
      <c r="D644" s="98"/>
      <c r="E644" s="98"/>
      <c r="F644" s="98"/>
      <c r="G644" s="142"/>
      <c r="H644" s="98"/>
    </row>
    <row r="645" spans="1:8" ht="12.75" customHeight="1" x14ac:dyDescent="0.15">
      <c r="A645" s="98"/>
      <c r="B645" s="98"/>
      <c r="C645" s="98"/>
      <c r="D645" s="98"/>
      <c r="E645" s="98"/>
      <c r="F645" s="98"/>
      <c r="G645" s="142"/>
      <c r="H645" s="98"/>
    </row>
    <row r="646" spans="1:8" ht="12.75" customHeight="1" x14ac:dyDescent="0.15">
      <c r="A646" s="98"/>
      <c r="B646" s="98"/>
      <c r="C646" s="98"/>
      <c r="D646" s="98"/>
      <c r="E646" s="98"/>
      <c r="F646" s="98"/>
      <c r="G646" s="142"/>
      <c r="H646" s="98"/>
    </row>
    <row r="647" spans="1:8" ht="12.75" customHeight="1" x14ac:dyDescent="0.15">
      <c r="A647" s="98"/>
      <c r="B647" s="98"/>
      <c r="C647" s="98"/>
      <c r="D647" s="98"/>
      <c r="E647" s="98"/>
      <c r="F647" s="98"/>
      <c r="G647" s="142"/>
      <c r="H647" s="98"/>
    </row>
    <row r="648" spans="1:8" ht="12.75" customHeight="1" x14ac:dyDescent="0.15">
      <c r="A648" s="98"/>
      <c r="B648" s="98"/>
      <c r="C648" s="98"/>
      <c r="D648" s="98"/>
      <c r="E648" s="98"/>
      <c r="F648" s="98"/>
      <c r="G648" s="142"/>
      <c r="H648" s="98"/>
    </row>
    <row r="649" spans="1:8" ht="12.75" customHeight="1" x14ac:dyDescent="0.15">
      <c r="A649" s="98"/>
      <c r="B649" s="98"/>
      <c r="C649" s="98"/>
      <c r="D649" s="98"/>
      <c r="E649" s="98"/>
      <c r="F649" s="98"/>
      <c r="G649" s="142"/>
      <c r="H649" s="98"/>
    </row>
    <row r="650" spans="1:8" ht="12.75" customHeight="1" x14ac:dyDescent="0.15">
      <c r="A650" s="98"/>
      <c r="B650" s="98"/>
      <c r="C650" s="98"/>
      <c r="D650" s="98"/>
      <c r="E650" s="98"/>
      <c r="F650" s="98"/>
      <c r="G650" s="142"/>
      <c r="H650" s="98"/>
    </row>
    <row r="651" spans="1:8" ht="12.75" customHeight="1" x14ac:dyDescent="0.15">
      <c r="A651" s="98"/>
      <c r="B651" s="98"/>
      <c r="C651" s="98"/>
      <c r="D651" s="98"/>
      <c r="E651" s="98"/>
      <c r="F651" s="98"/>
      <c r="G651" s="142"/>
      <c r="H651" s="98"/>
    </row>
    <row r="652" spans="1:8" ht="12.75" customHeight="1" x14ac:dyDescent="0.15">
      <c r="A652" s="98"/>
      <c r="B652" s="98"/>
      <c r="C652" s="98"/>
      <c r="D652" s="98"/>
      <c r="E652" s="98"/>
      <c r="F652" s="98"/>
      <c r="G652" s="142"/>
      <c r="H652" s="98"/>
    </row>
    <row r="653" spans="1:8" ht="12.75" customHeight="1" x14ac:dyDescent="0.15">
      <c r="A653" s="98"/>
      <c r="B653" s="98"/>
      <c r="C653" s="98"/>
      <c r="D653" s="98"/>
      <c r="E653" s="98"/>
      <c r="F653" s="98"/>
      <c r="G653" s="142"/>
      <c r="H653" s="98"/>
    </row>
    <row r="654" spans="1:8" ht="12.75" customHeight="1" x14ac:dyDescent="0.15">
      <c r="A654" s="98"/>
      <c r="B654" s="98"/>
      <c r="C654" s="98"/>
      <c r="D654" s="98"/>
      <c r="E654" s="98"/>
      <c r="F654" s="98"/>
      <c r="G654" s="142"/>
      <c r="H654" s="98"/>
    </row>
    <row r="655" spans="1:8" ht="12.75" customHeight="1" x14ac:dyDescent="0.15">
      <c r="A655" s="98"/>
      <c r="B655" s="98"/>
      <c r="C655" s="98"/>
      <c r="D655" s="98"/>
      <c r="E655" s="98"/>
      <c r="F655" s="98"/>
      <c r="G655" s="142"/>
      <c r="H655" s="98"/>
    </row>
    <row r="656" spans="1:8" ht="12.75" customHeight="1" x14ac:dyDescent="0.15">
      <c r="A656" s="98"/>
      <c r="B656" s="98"/>
      <c r="C656" s="98"/>
      <c r="D656" s="98"/>
      <c r="E656" s="98"/>
      <c r="F656" s="98"/>
      <c r="G656" s="142"/>
      <c r="H656" s="98"/>
    </row>
    <row r="657" spans="1:8" ht="12.75" customHeight="1" x14ac:dyDescent="0.15">
      <c r="A657" s="98"/>
      <c r="B657" s="98"/>
      <c r="C657" s="98"/>
      <c r="D657" s="98"/>
      <c r="E657" s="98"/>
      <c r="F657" s="98"/>
      <c r="G657" s="142"/>
      <c r="H657" s="98"/>
    </row>
    <row r="658" spans="1:8" ht="12.75" customHeight="1" x14ac:dyDescent="0.15">
      <c r="A658" s="98"/>
      <c r="B658" s="98"/>
      <c r="C658" s="98"/>
      <c r="D658" s="98"/>
      <c r="E658" s="98"/>
      <c r="F658" s="98"/>
      <c r="G658" s="142"/>
      <c r="H658" s="98"/>
    </row>
    <row r="659" spans="1:8" ht="12.75" customHeight="1" x14ac:dyDescent="0.15">
      <c r="A659" s="98"/>
      <c r="B659" s="98"/>
      <c r="C659" s="98"/>
      <c r="D659" s="98"/>
      <c r="E659" s="98"/>
      <c r="F659" s="98"/>
      <c r="G659" s="142"/>
      <c r="H659" s="98"/>
    </row>
    <row r="660" spans="1:8" ht="12.75" customHeight="1" x14ac:dyDescent="0.15">
      <c r="A660" s="98"/>
      <c r="B660" s="98"/>
      <c r="C660" s="98"/>
      <c r="D660" s="98"/>
      <c r="E660" s="98"/>
      <c r="F660" s="98"/>
      <c r="G660" s="142"/>
      <c r="H660" s="98"/>
    </row>
    <row r="661" spans="1:8" ht="12.75" customHeight="1" x14ac:dyDescent="0.15">
      <c r="A661" s="98"/>
      <c r="B661" s="98"/>
      <c r="C661" s="98"/>
      <c r="D661" s="98"/>
      <c r="E661" s="98"/>
      <c r="F661" s="98"/>
      <c r="G661" s="142"/>
      <c r="H661" s="98"/>
    </row>
    <row r="662" spans="1:8" ht="12.75" customHeight="1" x14ac:dyDescent="0.15">
      <c r="A662" s="98"/>
      <c r="B662" s="98"/>
      <c r="C662" s="98"/>
      <c r="D662" s="98"/>
      <c r="E662" s="98"/>
      <c r="F662" s="98"/>
      <c r="G662" s="142"/>
      <c r="H662" s="98"/>
    </row>
    <row r="663" spans="1:8" ht="12.75" customHeight="1" x14ac:dyDescent="0.15">
      <c r="A663" s="98"/>
      <c r="B663" s="98"/>
      <c r="C663" s="98"/>
      <c r="D663" s="98"/>
      <c r="E663" s="98"/>
      <c r="F663" s="98"/>
      <c r="G663" s="142"/>
      <c r="H663" s="98"/>
    </row>
    <row r="664" spans="1:8" ht="12.75" customHeight="1" x14ac:dyDescent="0.15">
      <c r="A664" s="98"/>
      <c r="B664" s="98"/>
      <c r="C664" s="98"/>
      <c r="D664" s="98"/>
      <c r="E664" s="98"/>
      <c r="F664" s="98"/>
      <c r="G664" s="142"/>
      <c r="H664" s="98"/>
    </row>
    <row r="665" spans="1:8" ht="12.75" customHeight="1" x14ac:dyDescent="0.15">
      <c r="A665" s="98"/>
      <c r="B665" s="98"/>
      <c r="C665" s="98"/>
      <c r="D665" s="98"/>
      <c r="E665" s="98"/>
      <c r="F665" s="98"/>
      <c r="G665" s="142"/>
      <c r="H665" s="98"/>
    </row>
    <row r="666" spans="1:8" ht="12.75" customHeight="1" x14ac:dyDescent="0.15">
      <c r="A666" s="98"/>
      <c r="B666" s="98"/>
      <c r="C666" s="98"/>
      <c r="D666" s="98"/>
      <c r="E666" s="98"/>
      <c r="F666" s="98"/>
      <c r="G666" s="142"/>
      <c r="H666" s="98"/>
    </row>
    <row r="667" spans="1:8" ht="12.75" customHeight="1" x14ac:dyDescent="0.15">
      <c r="A667" s="98"/>
      <c r="B667" s="98"/>
      <c r="C667" s="98"/>
      <c r="D667" s="98"/>
      <c r="E667" s="98"/>
      <c r="F667" s="98"/>
      <c r="G667" s="142"/>
      <c r="H667" s="98"/>
    </row>
    <row r="668" spans="1:8" ht="12.75" customHeight="1" x14ac:dyDescent="0.15">
      <c r="A668" s="98"/>
      <c r="B668" s="98"/>
      <c r="C668" s="98"/>
      <c r="D668" s="98"/>
      <c r="E668" s="98"/>
      <c r="F668" s="98"/>
      <c r="G668" s="142"/>
      <c r="H668" s="98"/>
    </row>
    <row r="669" spans="1:8" ht="12.75" customHeight="1" x14ac:dyDescent="0.15">
      <c r="A669" s="98"/>
      <c r="B669" s="98"/>
      <c r="C669" s="98"/>
      <c r="D669" s="98"/>
      <c r="E669" s="98"/>
      <c r="F669" s="98"/>
      <c r="G669" s="142"/>
      <c r="H669" s="98"/>
    </row>
    <row r="670" spans="1:8" ht="12.75" customHeight="1" x14ac:dyDescent="0.15">
      <c r="A670" s="98"/>
      <c r="B670" s="98"/>
      <c r="C670" s="98"/>
      <c r="D670" s="98"/>
      <c r="E670" s="98"/>
      <c r="F670" s="98"/>
      <c r="G670" s="142"/>
      <c r="H670" s="98"/>
    </row>
    <row r="671" spans="1:8" ht="12.75" customHeight="1" x14ac:dyDescent="0.15">
      <c r="A671" s="98"/>
      <c r="B671" s="98"/>
      <c r="C671" s="98"/>
      <c r="D671" s="98"/>
      <c r="E671" s="98"/>
      <c r="F671" s="98"/>
      <c r="G671" s="142"/>
      <c r="H671" s="98"/>
    </row>
    <row r="672" spans="1:8" ht="12.75" customHeight="1" x14ac:dyDescent="0.15">
      <c r="A672" s="98"/>
      <c r="B672" s="98"/>
      <c r="C672" s="98"/>
      <c r="D672" s="98"/>
      <c r="E672" s="98"/>
      <c r="F672" s="98"/>
      <c r="G672" s="142"/>
      <c r="H672" s="98"/>
    </row>
    <row r="673" spans="1:8" ht="12.75" customHeight="1" x14ac:dyDescent="0.15">
      <c r="A673" s="98"/>
      <c r="B673" s="98"/>
      <c r="C673" s="98"/>
      <c r="D673" s="98"/>
      <c r="E673" s="98"/>
      <c r="F673" s="98"/>
      <c r="G673" s="142"/>
      <c r="H673" s="98"/>
    </row>
    <row r="674" spans="1:8" ht="12.75" customHeight="1" x14ac:dyDescent="0.15">
      <c r="A674" s="98"/>
      <c r="B674" s="98"/>
      <c r="C674" s="98"/>
      <c r="D674" s="98"/>
      <c r="E674" s="98"/>
      <c r="F674" s="98"/>
      <c r="G674" s="142"/>
      <c r="H674" s="98"/>
    </row>
    <row r="675" spans="1:8" ht="12.75" customHeight="1" x14ac:dyDescent="0.15">
      <c r="A675" s="98"/>
      <c r="B675" s="98"/>
      <c r="C675" s="98"/>
      <c r="D675" s="98"/>
      <c r="E675" s="98"/>
      <c r="F675" s="98"/>
      <c r="G675" s="142"/>
      <c r="H675" s="98"/>
    </row>
    <row r="676" spans="1:8" ht="12.75" customHeight="1" x14ac:dyDescent="0.15">
      <c r="A676" s="98"/>
      <c r="B676" s="98"/>
      <c r="C676" s="98"/>
      <c r="D676" s="98"/>
      <c r="E676" s="98"/>
      <c r="F676" s="98"/>
      <c r="G676" s="142"/>
      <c r="H676" s="98"/>
    </row>
    <row r="677" spans="1:8" ht="12.75" customHeight="1" x14ac:dyDescent="0.15">
      <c r="A677" s="98"/>
      <c r="B677" s="98"/>
      <c r="C677" s="98"/>
      <c r="D677" s="98"/>
      <c r="E677" s="98"/>
      <c r="F677" s="98"/>
      <c r="G677" s="142"/>
      <c r="H677" s="98"/>
    </row>
    <row r="678" spans="1:8" ht="12.75" customHeight="1" x14ac:dyDescent="0.15">
      <c r="A678" s="98"/>
      <c r="B678" s="98"/>
      <c r="C678" s="98"/>
      <c r="D678" s="98"/>
      <c r="E678" s="98"/>
      <c r="F678" s="98"/>
      <c r="G678" s="142"/>
      <c r="H678" s="98"/>
    </row>
    <row r="679" spans="1:8" ht="12.75" customHeight="1" x14ac:dyDescent="0.15">
      <c r="A679" s="98"/>
      <c r="B679" s="98"/>
      <c r="C679" s="98"/>
      <c r="D679" s="98"/>
      <c r="E679" s="98"/>
      <c r="F679" s="98"/>
      <c r="G679" s="142"/>
      <c r="H679" s="98"/>
    </row>
    <row r="680" spans="1:8" ht="12.75" customHeight="1" x14ac:dyDescent="0.15">
      <c r="A680" s="98"/>
      <c r="B680" s="98"/>
      <c r="C680" s="98"/>
      <c r="D680" s="98"/>
      <c r="E680" s="98"/>
      <c r="F680" s="98"/>
      <c r="G680" s="142"/>
      <c r="H680" s="98"/>
    </row>
    <row r="681" spans="1:8" ht="12.75" customHeight="1" x14ac:dyDescent="0.15">
      <c r="A681" s="98"/>
      <c r="B681" s="98"/>
      <c r="C681" s="98"/>
      <c r="D681" s="98"/>
      <c r="E681" s="98"/>
      <c r="F681" s="98"/>
      <c r="G681" s="142"/>
      <c r="H681" s="98"/>
    </row>
    <row r="682" spans="1:8" ht="12.75" customHeight="1" x14ac:dyDescent="0.15">
      <c r="A682" s="98"/>
      <c r="B682" s="98"/>
      <c r="C682" s="98"/>
      <c r="D682" s="98"/>
      <c r="E682" s="98"/>
      <c r="F682" s="98"/>
      <c r="G682" s="142"/>
      <c r="H682" s="98"/>
    </row>
    <row r="683" spans="1:8" ht="12.75" customHeight="1" x14ac:dyDescent="0.15">
      <c r="A683" s="98"/>
      <c r="B683" s="98"/>
      <c r="C683" s="98"/>
      <c r="D683" s="98"/>
      <c r="E683" s="98"/>
      <c r="F683" s="98"/>
      <c r="G683" s="142"/>
      <c r="H683" s="98"/>
    </row>
    <row r="684" spans="1:8" ht="12.75" customHeight="1" x14ac:dyDescent="0.15">
      <c r="A684" s="98"/>
      <c r="B684" s="98"/>
      <c r="C684" s="98"/>
      <c r="D684" s="98"/>
      <c r="E684" s="98"/>
      <c r="F684" s="98"/>
      <c r="G684" s="142"/>
      <c r="H684" s="98"/>
    </row>
    <row r="685" spans="1:8" ht="12.75" customHeight="1" x14ac:dyDescent="0.15">
      <c r="A685" s="98"/>
      <c r="B685" s="98"/>
      <c r="C685" s="98"/>
      <c r="D685" s="98"/>
      <c r="E685" s="98"/>
      <c r="F685" s="98"/>
      <c r="G685" s="142"/>
      <c r="H685" s="98"/>
    </row>
    <row r="686" spans="1:8" ht="12.75" customHeight="1" x14ac:dyDescent="0.15">
      <c r="A686" s="98"/>
      <c r="B686" s="98"/>
      <c r="C686" s="98"/>
      <c r="D686" s="98"/>
      <c r="E686" s="98"/>
      <c r="F686" s="98"/>
      <c r="G686" s="142"/>
      <c r="H686" s="98"/>
    </row>
    <row r="687" spans="1:8" ht="12.75" customHeight="1" x14ac:dyDescent="0.15">
      <c r="A687" s="98"/>
      <c r="B687" s="98"/>
      <c r="C687" s="98"/>
      <c r="D687" s="98"/>
      <c r="E687" s="98"/>
      <c r="F687" s="98"/>
      <c r="G687" s="142"/>
      <c r="H687" s="98"/>
    </row>
    <row r="688" spans="1:8" ht="12.75" customHeight="1" x14ac:dyDescent="0.15">
      <c r="A688" s="98"/>
      <c r="B688" s="98"/>
      <c r="C688" s="98"/>
      <c r="D688" s="98"/>
      <c r="E688" s="98"/>
      <c r="F688" s="98"/>
      <c r="G688" s="142"/>
      <c r="H688" s="98"/>
    </row>
    <row r="689" spans="1:8" ht="12.75" customHeight="1" x14ac:dyDescent="0.15">
      <c r="A689" s="98"/>
      <c r="B689" s="98"/>
      <c r="C689" s="98"/>
      <c r="D689" s="98"/>
      <c r="E689" s="98"/>
      <c r="F689" s="98"/>
      <c r="G689" s="142"/>
      <c r="H689" s="98"/>
    </row>
    <row r="690" spans="1:8" ht="12.75" customHeight="1" x14ac:dyDescent="0.15">
      <c r="A690" s="98"/>
      <c r="B690" s="98"/>
      <c r="C690" s="98"/>
      <c r="D690" s="98"/>
      <c r="E690" s="98"/>
      <c r="F690" s="98"/>
      <c r="G690" s="142"/>
      <c r="H690" s="98"/>
    </row>
    <row r="691" spans="1:8" ht="12.75" customHeight="1" x14ac:dyDescent="0.15">
      <c r="A691" s="98"/>
      <c r="B691" s="98"/>
      <c r="C691" s="98"/>
      <c r="D691" s="98"/>
      <c r="E691" s="98"/>
      <c r="F691" s="98"/>
      <c r="G691" s="142"/>
      <c r="H691" s="98"/>
    </row>
    <row r="692" spans="1:8" ht="12.75" customHeight="1" x14ac:dyDescent="0.15">
      <c r="A692" s="98"/>
      <c r="B692" s="98"/>
      <c r="C692" s="98"/>
      <c r="D692" s="98"/>
      <c r="E692" s="98"/>
      <c r="F692" s="98"/>
      <c r="G692" s="142"/>
      <c r="H692" s="98"/>
    </row>
    <row r="693" spans="1:8" ht="12.75" customHeight="1" x14ac:dyDescent="0.15">
      <c r="A693" s="98"/>
      <c r="B693" s="98"/>
      <c r="C693" s="98"/>
      <c r="D693" s="98"/>
      <c r="E693" s="98"/>
      <c r="F693" s="98"/>
      <c r="G693" s="142"/>
      <c r="H693" s="98"/>
    </row>
    <row r="694" spans="1:8" ht="12.75" customHeight="1" x14ac:dyDescent="0.15">
      <c r="A694" s="98"/>
      <c r="B694" s="98"/>
      <c r="C694" s="98"/>
      <c r="D694" s="98"/>
      <c r="E694" s="98"/>
      <c r="F694" s="98"/>
      <c r="G694" s="142"/>
      <c r="H694" s="98"/>
    </row>
    <row r="695" spans="1:8" ht="12.75" customHeight="1" x14ac:dyDescent="0.15">
      <c r="A695" s="98"/>
      <c r="B695" s="98"/>
      <c r="C695" s="98"/>
      <c r="D695" s="98"/>
      <c r="E695" s="98"/>
      <c r="F695" s="98"/>
      <c r="G695" s="142"/>
      <c r="H695" s="98"/>
    </row>
    <row r="696" spans="1:8" ht="12.75" customHeight="1" x14ac:dyDescent="0.15">
      <c r="A696" s="98"/>
      <c r="B696" s="98"/>
      <c r="C696" s="98"/>
      <c r="D696" s="98"/>
      <c r="E696" s="98"/>
      <c r="F696" s="98"/>
      <c r="G696" s="142"/>
      <c r="H696" s="98"/>
    </row>
    <row r="697" spans="1:8" ht="12.75" customHeight="1" x14ac:dyDescent="0.15">
      <c r="A697" s="98"/>
      <c r="B697" s="98"/>
      <c r="C697" s="98"/>
      <c r="D697" s="98"/>
      <c r="E697" s="98"/>
      <c r="F697" s="98"/>
      <c r="G697" s="142"/>
      <c r="H697" s="98"/>
    </row>
    <row r="698" spans="1:8" ht="12.75" customHeight="1" x14ac:dyDescent="0.15">
      <c r="A698" s="98"/>
      <c r="B698" s="98"/>
      <c r="C698" s="98"/>
      <c r="D698" s="98"/>
      <c r="E698" s="98"/>
      <c r="F698" s="98"/>
      <c r="G698" s="142"/>
      <c r="H698" s="98"/>
    </row>
    <row r="699" spans="1:8" ht="12.75" customHeight="1" x14ac:dyDescent="0.15">
      <c r="A699" s="98"/>
      <c r="B699" s="98"/>
      <c r="C699" s="98"/>
      <c r="D699" s="98"/>
      <c r="E699" s="98"/>
      <c r="F699" s="98"/>
      <c r="G699" s="142"/>
      <c r="H699" s="98"/>
    </row>
    <row r="700" spans="1:8" ht="12.75" customHeight="1" x14ac:dyDescent="0.15">
      <c r="A700" s="98"/>
      <c r="B700" s="98"/>
      <c r="C700" s="98"/>
      <c r="D700" s="98"/>
      <c r="E700" s="98"/>
      <c r="F700" s="98"/>
      <c r="G700" s="142"/>
      <c r="H700" s="98"/>
    </row>
    <row r="701" spans="1:8" ht="12.75" customHeight="1" x14ac:dyDescent="0.15">
      <c r="A701" s="98"/>
      <c r="B701" s="98"/>
      <c r="C701" s="98"/>
      <c r="D701" s="98"/>
      <c r="E701" s="98"/>
      <c r="F701" s="98"/>
      <c r="G701" s="142"/>
      <c r="H701" s="98"/>
    </row>
    <row r="702" spans="1:8" ht="12.75" customHeight="1" x14ac:dyDescent="0.15">
      <c r="A702" s="98"/>
      <c r="B702" s="98"/>
      <c r="C702" s="98"/>
      <c r="D702" s="98"/>
      <c r="E702" s="98"/>
      <c r="F702" s="98"/>
      <c r="G702" s="142"/>
      <c r="H702" s="98"/>
    </row>
    <row r="703" spans="1:8" ht="12.75" customHeight="1" x14ac:dyDescent="0.15">
      <c r="A703" s="98"/>
      <c r="B703" s="98"/>
      <c r="C703" s="98"/>
      <c r="D703" s="98"/>
      <c r="E703" s="98"/>
      <c r="F703" s="98"/>
      <c r="G703" s="142"/>
      <c r="H703" s="98"/>
    </row>
    <row r="704" spans="1:8" ht="12.75" customHeight="1" x14ac:dyDescent="0.15">
      <c r="A704" s="98"/>
      <c r="B704" s="98"/>
      <c r="C704" s="98"/>
      <c r="D704" s="98"/>
      <c r="E704" s="98"/>
      <c r="F704" s="98"/>
      <c r="G704" s="142"/>
      <c r="H704" s="98"/>
    </row>
    <row r="705" spans="1:8" ht="12.75" customHeight="1" x14ac:dyDescent="0.15">
      <c r="A705" s="98"/>
      <c r="B705" s="98"/>
      <c r="C705" s="98"/>
      <c r="D705" s="98"/>
      <c r="E705" s="98"/>
      <c r="F705" s="98"/>
      <c r="G705" s="142"/>
      <c r="H705" s="98"/>
    </row>
    <row r="706" spans="1:8" ht="12.75" customHeight="1" x14ac:dyDescent="0.15">
      <c r="A706" s="98"/>
      <c r="B706" s="98"/>
      <c r="C706" s="98"/>
      <c r="D706" s="98"/>
      <c r="E706" s="98"/>
      <c r="F706" s="98"/>
      <c r="G706" s="142"/>
      <c r="H706" s="98"/>
    </row>
    <row r="707" spans="1:8" ht="12.75" customHeight="1" x14ac:dyDescent="0.15">
      <c r="A707" s="98"/>
      <c r="B707" s="98"/>
      <c r="C707" s="98"/>
      <c r="D707" s="98"/>
      <c r="E707" s="98"/>
      <c r="F707" s="98"/>
      <c r="G707" s="142"/>
      <c r="H707" s="98"/>
    </row>
    <row r="708" spans="1:8" ht="12.75" customHeight="1" x14ac:dyDescent="0.15">
      <c r="A708" s="98"/>
      <c r="B708" s="98"/>
      <c r="C708" s="98"/>
      <c r="D708" s="98"/>
      <c r="E708" s="98"/>
      <c r="F708" s="98"/>
      <c r="G708" s="142"/>
      <c r="H708" s="98"/>
    </row>
    <row r="709" spans="1:8" ht="12.75" customHeight="1" x14ac:dyDescent="0.15">
      <c r="A709" s="98"/>
      <c r="B709" s="98"/>
      <c r="C709" s="98"/>
      <c r="D709" s="98"/>
      <c r="E709" s="98"/>
      <c r="F709" s="98"/>
      <c r="G709" s="142"/>
      <c r="H709" s="98"/>
    </row>
    <row r="710" spans="1:8" ht="12.75" customHeight="1" x14ac:dyDescent="0.15">
      <c r="A710" s="98"/>
      <c r="B710" s="98"/>
      <c r="C710" s="98"/>
      <c r="D710" s="98"/>
      <c r="E710" s="98"/>
      <c r="F710" s="98"/>
      <c r="G710" s="142"/>
      <c r="H710" s="98"/>
    </row>
    <row r="711" spans="1:8" ht="12.75" customHeight="1" x14ac:dyDescent="0.15">
      <c r="A711" s="98"/>
      <c r="B711" s="98"/>
      <c r="C711" s="98"/>
      <c r="D711" s="98"/>
      <c r="E711" s="98"/>
      <c r="F711" s="98"/>
      <c r="G711" s="142"/>
      <c r="H711" s="98"/>
    </row>
    <row r="712" spans="1:8" ht="12.75" customHeight="1" x14ac:dyDescent="0.15">
      <c r="A712" s="98"/>
      <c r="B712" s="98"/>
      <c r="C712" s="98"/>
      <c r="D712" s="98"/>
      <c r="E712" s="98"/>
      <c r="F712" s="98"/>
      <c r="G712" s="142"/>
      <c r="H712" s="98"/>
    </row>
    <row r="713" spans="1:8" ht="12.75" customHeight="1" x14ac:dyDescent="0.15">
      <c r="A713" s="98"/>
      <c r="B713" s="98"/>
      <c r="C713" s="98"/>
      <c r="D713" s="98"/>
      <c r="E713" s="98"/>
      <c r="F713" s="98"/>
      <c r="G713" s="142"/>
      <c r="H713" s="98"/>
    </row>
    <row r="714" spans="1:8" ht="12.75" customHeight="1" x14ac:dyDescent="0.15">
      <c r="A714" s="98"/>
      <c r="B714" s="98"/>
      <c r="C714" s="98"/>
      <c r="D714" s="98"/>
      <c r="E714" s="98"/>
      <c r="F714" s="98"/>
      <c r="G714" s="142"/>
      <c r="H714" s="98"/>
    </row>
    <row r="715" spans="1:8" ht="12.75" customHeight="1" x14ac:dyDescent="0.15">
      <c r="A715" s="98"/>
      <c r="B715" s="98"/>
      <c r="C715" s="98"/>
      <c r="D715" s="98"/>
      <c r="E715" s="98"/>
      <c r="F715" s="98"/>
      <c r="G715" s="142"/>
      <c r="H715" s="98"/>
    </row>
    <row r="716" spans="1:8" ht="12.75" customHeight="1" x14ac:dyDescent="0.15">
      <c r="A716" s="98"/>
      <c r="B716" s="98"/>
      <c r="C716" s="98"/>
      <c r="D716" s="98"/>
      <c r="E716" s="98"/>
      <c r="F716" s="98"/>
      <c r="G716" s="142"/>
      <c r="H716" s="98"/>
    </row>
    <row r="717" spans="1:8" ht="12.75" customHeight="1" x14ac:dyDescent="0.15">
      <c r="A717" s="98"/>
      <c r="B717" s="98"/>
      <c r="C717" s="98"/>
      <c r="D717" s="98"/>
      <c r="E717" s="98"/>
      <c r="F717" s="98"/>
      <c r="G717" s="142"/>
      <c r="H717" s="98"/>
    </row>
    <row r="718" spans="1:8" ht="12.75" customHeight="1" x14ac:dyDescent="0.15">
      <c r="A718" s="98"/>
      <c r="B718" s="98"/>
      <c r="C718" s="98"/>
      <c r="D718" s="98"/>
      <c r="E718" s="98"/>
      <c r="F718" s="98"/>
      <c r="G718" s="142"/>
      <c r="H718" s="98"/>
    </row>
    <row r="719" spans="1:8" ht="12.75" customHeight="1" x14ac:dyDescent="0.15">
      <c r="A719" s="98"/>
      <c r="B719" s="98"/>
      <c r="C719" s="98"/>
      <c r="D719" s="98"/>
      <c r="E719" s="98"/>
      <c r="F719" s="98"/>
      <c r="G719" s="142"/>
      <c r="H719" s="98"/>
    </row>
    <row r="720" spans="1:8" ht="12.75" customHeight="1" x14ac:dyDescent="0.15">
      <c r="A720" s="98"/>
      <c r="B720" s="98"/>
      <c r="C720" s="98"/>
      <c r="D720" s="98"/>
      <c r="E720" s="98"/>
      <c r="F720" s="98"/>
      <c r="G720" s="142"/>
      <c r="H720" s="98"/>
    </row>
    <row r="721" spans="1:8" ht="12.75" customHeight="1" x14ac:dyDescent="0.15">
      <c r="A721" s="98"/>
      <c r="B721" s="98"/>
      <c r="C721" s="98"/>
      <c r="D721" s="98"/>
      <c r="E721" s="98"/>
      <c r="F721" s="98"/>
      <c r="G721" s="142"/>
      <c r="H721" s="98"/>
    </row>
    <row r="722" spans="1:8" ht="12.75" customHeight="1" x14ac:dyDescent="0.15">
      <c r="A722" s="98"/>
      <c r="B722" s="98"/>
      <c r="C722" s="98"/>
      <c r="D722" s="98"/>
      <c r="E722" s="98"/>
      <c r="F722" s="98"/>
      <c r="G722" s="142"/>
      <c r="H722" s="98"/>
    </row>
    <row r="723" spans="1:8" ht="12.75" customHeight="1" x14ac:dyDescent="0.15">
      <c r="A723" s="98"/>
      <c r="B723" s="98"/>
      <c r="C723" s="98"/>
      <c r="D723" s="98"/>
      <c r="E723" s="98"/>
      <c r="F723" s="98"/>
      <c r="G723" s="142"/>
      <c r="H723" s="98"/>
    </row>
    <row r="724" spans="1:8" ht="12.75" customHeight="1" x14ac:dyDescent="0.15">
      <c r="A724" s="98"/>
      <c r="B724" s="98"/>
      <c r="C724" s="98"/>
      <c r="D724" s="98"/>
      <c r="E724" s="98"/>
      <c r="F724" s="98"/>
      <c r="G724" s="142"/>
      <c r="H724" s="98"/>
    </row>
    <row r="725" spans="1:8" ht="12.75" customHeight="1" x14ac:dyDescent="0.15">
      <c r="A725" s="98"/>
      <c r="B725" s="98"/>
      <c r="C725" s="98"/>
      <c r="D725" s="98"/>
      <c r="E725" s="98"/>
      <c r="F725" s="98"/>
      <c r="G725" s="142"/>
      <c r="H725" s="98"/>
    </row>
    <row r="726" spans="1:8" ht="12.75" customHeight="1" x14ac:dyDescent="0.15">
      <c r="A726" s="98"/>
      <c r="B726" s="98"/>
      <c r="C726" s="98"/>
      <c r="D726" s="98"/>
      <c r="E726" s="98"/>
      <c r="F726" s="98"/>
      <c r="G726" s="142"/>
      <c r="H726" s="98"/>
    </row>
    <row r="727" spans="1:8" ht="12.75" customHeight="1" x14ac:dyDescent="0.15">
      <c r="A727" s="98"/>
      <c r="B727" s="98"/>
      <c r="C727" s="98"/>
      <c r="D727" s="98"/>
      <c r="E727" s="98"/>
      <c r="F727" s="98"/>
      <c r="G727" s="142"/>
      <c r="H727" s="98"/>
    </row>
    <row r="728" spans="1:8" ht="12.75" customHeight="1" x14ac:dyDescent="0.15">
      <c r="A728" s="98"/>
      <c r="B728" s="98"/>
      <c r="C728" s="98"/>
      <c r="D728" s="98"/>
      <c r="E728" s="98"/>
      <c r="F728" s="98"/>
      <c r="G728" s="142"/>
      <c r="H728" s="98"/>
    </row>
    <row r="729" spans="1:8" ht="12.75" customHeight="1" x14ac:dyDescent="0.15">
      <c r="A729" s="98"/>
      <c r="B729" s="98"/>
      <c r="C729" s="98"/>
      <c r="D729" s="98"/>
      <c r="E729" s="98"/>
      <c r="F729" s="98"/>
      <c r="G729" s="142"/>
      <c r="H729" s="98"/>
    </row>
    <row r="730" spans="1:8" ht="12.75" customHeight="1" x14ac:dyDescent="0.15">
      <c r="A730" s="98"/>
      <c r="B730" s="98"/>
      <c r="C730" s="98"/>
      <c r="D730" s="98"/>
      <c r="E730" s="98"/>
      <c r="F730" s="98"/>
      <c r="G730" s="142"/>
      <c r="H730" s="98"/>
    </row>
    <row r="731" spans="1:8" ht="12.75" customHeight="1" x14ac:dyDescent="0.15">
      <c r="A731" s="98"/>
      <c r="B731" s="98"/>
      <c r="C731" s="98"/>
      <c r="D731" s="98"/>
      <c r="E731" s="98"/>
      <c r="F731" s="98"/>
      <c r="G731" s="142"/>
      <c r="H731" s="98"/>
    </row>
    <row r="732" spans="1:8" ht="12.75" customHeight="1" x14ac:dyDescent="0.15">
      <c r="A732" s="98"/>
      <c r="B732" s="98"/>
      <c r="C732" s="98"/>
      <c r="D732" s="98"/>
      <c r="E732" s="98"/>
      <c r="F732" s="98"/>
      <c r="G732" s="142"/>
      <c r="H732" s="98"/>
    </row>
    <row r="733" spans="1:8" ht="12.75" customHeight="1" x14ac:dyDescent="0.15">
      <c r="A733" s="98"/>
      <c r="B733" s="98"/>
      <c r="C733" s="98"/>
      <c r="D733" s="98"/>
      <c r="E733" s="98"/>
      <c r="F733" s="98"/>
      <c r="G733" s="142"/>
      <c r="H733" s="98"/>
    </row>
    <row r="734" spans="1:8" ht="12.75" customHeight="1" x14ac:dyDescent="0.15">
      <c r="A734" s="98"/>
      <c r="B734" s="98"/>
      <c r="C734" s="98"/>
      <c r="D734" s="98"/>
      <c r="E734" s="98"/>
      <c r="F734" s="98"/>
      <c r="G734" s="142"/>
      <c r="H734" s="98"/>
    </row>
    <row r="735" spans="1:8" ht="12.75" customHeight="1" x14ac:dyDescent="0.15">
      <c r="A735" s="98"/>
      <c r="B735" s="98"/>
      <c r="C735" s="98"/>
      <c r="D735" s="98"/>
      <c r="E735" s="98"/>
      <c r="F735" s="98"/>
      <c r="G735" s="142"/>
      <c r="H735" s="98"/>
    </row>
    <row r="736" spans="1:8" ht="12.75" customHeight="1" x14ac:dyDescent="0.15">
      <c r="A736" s="98"/>
      <c r="B736" s="98"/>
      <c r="C736" s="98"/>
      <c r="D736" s="98"/>
      <c r="E736" s="98"/>
      <c r="F736" s="98"/>
      <c r="G736" s="142"/>
      <c r="H736" s="98"/>
    </row>
    <row r="737" spans="1:8" ht="12.75" customHeight="1" x14ac:dyDescent="0.15">
      <c r="A737" s="98"/>
      <c r="B737" s="98"/>
      <c r="C737" s="98"/>
      <c r="D737" s="98"/>
      <c r="E737" s="98"/>
      <c r="F737" s="98"/>
      <c r="G737" s="142"/>
      <c r="H737" s="98"/>
    </row>
    <row r="738" spans="1:8" ht="12.75" customHeight="1" x14ac:dyDescent="0.15">
      <c r="A738" s="98"/>
      <c r="B738" s="98"/>
      <c r="C738" s="98"/>
      <c r="D738" s="98"/>
      <c r="E738" s="98"/>
      <c r="F738" s="98"/>
      <c r="G738" s="142"/>
      <c r="H738" s="98"/>
    </row>
    <row r="739" spans="1:8" ht="12.75" customHeight="1" x14ac:dyDescent="0.15">
      <c r="A739" s="98"/>
      <c r="B739" s="98"/>
      <c r="C739" s="98"/>
      <c r="D739" s="98"/>
      <c r="E739" s="98"/>
      <c r="F739" s="98"/>
      <c r="G739" s="142"/>
      <c r="H739" s="98"/>
    </row>
    <row r="740" spans="1:8" ht="12.75" customHeight="1" x14ac:dyDescent="0.15">
      <c r="A740" s="98"/>
      <c r="B740" s="98"/>
      <c r="C740" s="98"/>
      <c r="D740" s="98"/>
      <c r="E740" s="98"/>
      <c r="F740" s="98"/>
      <c r="G740" s="142"/>
      <c r="H740" s="98"/>
    </row>
    <row r="741" spans="1:8" ht="12.75" customHeight="1" x14ac:dyDescent="0.15">
      <c r="A741" s="98"/>
      <c r="B741" s="98"/>
      <c r="C741" s="98"/>
      <c r="D741" s="98"/>
      <c r="E741" s="98"/>
      <c r="F741" s="98"/>
      <c r="G741" s="142"/>
      <c r="H741" s="98"/>
    </row>
    <row r="742" spans="1:8" ht="12.75" customHeight="1" x14ac:dyDescent="0.15">
      <c r="A742" s="98"/>
      <c r="B742" s="98"/>
      <c r="C742" s="98"/>
      <c r="D742" s="98"/>
      <c r="E742" s="98"/>
      <c r="F742" s="98"/>
      <c r="G742" s="142"/>
      <c r="H742" s="98"/>
    </row>
    <row r="743" spans="1:8" ht="12.75" customHeight="1" x14ac:dyDescent="0.15">
      <c r="A743" s="98"/>
      <c r="B743" s="98"/>
      <c r="C743" s="98"/>
      <c r="D743" s="98"/>
      <c r="E743" s="98"/>
      <c r="F743" s="98"/>
      <c r="G743" s="142"/>
      <c r="H743" s="98"/>
    </row>
    <row r="744" spans="1:8" ht="12.75" customHeight="1" x14ac:dyDescent="0.15">
      <c r="A744" s="98"/>
      <c r="B744" s="98"/>
      <c r="C744" s="98"/>
      <c r="D744" s="98"/>
      <c r="E744" s="98"/>
      <c r="F744" s="98"/>
      <c r="G744" s="142"/>
      <c r="H744" s="98"/>
    </row>
    <row r="745" spans="1:8" ht="12.75" customHeight="1" x14ac:dyDescent="0.15">
      <c r="A745" s="98"/>
      <c r="B745" s="98"/>
      <c r="C745" s="98"/>
      <c r="D745" s="98"/>
      <c r="E745" s="98"/>
      <c r="F745" s="98"/>
      <c r="G745" s="142"/>
      <c r="H745" s="98"/>
    </row>
    <row r="746" spans="1:8" ht="12.75" customHeight="1" x14ac:dyDescent="0.15">
      <c r="A746" s="98"/>
      <c r="B746" s="98"/>
      <c r="C746" s="98"/>
      <c r="D746" s="98"/>
      <c r="E746" s="98"/>
      <c r="F746" s="98"/>
      <c r="G746" s="142"/>
      <c r="H746" s="98"/>
    </row>
    <row r="747" spans="1:8" ht="12.75" customHeight="1" x14ac:dyDescent="0.15">
      <c r="A747" s="98"/>
      <c r="B747" s="98"/>
      <c r="C747" s="98"/>
      <c r="D747" s="98"/>
      <c r="E747" s="98"/>
      <c r="F747" s="98"/>
      <c r="G747" s="142"/>
      <c r="H747" s="98"/>
    </row>
    <row r="748" spans="1:8" ht="12.75" customHeight="1" x14ac:dyDescent="0.15">
      <c r="A748" s="98"/>
      <c r="B748" s="98"/>
      <c r="C748" s="98"/>
      <c r="D748" s="98"/>
      <c r="E748" s="98"/>
      <c r="F748" s="98"/>
      <c r="G748" s="142"/>
      <c r="H748" s="98"/>
    </row>
    <row r="749" spans="1:8" ht="12.75" customHeight="1" x14ac:dyDescent="0.15">
      <c r="A749" s="98"/>
      <c r="B749" s="98"/>
      <c r="C749" s="98"/>
      <c r="D749" s="98"/>
      <c r="E749" s="98"/>
      <c r="F749" s="98"/>
      <c r="G749" s="142"/>
      <c r="H749" s="98"/>
    </row>
    <row r="750" spans="1:8" ht="12.75" customHeight="1" x14ac:dyDescent="0.15">
      <c r="A750" s="98"/>
      <c r="B750" s="98"/>
      <c r="C750" s="98"/>
      <c r="D750" s="98"/>
      <c r="E750" s="98"/>
      <c r="F750" s="98"/>
      <c r="G750" s="142"/>
      <c r="H750" s="98"/>
    </row>
    <row r="751" spans="1:8" ht="12.75" customHeight="1" x14ac:dyDescent="0.15">
      <c r="A751" s="98"/>
      <c r="B751" s="98"/>
      <c r="C751" s="98"/>
      <c r="D751" s="98"/>
      <c r="E751" s="98"/>
      <c r="F751" s="98"/>
      <c r="G751" s="142"/>
      <c r="H751" s="98"/>
    </row>
    <row r="752" spans="1:8" ht="12.75" customHeight="1" x14ac:dyDescent="0.15">
      <c r="A752" s="98"/>
      <c r="B752" s="98"/>
      <c r="C752" s="98"/>
      <c r="D752" s="98"/>
      <c r="E752" s="98"/>
      <c r="F752" s="98"/>
      <c r="G752" s="142"/>
      <c r="H752" s="98"/>
    </row>
    <row r="753" spans="1:8" ht="12.75" customHeight="1" x14ac:dyDescent="0.15">
      <c r="A753" s="98"/>
      <c r="B753" s="98"/>
      <c r="C753" s="98"/>
      <c r="D753" s="98"/>
      <c r="E753" s="98"/>
      <c r="F753" s="98"/>
      <c r="G753" s="142"/>
      <c r="H753" s="98"/>
    </row>
    <row r="754" spans="1:8" ht="12.75" customHeight="1" x14ac:dyDescent="0.15">
      <c r="A754" s="98"/>
      <c r="B754" s="98"/>
      <c r="C754" s="98"/>
      <c r="D754" s="98"/>
      <c r="E754" s="98"/>
      <c r="F754" s="98"/>
      <c r="G754" s="142"/>
      <c r="H754" s="98"/>
    </row>
    <row r="755" spans="1:8" ht="12.75" customHeight="1" x14ac:dyDescent="0.15">
      <c r="A755" s="98"/>
      <c r="B755" s="98"/>
      <c r="C755" s="98"/>
      <c r="D755" s="98"/>
      <c r="E755" s="98"/>
      <c r="F755" s="98"/>
      <c r="G755" s="142"/>
      <c r="H755" s="98"/>
    </row>
    <row r="756" spans="1:8" ht="12.75" customHeight="1" x14ac:dyDescent="0.15">
      <c r="A756" s="98"/>
      <c r="B756" s="98"/>
      <c r="C756" s="98"/>
      <c r="D756" s="98"/>
      <c r="E756" s="98"/>
      <c r="F756" s="98"/>
      <c r="G756" s="142"/>
      <c r="H756" s="98"/>
    </row>
    <row r="757" spans="1:8" ht="12.75" customHeight="1" x14ac:dyDescent="0.15">
      <c r="A757" s="98"/>
      <c r="B757" s="98"/>
      <c r="C757" s="98"/>
      <c r="D757" s="98"/>
      <c r="E757" s="98"/>
      <c r="F757" s="98"/>
      <c r="G757" s="142"/>
      <c r="H757" s="98"/>
    </row>
    <row r="758" spans="1:8" ht="12.75" customHeight="1" x14ac:dyDescent="0.15">
      <c r="A758" s="98"/>
      <c r="B758" s="98"/>
      <c r="C758" s="98"/>
      <c r="D758" s="98"/>
      <c r="E758" s="98"/>
      <c r="F758" s="98"/>
      <c r="G758" s="142"/>
      <c r="H758" s="98"/>
    </row>
    <row r="759" spans="1:8" ht="12.75" customHeight="1" x14ac:dyDescent="0.15">
      <c r="A759" s="98"/>
      <c r="B759" s="98"/>
      <c r="C759" s="98"/>
      <c r="D759" s="98"/>
      <c r="E759" s="98"/>
      <c r="F759" s="98"/>
      <c r="G759" s="142"/>
      <c r="H759" s="98"/>
    </row>
    <row r="760" spans="1:8" ht="12.75" customHeight="1" x14ac:dyDescent="0.15">
      <c r="A760" s="98"/>
      <c r="B760" s="98"/>
      <c r="C760" s="98"/>
      <c r="D760" s="98"/>
      <c r="E760" s="98"/>
      <c r="F760" s="98"/>
      <c r="G760" s="142"/>
      <c r="H760" s="98"/>
    </row>
    <row r="761" spans="1:8" ht="12.75" customHeight="1" x14ac:dyDescent="0.15">
      <c r="A761" s="98"/>
      <c r="B761" s="98"/>
      <c r="C761" s="98"/>
      <c r="D761" s="98"/>
      <c r="E761" s="98"/>
      <c r="F761" s="98"/>
      <c r="G761" s="142"/>
      <c r="H761" s="98"/>
    </row>
    <row r="762" spans="1:8" ht="12.75" customHeight="1" x14ac:dyDescent="0.15">
      <c r="A762" s="98"/>
      <c r="B762" s="98"/>
      <c r="C762" s="98"/>
      <c r="D762" s="98"/>
      <c r="E762" s="98"/>
      <c r="F762" s="98"/>
      <c r="G762" s="142"/>
      <c r="H762" s="98"/>
    </row>
    <row r="763" spans="1:8" ht="12.75" customHeight="1" x14ac:dyDescent="0.15">
      <c r="A763" s="98"/>
      <c r="B763" s="98"/>
      <c r="C763" s="98"/>
      <c r="D763" s="98"/>
      <c r="E763" s="98"/>
      <c r="F763" s="98"/>
      <c r="G763" s="142"/>
      <c r="H763" s="98"/>
    </row>
    <row r="764" spans="1:8" ht="12.75" customHeight="1" x14ac:dyDescent="0.15">
      <c r="A764" s="98"/>
      <c r="B764" s="98"/>
      <c r="C764" s="98"/>
      <c r="D764" s="98"/>
      <c r="E764" s="98"/>
      <c r="F764" s="98"/>
      <c r="G764" s="142"/>
      <c r="H764" s="98"/>
    </row>
    <row r="765" spans="1:8" ht="12.75" customHeight="1" x14ac:dyDescent="0.15">
      <c r="A765" s="98"/>
      <c r="B765" s="98"/>
      <c r="C765" s="98"/>
      <c r="D765" s="98"/>
      <c r="E765" s="98"/>
      <c r="F765" s="98"/>
      <c r="G765" s="142"/>
      <c r="H765" s="98"/>
    </row>
    <row r="766" spans="1:8" ht="12.75" customHeight="1" x14ac:dyDescent="0.15">
      <c r="A766" s="98"/>
      <c r="B766" s="98"/>
      <c r="C766" s="98"/>
      <c r="D766" s="98"/>
      <c r="E766" s="98"/>
      <c r="F766" s="98"/>
      <c r="G766" s="142"/>
      <c r="H766" s="98"/>
    </row>
    <row r="767" spans="1:8" ht="12.75" customHeight="1" x14ac:dyDescent="0.15">
      <c r="A767" s="98"/>
      <c r="B767" s="98"/>
      <c r="C767" s="98"/>
      <c r="D767" s="98"/>
      <c r="E767" s="98"/>
      <c r="F767" s="98"/>
      <c r="G767" s="142"/>
      <c r="H767" s="98"/>
    </row>
    <row r="768" spans="1:8" ht="12.75" customHeight="1" x14ac:dyDescent="0.15">
      <c r="A768" s="98"/>
      <c r="B768" s="98"/>
      <c r="C768" s="98"/>
      <c r="D768" s="98"/>
      <c r="E768" s="98"/>
      <c r="F768" s="98"/>
      <c r="G768" s="142"/>
      <c r="H768" s="98"/>
    </row>
    <row r="769" spans="1:8" ht="12.75" customHeight="1" x14ac:dyDescent="0.15">
      <c r="A769" s="98"/>
      <c r="B769" s="98"/>
      <c r="C769" s="98"/>
      <c r="D769" s="98"/>
      <c r="E769" s="98"/>
      <c r="F769" s="98"/>
      <c r="G769" s="142"/>
      <c r="H769" s="98"/>
    </row>
    <row r="770" spans="1:8" ht="12.75" customHeight="1" x14ac:dyDescent="0.15">
      <c r="A770" s="98"/>
      <c r="B770" s="98"/>
      <c r="C770" s="98"/>
      <c r="D770" s="98"/>
      <c r="E770" s="98"/>
      <c r="F770" s="98"/>
      <c r="G770" s="142"/>
      <c r="H770" s="98"/>
    </row>
    <row r="771" spans="1:8" ht="12.75" customHeight="1" x14ac:dyDescent="0.15">
      <c r="A771" s="98"/>
      <c r="B771" s="98"/>
      <c r="C771" s="98"/>
      <c r="D771" s="98"/>
      <c r="E771" s="98"/>
      <c r="F771" s="98"/>
      <c r="G771" s="142"/>
      <c r="H771" s="98"/>
    </row>
    <row r="772" spans="1:8" ht="12.75" customHeight="1" x14ac:dyDescent="0.15">
      <c r="A772" s="98"/>
      <c r="B772" s="98"/>
      <c r="C772" s="98"/>
      <c r="D772" s="98"/>
      <c r="E772" s="98"/>
      <c r="F772" s="98"/>
      <c r="G772" s="142"/>
      <c r="H772" s="98"/>
    </row>
    <row r="773" spans="1:8" ht="12.75" customHeight="1" x14ac:dyDescent="0.15">
      <c r="A773" s="98"/>
      <c r="B773" s="98"/>
      <c r="C773" s="98"/>
      <c r="D773" s="98"/>
      <c r="E773" s="98"/>
      <c r="F773" s="98"/>
      <c r="G773" s="142"/>
      <c r="H773" s="98"/>
    </row>
    <row r="774" spans="1:8" ht="12.75" customHeight="1" x14ac:dyDescent="0.15">
      <c r="A774" s="98"/>
      <c r="B774" s="98"/>
      <c r="C774" s="98"/>
      <c r="D774" s="98"/>
      <c r="E774" s="98"/>
      <c r="F774" s="98"/>
      <c r="G774" s="142"/>
      <c r="H774" s="98"/>
    </row>
    <row r="775" spans="1:8" ht="12.75" customHeight="1" x14ac:dyDescent="0.15">
      <c r="A775" s="98"/>
      <c r="B775" s="98"/>
      <c r="C775" s="98"/>
      <c r="D775" s="98"/>
      <c r="E775" s="98"/>
      <c r="F775" s="98"/>
      <c r="G775" s="142"/>
      <c r="H775" s="98"/>
    </row>
    <row r="776" spans="1:8" ht="12.75" customHeight="1" x14ac:dyDescent="0.15">
      <c r="A776" s="98"/>
      <c r="B776" s="98"/>
      <c r="C776" s="98"/>
      <c r="D776" s="98"/>
      <c r="E776" s="98"/>
      <c r="F776" s="98"/>
      <c r="G776" s="142"/>
      <c r="H776" s="98"/>
    </row>
    <row r="777" spans="1:8" ht="12.75" customHeight="1" x14ac:dyDescent="0.15">
      <c r="A777" s="98"/>
      <c r="B777" s="98"/>
      <c r="C777" s="98"/>
      <c r="D777" s="98"/>
      <c r="E777" s="98"/>
      <c r="F777" s="98"/>
      <c r="G777" s="142"/>
      <c r="H777" s="98"/>
    </row>
    <row r="778" spans="1:8" ht="12.75" customHeight="1" x14ac:dyDescent="0.15">
      <c r="A778" s="98"/>
      <c r="B778" s="98"/>
      <c r="C778" s="98"/>
      <c r="D778" s="98"/>
      <c r="E778" s="98"/>
      <c r="F778" s="98"/>
      <c r="G778" s="142"/>
      <c r="H778" s="98"/>
    </row>
    <row r="779" spans="1:8" ht="12.75" customHeight="1" x14ac:dyDescent="0.15">
      <c r="A779" s="98"/>
      <c r="B779" s="98"/>
      <c r="C779" s="98"/>
      <c r="D779" s="98"/>
      <c r="E779" s="98"/>
      <c r="F779" s="98"/>
      <c r="G779" s="142"/>
      <c r="H779" s="98"/>
    </row>
    <row r="780" spans="1:8" ht="12.75" customHeight="1" x14ac:dyDescent="0.15">
      <c r="A780" s="98"/>
      <c r="B780" s="98"/>
      <c r="C780" s="98"/>
      <c r="D780" s="98"/>
      <c r="E780" s="98"/>
      <c r="F780" s="98"/>
      <c r="G780" s="142"/>
      <c r="H780" s="98"/>
    </row>
    <row r="781" spans="1:8" ht="12.75" customHeight="1" x14ac:dyDescent="0.15">
      <c r="A781" s="98"/>
      <c r="B781" s="98"/>
      <c r="C781" s="98"/>
      <c r="D781" s="98"/>
      <c r="E781" s="98"/>
      <c r="F781" s="98"/>
      <c r="G781" s="142"/>
      <c r="H781" s="98"/>
    </row>
    <row r="782" spans="1:8" ht="12.75" customHeight="1" x14ac:dyDescent="0.15">
      <c r="A782" s="98"/>
      <c r="B782" s="98"/>
      <c r="C782" s="98"/>
      <c r="D782" s="98"/>
      <c r="E782" s="98"/>
      <c r="F782" s="98"/>
      <c r="G782" s="142"/>
      <c r="H782" s="98"/>
    </row>
    <row r="783" spans="1:8" ht="12.75" customHeight="1" x14ac:dyDescent="0.15">
      <c r="A783" s="98"/>
      <c r="B783" s="98"/>
      <c r="C783" s="98"/>
      <c r="D783" s="98"/>
      <c r="E783" s="98"/>
      <c r="F783" s="98"/>
      <c r="G783" s="142"/>
      <c r="H783" s="98"/>
    </row>
    <row r="784" spans="1:8" ht="12.75" customHeight="1" x14ac:dyDescent="0.15">
      <c r="A784" s="98"/>
      <c r="B784" s="98"/>
      <c r="C784" s="98"/>
      <c r="D784" s="98"/>
      <c r="E784" s="98"/>
      <c r="F784" s="98"/>
      <c r="G784" s="142"/>
      <c r="H784" s="98"/>
    </row>
    <row r="785" spans="1:8" ht="12.75" customHeight="1" x14ac:dyDescent="0.15">
      <c r="A785" s="98"/>
      <c r="B785" s="98"/>
      <c r="C785" s="98"/>
      <c r="D785" s="98"/>
      <c r="E785" s="98"/>
      <c r="F785" s="98"/>
      <c r="G785" s="142"/>
      <c r="H785" s="98"/>
    </row>
    <row r="786" spans="1:8" ht="12.75" customHeight="1" x14ac:dyDescent="0.15">
      <c r="A786" s="98"/>
      <c r="B786" s="98"/>
      <c r="C786" s="98"/>
      <c r="D786" s="98"/>
      <c r="E786" s="98"/>
      <c r="F786" s="98"/>
      <c r="G786" s="142"/>
      <c r="H786" s="98"/>
    </row>
    <row r="787" spans="1:8" ht="12.75" customHeight="1" x14ac:dyDescent="0.15">
      <c r="A787" s="98"/>
      <c r="B787" s="98"/>
      <c r="C787" s="98"/>
      <c r="D787" s="98"/>
      <c r="E787" s="98"/>
      <c r="F787" s="98"/>
      <c r="G787" s="142"/>
      <c r="H787" s="98"/>
    </row>
    <row r="788" spans="1:8" ht="12.75" customHeight="1" x14ac:dyDescent="0.15">
      <c r="A788" s="98"/>
      <c r="B788" s="98"/>
      <c r="C788" s="98"/>
      <c r="D788" s="98"/>
      <c r="E788" s="98"/>
      <c r="F788" s="98"/>
      <c r="G788" s="142"/>
      <c r="H788" s="98"/>
    </row>
    <row r="789" spans="1:8" ht="12.75" customHeight="1" x14ac:dyDescent="0.15">
      <c r="A789" s="98"/>
      <c r="B789" s="98"/>
      <c r="C789" s="98"/>
      <c r="D789" s="98"/>
      <c r="E789" s="98"/>
      <c r="F789" s="98"/>
      <c r="G789" s="142"/>
      <c r="H789" s="98"/>
    </row>
    <row r="790" spans="1:8" ht="12.75" customHeight="1" x14ac:dyDescent="0.15">
      <c r="A790" s="98"/>
      <c r="B790" s="98"/>
      <c r="C790" s="98"/>
      <c r="D790" s="98"/>
      <c r="E790" s="98"/>
      <c r="F790" s="98"/>
      <c r="G790" s="142"/>
      <c r="H790" s="98"/>
    </row>
    <row r="791" spans="1:8" ht="12.75" customHeight="1" x14ac:dyDescent="0.15">
      <c r="A791" s="98"/>
      <c r="B791" s="98"/>
      <c r="C791" s="98"/>
      <c r="D791" s="98"/>
      <c r="E791" s="98"/>
      <c r="F791" s="98"/>
      <c r="G791" s="142"/>
      <c r="H791" s="98"/>
    </row>
    <row r="792" spans="1:8" ht="12.75" customHeight="1" x14ac:dyDescent="0.15">
      <c r="A792" s="98"/>
      <c r="B792" s="98"/>
      <c r="C792" s="98"/>
      <c r="D792" s="98"/>
      <c r="E792" s="98"/>
      <c r="F792" s="98"/>
      <c r="G792" s="142"/>
      <c r="H792" s="98"/>
    </row>
    <row r="793" spans="1:8" ht="12.75" customHeight="1" x14ac:dyDescent="0.15">
      <c r="A793" s="98"/>
      <c r="B793" s="98"/>
      <c r="C793" s="98"/>
      <c r="D793" s="98"/>
      <c r="E793" s="98"/>
      <c r="F793" s="98"/>
      <c r="G793" s="142"/>
      <c r="H793" s="98"/>
    </row>
    <row r="794" spans="1:8" ht="12.75" customHeight="1" x14ac:dyDescent="0.15">
      <c r="A794" s="98"/>
      <c r="B794" s="98"/>
      <c r="C794" s="98"/>
      <c r="D794" s="98"/>
      <c r="E794" s="98"/>
      <c r="F794" s="98"/>
      <c r="G794" s="142"/>
      <c r="H794" s="98"/>
    </row>
    <row r="795" spans="1:8" ht="12.75" customHeight="1" x14ac:dyDescent="0.15">
      <c r="A795" s="98"/>
      <c r="B795" s="98"/>
      <c r="C795" s="98"/>
      <c r="D795" s="98"/>
      <c r="E795" s="98"/>
      <c r="F795" s="98"/>
      <c r="G795" s="142"/>
      <c r="H795" s="98"/>
    </row>
    <row r="796" spans="1:8" ht="12.75" customHeight="1" x14ac:dyDescent="0.15">
      <c r="A796" s="98"/>
      <c r="B796" s="98"/>
      <c r="C796" s="98"/>
      <c r="D796" s="98"/>
      <c r="E796" s="98"/>
      <c r="F796" s="98"/>
      <c r="G796" s="142"/>
      <c r="H796" s="98"/>
    </row>
    <row r="797" spans="1:8" ht="12.75" customHeight="1" x14ac:dyDescent="0.15">
      <c r="A797" s="98"/>
      <c r="B797" s="98"/>
      <c r="C797" s="98"/>
      <c r="D797" s="98"/>
      <c r="E797" s="98"/>
      <c r="F797" s="98"/>
      <c r="G797" s="142"/>
      <c r="H797" s="98"/>
    </row>
    <row r="798" spans="1:8" ht="12.75" customHeight="1" x14ac:dyDescent="0.15">
      <c r="A798" s="98"/>
      <c r="B798" s="98"/>
      <c r="C798" s="98"/>
      <c r="D798" s="98"/>
      <c r="E798" s="98"/>
      <c r="F798" s="98"/>
      <c r="G798" s="142"/>
      <c r="H798" s="98"/>
    </row>
    <row r="799" spans="1:8" ht="12.75" customHeight="1" x14ac:dyDescent="0.15">
      <c r="A799" s="98"/>
      <c r="B799" s="98"/>
      <c r="C799" s="98"/>
      <c r="D799" s="98"/>
      <c r="E799" s="98"/>
      <c r="F799" s="98"/>
      <c r="G799" s="142"/>
      <c r="H799" s="98"/>
    </row>
    <row r="800" spans="1:8" ht="12.75" customHeight="1" x14ac:dyDescent="0.15">
      <c r="A800" s="98"/>
      <c r="B800" s="98"/>
      <c r="C800" s="98"/>
      <c r="D800" s="98"/>
      <c r="E800" s="98"/>
      <c r="F800" s="98"/>
      <c r="G800" s="142"/>
      <c r="H800" s="98"/>
    </row>
    <row r="801" spans="1:8" ht="12.75" customHeight="1" x14ac:dyDescent="0.15">
      <c r="A801" s="98"/>
      <c r="B801" s="98"/>
      <c r="C801" s="98"/>
      <c r="D801" s="98"/>
      <c r="E801" s="98"/>
      <c r="F801" s="98"/>
      <c r="G801" s="142"/>
      <c r="H801" s="98"/>
    </row>
    <row r="802" spans="1:8" ht="12.75" customHeight="1" x14ac:dyDescent="0.15">
      <c r="A802" s="98"/>
      <c r="B802" s="98"/>
      <c r="C802" s="98"/>
      <c r="D802" s="98"/>
      <c r="E802" s="98"/>
      <c r="F802" s="98"/>
      <c r="G802" s="142"/>
      <c r="H802" s="98"/>
    </row>
    <row r="803" spans="1:8" ht="12.75" customHeight="1" x14ac:dyDescent="0.15">
      <c r="A803" s="98"/>
      <c r="B803" s="98"/>
      <c r="C803" s="98"/>
      <c r="D803" s="98"/>
      <c r="E803" s="98"/>
      <c r="F803" s="98"/>
      <c r="G803" s="142"/>
      <c r="H803" s="98"/>
    </row>
    <row r="804" spans="1:8" ht="12.75" customHeight="1" x14ac:dyDescent="0.15">
      <c r="A804" s="98"/>
      <c r="B804" s="98"/>
      <c r="C804" s="98"/>
      <c r="D804" s="98"/>
      <c r="E804" s="98"/>
      <c r="F804" s="98"/>
      <c r="G804" s="142"/>
      <c r="H804" s="98"/>
    </row>
    <row r="805" spans="1:8" ht="12.75" customHeight="1" x14ac:dyDescent="0.15">
      <c r="A805" s="98"/>
      <c r="B805" s="98"/>
      <c r="C805" s="98"/>
      <c r="D805" s="98"/>
      <c r="E805" s="98"/>
      <c r="F805" s="98"/>
      <c r="G805" s="142"/>
      <c r="H805" s="98"/>
    </row>
    <row r="806" spans="1:8" ht="12.75" customHeight="1" x14ac:dyDescent="0.15">
      <c r="A806" s="98"/>
      <c r="B806" s="98"/>
      <c r="C806" s="98"/>
      <c r="D806" s="98"/>
      <c r="E806" s="98"/>
      <c r="F806" s="98"/>
      <c r="G806" s="142"/>
      <c r="H806" s="98"/>
    </row>
    <row r="807" spans="1:8" ht="12.75" customHeight="1" x14ac:dyDescent="0.15">
      <c r="A807" s="98"/>
      <c r="B807" s="98"/>
      <c r="C807" s="98"/>
      <c r="D807" s="98"/>
      <c r="E807" s="98"/>
      <c r="F807" s="98"/>
      <c r="G807" s="142"/>
      <c r="H807" s="98"/>
    </row>
    <row r="808" spans="1:8" ht="12.75" customHeight="1" x14ac:dyDescent="0.15">
      <c r="A808" s="98"/>
      <c r="B808" s="98"/>
      <c r="C808" s="98"/>
      <c r="D808" s="98"/>
      <c r="E808" s="98"/>
      <c r="F808" s="98"/>
      <c r="G808" s="142"/>
      <c r="H808" s="98"/>
    </row>
    <row r="809" spans="1:8" ht="12.75" customHeight="1" x14ac:dyDescent="0.15">
      <c r="A809" s="98"/>
      <c r="B809" s="98"/>
      <c r="C809" s="98"/>
      <c r="D809" s="98"/>
      <c r="E809" s="98"/>
      <c r="F809" s="98"/>
      <c r="G809" s="142"/>
      <c r="H809" s="98"/>
    </row>
    <row r="810" spans="1:8" ht="12.75" customHeight="1" x14ac:dyDescent="0.15">
      <c r="A810" s="98"/>
      <c r="B810" s="98"/>
      <c r="C810" s="98"/>
      <c r="D810" s="98"/>
      <c r="E810" s="98"/>
      <c r="F810" s="98"/>
      <c r="G810" s="142"/>
      <c r="H810" s="98"/>
    </row>
    <row r="811" spans="1:8" ht="12.75" customHeight="1" x14ac:dyDescent="0.15">
      <c r="A811" s="98"/>
      <c r="B811" s="98"/>
      <c r="C811" s="98"/>
      <c r="D811" s="98"/>
      <c r="E811" s="98"/>
      <c r="F811" s="98"/>
      <c r="G811" s="142"/>
      <c r="H811" s="98"/>
    </row>
    <row r="812" spans="1:8" ht="12.75" customHeight="1" x14ac:dyDescent="0.15">
      <c r="A812" s="98"/>
      <c r="B812" s="98"/>
      <c r="C812" s="98"/>
      <c r="D812" s="98"/>
      <c r="E812" s="98"/>
      <c r="F812" s="98"/>
      <c r="G812" s="142"/>
      <c r="H812" s="98"/>
    </row>
    <row r="813" spans="1:8" ht="12.75" customHeight="1" x14ac:dyDescent="0.15">
      <c r="A813" s="98"/>
      <c r="B813" s="98"/>
      <c r="C813" s="98"/>
      <c r="D813" s="98"/>
      <c r="E813" s="98"/>
      <c r="F813" s="98"/>
      <c r="G813" s="142"/>
      <c r="H813" s="98"/>
    </row>
    <row r="814" spans="1:8" ht="12.75" customHeight="1" x14ac:dyDescent="0.15">
      <c r="A814" s="98"/>
      <c r="B814" s="98"/>
      <c r="C814" s="98"/>
      <c r="D814" s="98"/>
      <c r="E814" s="98"/>
      <c r="F814" s="98"/>
      <c r="G814" s="142"/>
      <c r="H814" s="98"/>
    </row>
    <row r="815" spans="1:8" ht="12.75" customHeight="1" x14ac:dyDescent="0.15">
      <c r="A815" s="98"/>
      <c r="B815" s="98"/>
      <c r="C815" s="98"/>
      <c r="D815" s="98"/>
      <c r="E815" s="98"/>
      <c r="F815" s="98"/>
      <c r="G815" s="142"/>
      <c r="H815" s="98"/>
    </row>
    <row r="816" spans="1:8" ht="12.75" customHeight="1" x14ac:dyDescent="0.15">
      <c r="A816" s="98"/>
      <c r="B816" s="98"/>
      <c r="C816" s="98"/>
      <c r="D816" s="98"/>
      <c r="E816" s="98"/>
      <c r="F816" s="98"/>
      <c r="G816" s="142"/>
      <c r="H816" s="98"/>
    </row>
    <row r="817" spans="1:8" ht="12.75" customHeight="1" x14ac:dyDescent="0.15">
      <c r="A817" s="98"/>
      <c r="B817" s="98"/>
      <c r="C817" s="98"/>
      <c r="D817" s="98"/>
      <c r="E817" s="98"/>
      <c r="F817" s="98"/>
      <c r="G817" s="142"/>
      <c r="H817" s="98"/>
    </row>
    <row r="818" spans="1:8" ht="12.75" customHeight="1" x14ac:dyDescent="0.15">
      <c r="A818" s="98"/>
      <c r="B818" s="98"/>
      <c r="C818" s="98"/>
      <c r="D818" s="98"/>
      <c r="E818" s="98"/>
      <c r="F818" s="98"/>
      <c r="G818" s="142"/>
      <c r="H818" s="98"/>
    </row>
    <row r="819" spans="1:8" ht="12.75" customHeight="1" x14ac:dyDescent="0.15">
      <c r="A819" s="98"/>
      <c r="B819" s="98"/>
      <c r="C819" s="98"/>
      <c r="D819" s="98"/>
      <c r="E819" s="98"/>
      <c r="F819" s="98"/>
      <c r="G819" s="142"/>
      <c r="H819" s="98"/>
    </row>
    <row r="820" spans="1:8" ht="12.75" customHeight="1" x14ac:dyDescent="0.15">
      <c r="A820" s="98"/>
      <c r="B820" s="98"/>
      <c r="C820" s="98"/>
      <c r="D820" s="98"/>
      <c r="E820" s="98"/>
      <c r="F820" s="98"/>
      <c r="G820" s="142"/>
      <c r="H820" s="98"/>
    </row>
    <row r="821" spans="1:8" ht="12.75" customHeight="1" x14ac:dyDescent="0.15">
      <c r="A821" s="98"/>
      <c r="B821" s="98"/>
      <c r="C821" s="98"/>
      <c r="D821" s="98"/>
      <c r="E821" s="98"/>
      <c r="F821" s="98"/>
      <c r="G821" s="142"/>
      <c r="H821" s="98"/>
    </row>
    <row r="822" spans="1:8" ht="12.75" customHeight="1" x14ac:dyDescent="0.15">
      <c r="A822" s="98"/>
      <c r="B822" s="98"/>
      <c r="C822" s="98"/>
      <c r="D822" s="98"/>
      <c r="E822" s="98"/>
      <c r="F822" s="98"/>
      <c r="G822" s="142"/>
      <c r="H822" s="98"/>
    </row>
    <row r="823" spans="1:8" ht="12.75" customHeight="1" x14ac:dyDescent="0.15">
      <c r="A823" s="98"/>
      <c r="B823" s="98"/>
      <c r="C823" s="98"/>
      <c r="D823" s="98"/>
      <c r="E823" s="98"/>
      <c r="F823" s="98"/>
      <c r="G823" s="142"/>
      <c r="H823" s="98"/>
    </row>
    <row r="824" spans="1:8" ht="12.75" customHeight="1" x14ac:dyDescent="0.15">
      <c r="A824" s="98"/>
      <c r="B824" s="98"/>
      <c r="C824" s="98"/>
      <c r="D824" s="98"/>
      <c r="E824" s="98"/>
      <c r="F824" s="98"/>
      <c r="G824" s="142"/>
      <c r="H824" s="98"/>
    </row>
    <row r="825" spans="1:8" ht="12.75" customHeight="1" x14ac:dyDescent="0.15">
      <c r="A825" s="98"/>
      <c r="B825" s="98"/>
      <c r="C825" s="98"/>
      <c r="D825" s="98"/>
      <c r="E825" s="98"/>
      <c r="F825" s="98"/>
      <c r="G825" s="142"/>
      <c r="H825" s="98"/>
    </row>
    <row r="826" spans="1:8" ht="12.75" customHeight="1" x14ac:dyDescent="0.15">
      <c r="A826" s="98"/>
      <c r="B826" s="98"/>
      <c r="C826" s="98"/>
      <c r="D826" s="98"/>
      <c r="E826" s="98"/>
      <c r="F826" s="98"/>
      <c r="G826" s="142"/>
      <c r="H826" s="98"/>
    </row>
    <row r="827" spans="1:8" ht="12.75" customHeight="1" x14ac:dyDescent="0.15">
      <c r="A827" s="98"/>
      <c r="B827" s="98"/>
      <c r="C827" s="98"/>
      <c r="D827" s="98"/>
      <c r="E827" s="98"/>
      <c r="F827" s="98"/>
      <c r="G827" s="142"/>
      <c r="H827" s="98"/>
    </row>
    <row r="828" spans="1:8" ht="12.75" customHeight="1" x14ac:dyDescent="0.15">
      <c r="A828" s="98"/>
      <c r="B828" s="98"/>
      <c r="C828" s="98"/>
      <c r="D828" s="98"/>
      <c r="E828" s="98"/>
      <c r="F828" s="98"/>
      <c r="G828" s="142"/>
      <c r="H828" s="98"/>
    </row>
    <row r="829" spans="1:8" ht="12.75" customHeight="1" x14ac:dyDescent="0.15">
      <c r="A829" s="98"/>
      <c r="B829" s="98"/>
      <c r="C829" s="98"/>
      <c r="D829" s="98"/>
      <c r="E829" s="98"/>
      <c r="F829" s="98"/>
      <c r="G829" s="142"/>
      <c r="H829" s="98"/>
    </row>
    <row r="830" spans="1:8" ht="12.75" customHeight="1" x14ac:dyDescent="0.15">
      <c r="A830" s="98"/>
      <c r="B830" s="98"/>
      <c r="C830" s="98"/>
      <c r="D830" s="98"/>
      <c r="E830" s="98"/>
      <c r="F830" s="98"/>
      <c r="G830" s="142"/>
      <c r="H830" s="98"/>
    </row>
    <row r="831" spans="1:8" ht="12.75" customHeight="1" x14ac:dyDescent="0.15">
      <c r="A831" s="98"/>
      <c r="B831" s="98"/>
      <c r="C831" s="98"/>
      <c r="D831" s="98"/>
      <c r="E831" s="98"/>
      <c r="F831" s="98"/>
      <c r="G831" s="142"/>
      <c r="H831" s="98"/>
    </row>
    <row r="832" spans="1:8" ht="12.75" customHeight="1" x14ac:dyDescent="0.15">
      <c r="A832" s="98"/>
      <c r="B832" s="98"/>
      <c r="C832" s="98"/>
      <c r="D832" s="98"/>
      <c r="E832" s="98"/>
      <c r="F832" s="98"/>
      <c r="G832" s="142"/>
      <c r="H832" s="98"/>
    </row>
    <row r="833" spans="1:8" ht="12.75" customHeight="1" x14ac:dyDescent="0.15">
      <c r="A833" s="98"/>
      <c r="B833" s="98"/>
      <c r="C833" s="98"/>
      <c r="D833" s="98"/>
      <c r="E833" s="98"/>
      <c r="F833" s="98"/>
      <c r="G833" s="142"/>
      <c r="H833" s="98"/>
    </row>
    <row r="834" spans="1:8" ht="12.75" customHeight="1" x14ac:dyDescent="0.15">
      <c r="A834" s="98"/>
      <c r="B834" s="98"/>
      <c r="C834" s="98"/>
      <c r="D834" s="98"/>
      <c r="E834" s="98"/>
      <c r="F834" s="98"/>
      <c r="G834" s="142"/>
      <c r="H834" s="98"/>
    </row>
    <row r="835" spans="1:8" ht="12.75" customHeight="1" x14ac:dyDescent="0.15">
      <c r="A835" s="98"/>
      <c r="B835" s="98"/>
      <c r="C835" s="98"/>
      <c r="D835" s="98"/>
      <c r="E835" s="98"/>
      <c r="F835" s="98"/>
      <c r="G835" s="142"/>
      <c r="H835" s="98"/>
    </row>
    <row r="836" spans="1:8" ht="12.75" customHeight="1" x14ac:dyDescent="0.15">
      <c r="A836" s="98"/>
      <c r="B836" s="98"/>
      <c r="C836" s="98"/>
      <c r="D836" s="98"/>
      <c r="E836" s="98"/>
      <c r="F836" s="98"/>
      <c r="G836" s="142"/>
      <c r="H836" s="98"/>
    </row>
    <row r="837" spans="1:8" ht="12.75" customHeight="1" x14ac:dyDescent="0.15">
      <c r="A837" s="98"/>
      <c r="B837" s="98"/>
      <c r="C837" s="98"/>
      <c r="D837" s="98"/>
      <c r="E837" s="98"/>
      <c r="F837" s="98"/>
      <c r="G837" s="142"/>
      <c r="H837" s="98"/>
    </row>
    <row r="838" spans="1:8" ht="12.75" customHeight="1" x14ac:dyDescent="0.15">
      <c r="A838" s="98"/>
      <c r="B838" s="98"/>
      <c r="C838" s="98"/>
      <c r="D838" s="98"/>
      <c r="E838" s="98"/>
      <c r="F838" s="98"/>
      <c r="G838" s="142"/>
      <c r="H838" s="98"/>
    </row>
    <row r="839" spans="1:8" ht="12.75" customHeight="1" x14ac:dyDescent="0.15">
      <c r="A839" s="98"/>
      <c r="B839" s="98"/>
      <c r="C839" s="98"/>
      <c r="D839" s="98"/>
      <c r="E839" s="98"/>
      <c r="F839" s="98"/>
      <c r="G839" s="142"/>
      <c r="H839" s="98"/>
    </row>
    <row r="840" spans="1:8" ht="12.75" customHeight="1" x14ac:dyDescent="0.15">
      <c r="A840" s="98"/>
      <c r="B840" s="98"/>
      <c r="C840" s="98"/>
      <c r="D840" s="98"/>
      <c r="E840" s="98"/>
      <c r="F840" s="98"/>
      <c r="G840" s="142"/>
      <c r="H840" s="98"/>
    </row>
    <row r="841" spans="1:8" ht="12.75" customHeight="1" x14ac:dyDescent="0.15">
      <c r="A841" s="98"/>
      <c r="B841" s="98"/>
      <c r="C841" s="98"/>
      <c r="D841" s="98"/>
      <c r="E841" s="98"/>
      <c r="F841" s="98"/>
      <c r="G841" s="142"/>
      <c r="H841" s="98"/>
    </row>
    <row r="842" spans="1:8" ht="12.75" customHeight="1" x14ac:dyDescent="0.15">
      <c r="A842" s="98"/>
      <c r="B842" s="98"/>
      <c r="C842" s="98"/>
      <c r="D842" s="98"/>
      <c r="E842" s="98"/>
      <c r="F842" s="98"/>
      <c r="G842" s="142"/>
      <c r="H842" s="98"/>
    </row>
    <row r="843" spans="1:8" ht="12.75" customHeight="1" x14ac:dyDescent="0.15">
      <c r="A843" s="98"/>
      <c r="B843" s="98"/>
      <c r="C843" s="98"/>
      <c r="D843" s="98"/>
      <c r="E843" s="98"/>
      <c r="F843" s="98"/>
      <c r="G843" s="142"/>
      <c r="H843" s="98"/>
    </row>
    <row r="844" spans="1:8" ht="12.75" customHeight="1" x14ac:dyDescent="0.15">
      <c r="A844" s="98"/>
      <c r="B844" s="98"/>
      <c r="C844" s="98"/>
      <c r="D844" s="98"/>
      <c r="E844" s="98"/>
      <c r="F844" s="98"/>
      <c r="G844" s="142"/>
      <c r="H844" s="98"/>
    </row>
    <row r="845" spans="1:8" ht="12.75" customHeight="1" x14ac:dyDescent="0.15">
      <c r="A845" s="98"/>
      <c r="B845" s="98"/>
      <c r="C845" s="98"/>
      <c r="D845" s="98"/>
      <c r="E845" s="98"/>
      <c r="F845" s="98"/>
      <c r="G845" s="142"/>
      <c r="H845" s="98"/>
    </row>
    <row r="846" spans="1:8" ht="12.75" customHeight="1" x14ac:dyDescent="0.15">
      <c r="A846" s="98"/>
      <c r="B846" s="98"/>
      <c r="C846" s="98"/>
      <c r="D846" s="98"/>
      <c r="E846" s="98"/>
      <c r="F846" s="98"/>
      <c r="G846" s="142"/>
      <c r="H846" s="98"/>
    </row>
    <row r="847" spans="1:8" ht="12.75" customHeight="1" x14ac:dyDescent="0.15">
      <c r="A847" s="98"/>
      <c r="B847" s="98"/>
      <c r="C847" s="98"/>
      <c r="D847" s="98"/>
      <c r="E847" s="98"/>
      <c r="F847" s="98"/>
      <c r="G847" s="142"/>
      <c r="H847" s="98"/>
    </row>
    <row r="848" spans="1:8" ht="12.75" customHeight="1" x14ac:dyDescent="0.15">
      <c r="A848" s="98"/>
      <c r="B848" s="98"/>
      <c r="C848" s="98"/>
      <c r="D848" s="98"/>
      <c r="E848" s="98"/>
      <c r="F848" s="98"/>
      <c r="G848" s="142"/>
      <c r="H848" s="98"/>
    </row>
    <row r="849" spans="1:8" ht="12.75" customHeight="1" x14ac:dyDescent="0.15">
      <c r="A849" s="98"/>
      <c r="B849" s="98"/>
      <c r="C849" s="98"/>
      <c r="D849" s="98"/>
      <c r="E849" s="98"/>
      <c r="F849" s="98"/>
      <c r="G849" s="142"/>
      <c r="H849" s="98"/>
    </row>
    <row r="850" spans="1:8" ht="12.75" customHeight="1" x14ac:dyDescent="0.15">
      <c r="A850" s="98"/>
      <c r="B850" s="98"/>
      <c r="C850" s="98"/>
      <c r="D850" s="98"/>
      <c r="E850" s="98"/>
      <c r="F850" s="98"/>
      <c r="G850" s="142"/>
      <c r="H850" s="98"/>
    </row>
    <row r="851" spans="1:8" ht="12.75" customHeight="1" x14ac:dyDescent="0.15">
      <c r="A851" s="98"/>
      <c r="B851" s="98"/>
      <c r="C851" s="98"/>
      <c r="D851" s="98"/>
      <c r="E851" s="98"/>
      <c r="F851" s="98"/>
      <c r="G851" s="142"/>
      <c r="H851" s="98"/>
    </row>
    <row r="852" spans="1:8" ht="12.75" customHeight="1" x14ac:dyDescent="0.15">
      <c r="A852" s="98"/>
      <c r="B852" s="98"/>
      <c r="C852" s="98"/>
      <c r="D852" s="98"/>
      <c r="E852" s="98"/>
      <c r="F852" s="98"/>
      <c r="G852" s="142"/>
      <c r="H852" s="98"/>
    </row>
    <row r="853" spans="1:8" ht="12.75" customHeight="1" x14ac:dyDescent="0.15">
      <c r="A853" s="98"/>
      <c r="B853" s="98"/>
      <c r="C853" s="98"/>
      <c r="D853" s="98"/>
      <c r="E853" s="98"/>
      <c r="F853" s="98"/>
      <c r="G853" s="142"/>
      <c r="H853" s="98"/>
    </row>
    <row r="854" spans="1:8" ht="12.75" customHeight="1" x14ac:dyDescent="0.15">
      <c r="A854" s="98"/>
      <c r="B854" s="98"/>
      <c r="C854" s="98"/>
      <c r="D854" s="98"/>
      <c r="E854" s="98"/>
      <c r="F854" s="98"/>
      <c r="G854" s="142"/>
      <c r="H854" s="98"/>
    </row>
    <row r="855" spans="1:8" ht="12.75" customHeight="1" x14ac:dyDescent="0.15">
      <c r="A855" s="98"/>
      <c r="B855" s="98"/>
      <c r="C855" s="98"/>
      <c r="D855" s="98"/>
      <c r="E855" s="98"/>
      <c r="F855" s="98"/>
      <c r="G855" s="142"/>
      <c r="H855" s="98"/>
    </row>
    <row r="856" spans="1:8" ht="12.75" customHeight="1" x14ac:dyDescent="0.15">
      <c r="A856" s="98"/>
      <c r="B856" s="98"/>
      <c r="C856" s="98"/>
      <c r="D856" s="98"/>
      <c r="E856" s="98"/>
      <c r="F856" s="98"/>
      <c r="G856" s="142"/>
      <c r="H856" s="98"/>
    </row>
    <row r="857" spans="1:8" ht="12.75" customHeight="1" x14ac:dyDescent="0.15">
      <c r="A857" s="98"/>
      <c r="B857" s="98"/>
      <c r="C857" s="98"/>
      <c r="D857" s="98"/>
      <c r="E857" s="98"/>
      <c r="F857" s="98"/>
      <c r="G857" s="142"/>
      <c r="H857" s="98"/>
    </row>
    <row r="858" spans="1:8" ht="12.75" customHeight="1" x14ac:dyDescent="0.15">
      <c r="A858" s="98"/>
      <c r="B858" s="98"/>
      <c r="C858" s="98"/>
      <c r="D858" s="98"/>
      <c r="E858" s="98"/>
      <c r="F858" s="98"/>
      <c r="G858" s="142"/>
      <c r="H858" s="98"/>
    </row>
    <row r="859" spans="1:8" ht="12.75" customHeight="1" x14ac:dyDescent="0.15">
      <c r="A859" s="98"/>
      <c r="B859" s="98"/>
      <c r="C859" s="98"/>
      <c r="D859" s="98"/>
      <c r="E859" s="98"/>
      <c r="F859" s="98"/>
      <c r="G859" s="142"/>
      <c r="H859" s="98"/>
    </row>
    <row r="860" spans="1:8" ht="12.75" customHeight="1" x14ac:dyDescent="0.15">
      <c r="A860" s="98"/>
      <c r="B860" s="98"/>
      <c r="C860" s="98"/>
      <c r="D860" s="98"/>
      <c r="E860" s="98"/>
      <c r="F860" s="98"/>
      <c r="G860" s="142"/>
      <c r="H860" s="98"/>
    </row>
    <row r="861" spans="1:8" ht="12.75" customHeight="1" x14ac:dyDescent="0.15">
      <c r="A861" s="98"/>
      <c r="B861" s="98"/>
      <c r="C861" s="98"/>
      <c r="D861" s="98"/>
      <c r="E861" s="98"/>
      <c r="F861" s="98"/>
      <c r="G861" s="142"/>
      <c r="H861" s="98"/>
    </row>
    <row r="862" spans="1:8" ht="12.75" customHeight="1" x14ac:dyDescent="0.15">
      <c r="A862" s="98"/>
      <c r="B862" s="98"/>
      <c r="C862" s="98"/>
      <c r="D862" s="98"/>
      <c r="E862" s="98"/>
      <c r="F862" s="98"/>
      <c r="G862" s="142"/>
      <c r="H862" s="98"/>
    </row>
    <row r="863" spans="1:8" ht="12.75" customHeight="1" x14ac:dyDescent="0.15">
      <c r="A863" s="98"/>
      <c r="B863" s="98"/>
      <c r="C863" s="98"/>
      <c r="D863" s="98"/>
      <c r="E863" s="98"/>
      <c r="F863" s="98"/>
      <c r="G863" s="142"/>
      <c r="H863" s="98"/>
    </row>
    <row r="864" spans="1:8" ht="12.75" customHeight="1" x14ac:dyDescent="0.15">
      <c r="A864" s="98"/>
      <c r="B864" s="98"/>
      <c r="C864" s="98"/>
      <c r="D864" s="98"/>
      <c r="E864" s="98"/>
      <c r="F864" s="98"/>
      <c r="G864" s="142"/>
      <c r="H864" s="98"/>
    </row>
    <row r="865" spans="1:8" ht="12.75" customHeight="1" x14ac:dyDescent="0.15">
      <c r="A865" s="98"/>
      <c r="B865" s="98"/>
      <c r="C865" s="98"/>
      <c r="D865" s="98"/>
      <c r="E865" s="98"/>
      <c r="F865" s="98"/>
      <c r="G865" s="142"/>
      <c r="H865" s="98"/>
    </row>
    <row r="866" spans="1:8" ht="12.75" customHeight="1" x14ac:dyDescent="0.15">
      <c r="A866" s="98"/>
      <c r="B866" s="98"/>
      <c r="C866" s="98"/>
      <c r="D866" s="98"/>
      <c r="E866" s="98"/>
      <c r="F866" s="98"/>
      <c r="G866" s="142"/>
      <c r="H866" s="98"/>
    </row>
    <row r="867" spans="1:8" ht="12.75" customHeight="1" x14ac:dyDescent="0.15">
      <c r="A867" s="98"/>
      <c r="B867" s="98"/>
      <c r="C867" s="98"/>
      <c r="D867" s="98"/>
      <c r="E867" s="98"/>
      <c r="F867" s="98"/>
      <c r="G867" s="142"/>
      <c r="H867" s="98"/>
    </row>
    <row r="868" spans="1:8" ht="12.75" customHeight="1" x14ac:dyDescent="0.15">
      <c r="A868" s="98"/>
      <c r="B868" s="98"/>
      <c r="C868" s="98"/>
      <c r="D868" s="98"/>
      <c r="E868" s="98"/>
      <c r="F868" s="98"/>
      <c r="G868" s="142"/>
      <c r="H868" s="98"/>
    </row>
    <row r="869" spans="1:8" ht="12.75" customHeight="1" x14ac:dyDescent="0.15">
      <c r="A869" s="98"/>
      <c r="B869" s="98"/>
      <c r="C869" s="98"/>
      <c r="D869" s="98"/>
      <c r="E869" s="98"/>
      <c r="F869" s="98"/>
      <c r="G869" s="142"/>
      <c r="H869" s="98"/>
    </row>
    <row r="870" spans="1:8" ht="12.75" customHeight="1" x14ac:dyDescent="0.15">
      <c r="A870" s="98"/>
      <c r="B870" s="98"/>
      <c r="C870" s="98"/>
      <c r="D870" s="98"/>
      <c r="E870" s="98"/>
      <c r="F870" s="98"/>
      <c r="G870" s="142"/>
      <c r="H870" s="98"/>
    </row>
    <row r="871" spans="1:8" ht="12.75" customHeight="1" x14ac:dyDescent="0.15">
      <c r="A871" s="98"/>
      <c r="B871" s="98"/>
      <c r="C871" s="98"/>
      <c r="D871" s="98"/>
      <c r="E871" s="98"/>
      <c r="F871" s="98"/>
      <c r="G871" s="142"/>
      <c r="H871" s="98"/>
    </row>
    <row r="872" spans="1:8" ht="12.75" customHeight="1" x14ac:dyDescent="0.15">
      <c r="A872" s="98"/>
      <c r="B872" s="98"/>
      <c r="C872" s="98"/>
      <c r="D872" s="98"/>
      <c r="E872" s="98"/>
      <c r="F872" s="98"/>
      <c r="G872" s="142"/>
      <c r="H872" s="98"/>
    </row>
    <row r="873" spans="1:8" ht="12.75" customHeight="1" x14ac:dyDescent="0.15">
      <c r="A873" s="98"/>
      <c r="B873" s="98"/>
      <c r="C873" s="98"/>
      <c r="D873" s="98"/>
      <c r="E873" s="98"/>
      <c r="F873" s="98"/>
      <c r="G873" s="142"/>
      <c r="H873" s="98"/>
    </row>
    <row r="874" spans="1:8" ht="12.75" customHeight="1" x14ac:dyDescent="0.15">
      <c r="A874" s="98"/>
      <c r="B874" s="98"/>
      <c r="C874" s="98"/>
      <c r="D874" s="98"/>
      <c r="E874" s="98"/>
      <c r="F874" s="98"/>
      <c r="G874" s="142"/>
      <c r="H874" s="98"/>
    </row>
    <row r="875" spans="1:8" ht="12.75" customHeight="1" x14ac:dyDescent="0.15">
      <c r="A875" s="98"/>
      <c r="B875" s="98"/>
      <c r="C875" s="98"/>
      <c r="D875" s="98"/>
      <c r="E875" s="98"/>
      <c r="F875" s="98"/>
      <c r="G875" s="142"/>
      <c r="H875" s="98"/>
    </row>
    <row r="876" spans="1:8" ht="12.75" customHeight="1" x14ac:dyDescent="0.15">
      <c r="A876" s="98"/>
      <c r="B876" s="98"/>
      <c r="C876" s="98"/>
      <c r="D876" s="98"/>
      <c r="E876" s="98"/>
      <c r="F876" s="98"/>
      <c r="G876" s="142"/>
      <c r="H876" s="98"/>
    </row>
    <row r="877" spans="1:8" ht="12.75" customHeight="1" x14ac:dyDescent="0.15">
      <c r="A877" s="98"/>
      <c r="B877" s="98"/>
      <c r="C877" s="98"/>
      <c r="D877" s="98"/>
      <c r="E877" s="98"/>
      <c r="F877" s="98"/>
      <c r="G877" s="142"/>
      <c r="H877" s="98"/>
    </row>
    <row r="878" spans="1:8" ht="12.75" customHeight="1" x14ac:dyDescent="0.15">
      <c r="A878" s="98"/>
      <c r="B878" s="98"/>
      <c r="C878" s="98"/>
      <c r="D878" s="98"/>
      <c r="E878" s="98"/>
      <c r="F878" s="98"/>
      <c r="G878" s="142"/>
      <c r="H878" s="98"/>
    </row>
    <row r="879" spans="1:8" ht="12.75" customHeight="1" x14ac:dyDescent="0.15">
      <c r="A879" s="98"/>
      <c r="B879" s="98"/>
      <c r="C879" s="98"/>
      <c r="D879" s="98"/>
      <c r="E879" s="98"/>
      <c r="F879" s="98"/>
      <c r="G879" s="142"/>
      <c r="H879" s="98"/>
    </row>
    <row r="880" spans="1:8" ht="12.75" customHeight="1" x14ac:dyDescent="0.15">
      <c r="A880" s="98"/>
      <c r="B880" s="98"/>
      <c r="C880" s="98"/>
      <c r="D880" s="98"/>
      <c r="E880" s="98"/>
      <c r="F880" s="98"/>
      <c r="G880" s="142"/>
      <c r="H880" s="98"/>
    </row>
    <row r="881" spans="1:8" ht="12.75" customHeight="1" x14ac:dyDescent="0.15">
      <c r="A881" s="98"/>
      <c r="B881" s="98"/>
      <c r="C881" s="98"/>
      <c r="D881" s="98"/>
      <c r="E881" s="98"/>
      <c r="F881" s="98"/>
      <c r="G881" s="142"/>
      <c r="H881" s="98"/>
    </row>
    <row r="882" spans="1:8" ht="12.75" customHeight="1" x14ac:dyDescent="0.15">
      <c r="A882" s="98"/>
      <c r="B882" s="98"/>
      <c r="C882" s="98"/>
      <c r="D882" s="98"/>
      <c r="E882" s="98"/>
      <c r="F882" s="98"/>
      <c r="G882" s="142"/>
      <c r="H882" s="98"/>
    </row>
    <row r="883" spans="1:8" ht="12.75" customHeight="1" x14ac:dyDescent="0.15">
      <c r="A883" s="98"/>
      <c r="B883" s="98"/>
      <c r="C883" s="98"/>
      <c r="D883" s="98"/>
      <c r="E883" s="98"/>
      <c r="F883" s="98"/>
      <c r="G883" s="142"/>
      <c r="H883" s="98"/>
    </row>
    <row r="884" spans="1:8" ht="12.75" customHeight="1" x14ac:dyDescent="0.15">
      <c r="A884" s="98"/>
      <c r="B884" s="98"/>
      <c r="C884" s="98"/>
      <c r="D884" s="98"/>
      <c r="E884" s="98"/>
      <c r="F884" s="98"/>
      <c r="G884" s="142"/>
      <c r="H884" s="98"/>
    </row>
    <row r="885" spans="1:8" ht="12.75" customHeight="1" x14ac:dyDescent="0.15">
      <c r="A885" s="98"/>
      <c r="B885" s="98"/>
      <c r="C885" s="98"/>
      <c r="D885" s="98"/>
      <c r="E885" s="98"/>
      <c r="F885" s="98"/>
      <c r="G885" s="142"/>
      <c r="H885" s="98"/>
    </row>
    <row r="886" spans="1:8" ht="12.75" customHeight="1" x14ac:dyDescent="0.15">
      <c r="A886" s="98"/>
      <c r="B886" s="98"/>
      <c r="C886" s="98"/>
      <c r="D886" s="98"/>
      <c r="E886" s="98"/>
      <c r="F886" s="98"/>
      <c r="G886" s="142"/>
      <c r="H886" s="98"/>
    </row>
    <row r="887" spans="1:8" ht="12.75" customHeight="1" x14ac:dyDescent="0.15">
      <c r="A887" s="98"/>
      <c r="B887" s="98"/>
      <c r="C887" s="98"/>
      <c r="D887" s="98"/>
      <c r="E887" s="98"/>
      <c r="F887" s="98"/>
      <c r="G887" s="142"/>
      <c r="H887" s="98"/>
    </row>
    <row r="888" spans="1:8" ht="12.75" customHeight="1" x14ac:dyDescent="0.15">
      <c r="A888" s="98"/>
      <c r="B888" s="98"/>
      <c r="C888" s="98"/>
      <c r="D888" s="98"/>
      <c r="E888" s="98"/>
      <c r="F888" s="98"/>
      <c r="G888" s="142"/>
      <c r="H888" s="98"/>
    </row>
    <row r="889" spans="1:8" ht="12.75" customHeight="1" x14ac:dyDescent="0.15">
      <c r="A889" s="98"/>
      <c r="B889" s="98"/>
      <c r="C889" s="98"/>
      <c r="D889" s="98"/>
      <c r="E889" s="98"/>
      <c r="F889" s="98"/>
      <c r="G889" s="142"/>
      <c r="H889" s="98"/>
    </row>
    <row r="890" spans="1:8" ht="12.75" customHeight="1" x14ac:dyDescent="0.15">
      <c r="A890" s="98"/>
      <c r="B890" s="98"/>
      <c r="C890" s="98"/>
      <c r="D890" s="98"/>
      <c r="E890" s="98"/>
      <c r="F890" s="98"/>
      <c r="G890" s="142"/>
      <c r="H890" s="98"/>
    </row>
    <row r="891" spans="1:8" ht="12.75" customHeight="1" x14ac:dyDescent="0.15">
      <c r="A891" s="98"/>
      <c r="B891" s="98"/>
      <c r="C891" s="98"/>
      <c r="D891" s="98"/>
      <c r="E891" s="98"/>
      <c r="F891" s="98"/>
      <c r="G891" s="142"/>
      <c r="H891" s="98"/>
    </row>
    <row r="892" spans="1:8" ht="12.75" customHeight="1" x14ac:dyDescent="0.15">
      <c r="A892" s="98"/>
      <c r="B892" s="98"/>
      <c r="C892" s="98"/>
      <c r="D892" s="98"/>
      <c r="E892" s="98"/>
      <c r="F892" s="98"/>
      <c r="G892" s="142"/>
      <c r="H892" s="98"/>
    </row>
    <row r="893" spans="1:8" ht="12.75" customHeight="1" x14ac:dyDescent="0.15">
      <c r="A893" s="98"/>
      <c r="B893" s="98"/>
      <c r="C893" s="98"/>
      <c r="D893" s="98"/>
      <c r="E893" s="98"/>
      <c r="F893" s="98"/>
      <c r="G893" s="142"/>
      <c r="H893" s="98"/>
    </row>
    <row r="894" spans="1:8" ht="12.75" customHeight="1" x14ac:dyDescent="0.15">
      <c r="A894" s="98"/>
      <c r="B894" s="98"/>
      <c r="C894" s="98"/>
      <c r="D894" s="98"/>
      <c r="E894" s="98"/>
      <c r="F894" s="98"/>
      <c r="G894" s="142"/>
      <c r="H894" s="98"/>
    </row>
    <row r="895" spans="1:8" ht="12.75" customHeight="1" x14ac:dyDescent="0.15">
      <c r="A895" s="98"/>
      <c r="B895" s="98"/>
      <c r="C895" s="98"/>
      <c r="D895" s="98"/>
      <c r="E895" s="98"/>
      <c r="F895" s="98"/>
      <c r="G895" s="142"/>
      <c r="H895" s="98"/>
    </row>
    <row r="896" spans="1:8" ht="12.75" customHeight="1" x14ac:dyDescent="0.15">
      <c r="A896" s="98"/>
      <c r="B896" s="98"/>
      <c r="C896" s="98"/>
      <c r="D896" s="98"/>
      <c r="E896" s="98"/>
      <c r="F896" s="98"/>
      <c r="G896" s="142"/>
      <c r="H896" s="98"/>
    </row>
    <row r="897" spans="1:8" ht="12.75" customHeight="1" x14ac:dyDescent="0.15">
      <c r="A897" s="98"/>
      <c r="B897" s="98"/>
      <c r="C897" s="98"/>
      <c r="D897" s="98"/>
      <c r="E897" s="98"/>
      <c r="F897" s="98"/>
      <c r="G897" s="142"/>
      <c r="H897" s="98"/>
    </row>
    <row r="898" spans="1:8" ht="12.75" customHeight="1" x14ac:dyDescent="0.15">
      <c r="A898" s="98"/>
      <c r="B898" s="98"/>
      <c r="C898" s="98"/>
      <c r="D898" s="98"/>
      <c r="E898" s="98"/>
      <c r="F898" s="98"/>
      <c r="G898" s="142"/>
      <c r="H898" s="98"/>
    </row>
    <row r="899" spans="1:8" ht="12.75" customHeight="1" x14ac:dyDescent="0.15">
      <c r="A899" s="98"/>
      <c r="B899" s="98"/>
      <c r="C899" s="98"/>
      <c r="D899" s="98"/>
      <c r="E899" s="98"/>
      <c r="F899" s="98"/>
      <c r="G899" s="142"/>
      <c r="H899" s="98"/>
    </row>
    <row r="900" spans="1:8" ht="12.75" customHeight="1" x14ac:dyDescent="0.15">
      <c r="A900" s="98"/>
      <c r="B900" s="98"/>
      <c r="C900" s="98"/>
      <c r="D900" s="98"/>
      <c r="E900" s="98"/>
      <c r="F900" s="98"/>
      <c r="G900" s="142"/>
      <c r="H900" s="98"/>
    </row>
    <row r="901" spans="1:8" ht="12.75" customHeight="1" x14ac:dyDescent="0.15">
      <c r="A901" s="98"/>
      <c r="B901" s="98"/>
      <c r="C901" s="98"/>
      <c r="D901" s="98"/>
      <c r="E901" s="98"/>
      <c r="F901" s="98"/>
      <c r="G901" s="142"/>
      <c r="H901" s="98"/>
    </row>
    <row r="902" spans="1:8" ht="12.75" customHeight="1" x14ac:dyDescent="0.15">
      <c r="A902" s="98"/>
      <c r="B902" s="98"/>
      <c r="C902" s="98"/>
      <c r="D902" s="98"/>
      <c r="E902" s="98"/>
      <c r="F902" s="98"/>
      <c r="G902" s="142"/>
      <c r="H902" s="98"/>
    </row>
    <row r="903" spans="1:8" ht="12.75" customHeight="1" x14ac:dyDescent="0.15">
      <c r="A903" s="98"/>
      <c r="B903" s="98"/>
      <c r="C903" s="98"/>
      <c r="D903" s="98"/>
      <c r="E903" s="98"/>
      <c r="F903" s="98"/>
      <c r="G903" s="142"/>
      <c r="H903" s="98"/>
    </row>
    <row r="904" spans="1:8" ht="12.75" customHeight="1" x14ac:dyDescent="0.15">
      <c r="A904" s="98"/>
      <c r="B904" s="98"/>
      <c r="C904" s="98"/>
      <c r="D904" s="98"/>
      <c r="E904" s="98"/>
      <c r="F904" s="98"/>
      <c r="G904" s="142"/>
      <c r="H904" s="98"/>
    </row>
    <row r="905" spans="1:8" ht="12.75" customHeight="1" x14ac:dyDescent="0.15">
      <c r="A905" s="98"/>
      <c r="B905" s="98"/>
      <c r="C905" s="98"/>
      <c r="D905" s="98"/>
      <c r="E905" s="98"/>
      <c r="F905" s="98"/>
      <c r="G905" s="142"/>
      <c r="H905" s="98"/>
    </row>
    <row r="906" spans="1:8" ht="12.75" customHeight="1" x14ac:dyDescent="0.15">
      <c r="A906" s="98"/>
      <c r="B906" s="98"/>
      <c r="C906" s="98"/>
      <c r="D906" s="98"/>
      <c r="E906" s="98"/>
      <c r="F906" s="98"/>
      <c r="G906" s="142"/>
      <c r="H906" s="98"/>
    </row>
    <row r="907" spans="1:8" ht="12.75" customHeight="1" x14ac:dyDescent="0.15">
      <c r="A907" s="98"/>
      <c r="B907" s="98"/>
      <c r="C907" s="98"/>
      <c r="D907" s="98"/>
      <c r="E907" s="98"/>
      <c r="F907" s="98"/>
      <c r="G907" s="142"/>
      <c r="H907" s="98"/>
    </row>
    <row r="908" spans="1:8" ht="12.75" customHeight="1" x14ac:dyDescent="0.15">
      <c r="A908" s="98"/>
      <c r="B908" s="98"/>
      <c r="C908" s="98"/>
      <c r="D908" s="98"/>
      <c r="E908" s="98"/>
      <c r="F908" s="98"/>
      <c r="G908" s="142"/>
      <c r="H908" s="98"/>
    </row>
    <row r="909" spans="1:8" ht="12.75" customHeight="1" x14ac:dyDescent="0.15">
      <c r="A909" s="98"/>
      <c r="B909" s="98"/>
      <c r="C909" s="98"/>
      <c r="D909" s="98"/>
      <c r="E909" s="98"/>
      <c r="F909" s="98"/>
      <c r="G909" s="142"/>
      <c r="H909" s="98"/>
    </row>
    <row r="910" spans="1:8" ht="12.75" customHeight="1" x14ac:dyDescent="0.15">
      <c r="A910" s="98"/>
      <c r="B910" s="98"/>
      <c r="C910" s="98"/>
      <c r="D910" s="98"/>
      <c r="E910" s="98"/>
      <c r="F910" s="98"/>
      <c r="G910" s="142"/>
      <c r="H910" s="98"/>
    </row>
    <row r="911" spans="1:8" ht="12.75" customHeight="1" x14ac:dyDescent="0.15">
      <c r="A911" s="98"/>
      <c r="B911" s="98"/>
      <c r="C911" s="98"/>
      <c r="D911" s="98"/>
      <c r="E911" s="98"/>
      <c r="F911" s="98"/>
      <c r="G911" s="142"/>
      <c r="H911" s="98"/>
    </row>
    <row r="912" spans="1:8" ht="12.75" customHeight="1" x14ac:dyDescent="0.15">
      <c r="A912" s="98"/>
      <c r="B912" s="98"/>
      <c r="C912" s="98"/>
      <c r="D912" s="98"/>
      <c r="E912" s="98"/>
      <c r="F912" s="98"/>
      <c r="G912" s="142"/>
      <c r="H912" s="98"/>
    </row>
    <row r="913" spans="1:8" ht="12.75" customHeight="1" x14ac:dyDescent="0.15">
      <c r="A913" s="98"/>
      <c r="B913" s="98"/>
      <c r="C913" s="98"/>
      <c r="D913" s="98"/>
      <c r="E913" s="98"/>
      <c r="F913" s="98"/>
      <c r="G913" s="142"/>
      <c r="H913" s="98"/>
    </row>
    <row r="914" spans="1:8" ht="12.75" customHeight="1" x14ac:dyDescent="0.15">
      <c r="A914" s="98"/>
      <c r="B914" s="98"/>
      <c r="C914" s="98"/>
      <c r="D914" s="98"/>
      <c r="E914" s="98"/>
      <c r="F914" s="98"/>
      <c r="G914" s="142"/>
      <c r="H914" s="98"/>
    </row>
    <row r="915" spans="1:8" ht="12.75" customHeight="1" x14ac:dyDescent="0.15">
      <c r="A915" s="98"/>
      <c r="B915" s="98"/>
      <c r="C915" s="98"/>
      <c r="D915" s="98"/>
      <c r="E915" s="98"/>
      <c r="F915" s="98"/>
      <c r="G915" s="142"/>
      <c r="H915" s="98"/>
    </row>
    <row r="916" spans="1:8" ht="12.75" customHeight="1" x14ac:dyDescent="0.15">
      <c r="A916" s="98"/>
      <c r="B916" s="98"/>
      <c r="C916" s="98"/>
      <c r="D916" s="98"/>
      <c r="E916" s="98"/>
      <c r="F916" s="98"/>
      <c r="G916" s="142"/>
      <c r="H916" s="98"/>
    </row>
    <row r="917" spans="1:8" ht="12.75" customHeight="1" x14ac:dyDescent="0.15">
      <c r="A917" s="98"/>
      <c r="B917" s="98"/>
      <c r="C917" s="98"/>
      <c r="D917" s="98"/>
      <c r="E917" s="98"/>
      <c r="F917" s="98"/>
      <c r="G917" s="142"/>
      <c r="H917" s="98"/>
    </row>
    <row r="918" spans="1:8" ht="12.75" customHeight="1" x14ac:dyDescent="0.15">
      <c r="A918" s="98"/>
      <c r="B918" s="98"/>
      <c r="C918" s="98"/>
      <c r="D918" s="98"/>
      <c r="E918" s="98"/>
      <c r="F918" s="98"/>
      <c r="G918" s="142"/>
      <c r="H918" s="98"/>
    </row>
    <row r="919" spans="1:8" ht="12.75" customHeight="1" x14ac:dyDescent="0.15">
      <c r="A919" s="98"/>
      <c r="B919" s="98"/>
      <c r="C919" s="98"/>
      <c r="D919" s="98"/>
      <c r="E919" s="98"/>
      <c r="F919" s="98"/>
      <c r="G919" s="142"/>
      <c r="H919" s="98"/>
    </row>
    <row r="920" spans="1:8" ht="12.75" customHeight="1" x14ac:dyDescent="0.15">
      <c r="A920" s="98"/>
      <c r="B920" s="98"/>
      <c r="C920" s="98"/>
      <c r="D920" s="98"/>
      <c r="E920" s="98"/>
      <c r="F920" s="98"/>
      <c r="G920" s="142"/>
      <c r="H920" s="98"/>
    </row>
    <row r="921" spans="1:8" ht="12.75" customHeight="1" x14ac:dyDescent="0.15">
      <c r="A921" s="98"/>
      <c r="B921" s="98"/>
      <c r="C921" s="98"/>
      <c r="D921" s="98"/>
      <c r="E921" s="98"/>
      <c r="F921" s="98"/>
      <c r="G921" s="142"/>
      <c r="H921" s="98"/>
    </row>
    <row r="922" spans="1:8" ht="12.75" customHeight="1" x14ac:dyDescent="0.15">
      <c r="A922" s="98"/>
      <c r="B922" s="98"/>
      <c r="C922" s="98"/>
      <c r="D922" s="98"/>
      <c r="E922" s="98"/>
      <c r="F922" s="98"/>
      <c r="G922" s="142"/>
      <c r="H922" s="98"/>
    </row>
    <row r="923" spans="1:8" ht="12.75" customHeight="1" x14ac:dyDescent="0.15">
      <c r="A923" s="98"/>
      <c r="B923" s="98"/>
      <c r="C923" s="98"/>
      <c r="D923" s="98"/>
      <c r="E923" s="98"/>
      <c r="F923" s="98"/>
      <c r="G923" s="142"/>
      <c r="H923" s="98"/>
    </row>
    <row r="924" spans="1:8" ht="12.75" customHeight="1" x14ac:dyDescent="0.15">
      <c r="A924" s="98"/>
      <c r="B924" s="98"/>
      <c r="C924" s="98"/>
      <c r="D924" s="98"/>
      <c r="E924" s="98"/>
      <c r="F924" s="98"/>
      <c r="G924" s="142"/>
      <c r="H924" s="98"/>
    </row>
    <row r="925" spans="1:8" ht="12.75" customHeight="1" x14ac:dyDescent="0.15">
      <c r="A925" s="98"/>
      <c r="B925" s="98"/>
      <c r="C925" s="98"/>
      <c r="D925" s="98"/>
      <c r="E925" s="98"/>
      <c r="F925" s="98"/>
      <c r="G925" s="142"/>
      <c r="H925" s="98"/>
    </row>
    <row r="926" spans="1:8" ht="12.75" customHeight="1" x14ac:dyDescent="0.15">
      <c r="A926" s="98"/>
      <c r="B926" s="98"/>
      <c r="C926" s="98"/>
      <c r="D926" s="98"/>
      <c r="E926" s="98"/>
      <c r="F926" s="98"/>
      <c r="G926" s="142"/>
      <c r="H926" s="98"/>
    </row>
    <row r="927" spans="1:8" ht="12.75" customHeight="1" x14ac:dyDescent="0.15">
      <c r="A927" s="98"/>
      <c r="B927" s="98"/>
      <c r="C927" s="98"/>
      <c r="D927" s="98"/>
      <c r="E927" s="98"/>
      <c r="F927" s="98"/>
      <c r="G927" s="142"/>
      <c r="H927" s="98"/>
    </row>
    <row r="928" spans="1:8" ht="12.75" customHeight="1" x14ac:dyDescent="0.15">
      <c r="A928" s="98"/>
      <c r="B928" s="98"/>
      <c r="C928" s="98"/>
      <c r="D928" s="98"/>
      <c r="E928" s="98"/>
      <c r="F928" s="98"/>
      <c r="G928" s="142"/>
      <c r="H928" s="98"/>
    </row>
    <row r="929" spans="1:8" ht="12.75" customHeight="1" x14ac:dyDescent="0.15">
      <c r="A929" s="98"/>
      <c r="B929" s="98"/>
      <c r="C929" s="98"/>
      <c r="D929" s="98"/>
      <c r="E929" s="98"/>
      <c r="F929" s="98"/>
      <c r="G929" s="142"/>
      <c r="H929" s="98"/>
    </row>
    <row r="930" spans="1:8" ht="12.75" customHeight="1" x14ac:dyDescent="0.15">
      <c r="A930" s="98"/>
      <c r="B930" s="98"/>
      <c r="C930" s="98"/>
      <c r="D930" s="98"/>
      <c r="E930" s="98"/>
      <c r="F930" s="98"/>
      <c r="G930" s="142"/>
      <c r="H930" s="98"/>
    </row>
    <row r="931" spans="1:8" ht="12.75" customHeight="1" x14ac:dyDescent="0.15">
      <c r="A931" s="98"/>
      <c r="B931" s="98"/>
      <c r="C931" s="98"/>
      <c r="D931" s="98"/>
      <c r="E931" s="98"/>
      <c r="F931" s="98"/>
      <c r="G931" s="142"/>
      <c r="H931" s="98"/>
    </row>
    <row r="932" spans="1:8" ht="12.75" customHeight="1" x14ac:dyDescent="0.15">
      <c r="A932" s="98"/>
      <c r="B932" s="98"/>
      <c r="C932" s="98"/>
      <c r="D932" s="98"/>
      <c r="E932" s="98"/>
      <c r="F932" s="98"/>
      <c r="G932" s="142"/>
      <c r="H932" s="98"/>
    </row>
    <row r="933" spans="1:8" ht="12.75" customHeight="1" x14ac:dyDescent="0.15">
      <c r="A933" s="98"/>
      <c r="B933" s="98"/>
      <c r="C933" s="98"/>
      <c r="D933" s="98"/>
      <c r="E933" s="98"/>
      <c r="F933" s="98"/>
      <c r="G933" s="142"/>
      <c r="H933" s="98"/>
    </row>
    <row r="934" spans="1:8" ht="12.75" customHeight="1" x14ac:dyDescent="0.15">
      <c r="A934" s="98"/>
      <c r="B934" s="98"/>
      <c r="C934" s="98"/>
      <c r="D934" s="98"/>
      <c r="E934" s="98"/>
      <c r="F934" s="98"/>
      <c r="G934" s="142"/>
      <c r="H934" s="98"/>
    </row>
    <row r="935" spans="1:8" ht="12.75" customHeight="1" x14ac:dyDescent="0.15">
      <c r="A935" s="98"/>
      <c r="B935" s="98"/>
      <c r="C935" s="98"/>
      <c r="D935" s="98"/>
      <c r="E935" s="98"/>
      <c r="F935" s="98"/>
      <c r="G935" s="142"/>
      <c r="H935" s="98"/>
    </row>
    <row r="936" spans="1:8" ht="12.75" customHeight="1" x14ac:dyDescent="0.15">
      <c r="A936" s="98"/>
      <c r="B936" s="98"/>
      <c r="C936" s="98"/>
      <c r="D936" s="98"/>
      <c r="E936" s="98"/>
      <c r="F936" s="98"/>
      <c r="G936" s="142"/>
      <c r="H936" s="98"/>
    </row>
    <row r="937" spans="1:8" ht="12.75" customHeight="1" x14ac:dyDescent="0.15">
      <c r="A937" s="98"/>
      <c r="B937" s="98"/>
      <c r="C937" s="98"/>
      <c r="D937" s="98"/>
      <c r="E937" s="98"/>
      <c r="F937" s="98"/>
      <c r="G937" s="142"/>
      <c r="H937" s="98"/>
    </row>
    <row r="938" spans="1:8" ht="12.75" customHeight="1" x14ac:dyDescent="0.15">
      <c r="A938" s="98"/>
      <c r="B938" s="98"/>
      <c r="C938" s="98"/>
      <c r="D938" s="98"/>
      <c r="E938" s="98"/>
      <c r="F938" s="98"/>
      <c r="G938" s="142"/>
      <c r="H938" s="98"/>
    </row>
    <row r="939" spans="1:8" ht="12.75" customHeight="1" x14ac:dyDescent="0.15">
      <c r="A939" s="98"/>
      <c r="B939" s="98"/>
      <c r="C939" s="98"/>
      <c r="D939" s="98"/>
      <c r="E939" s="98"/>
      <c r="F939" s="98"/>
      <c r="G939" s="142"/>
      <c r="H939" s="98"/>
    </row>
    <row r="940" spans="1:8" ht="12.75" customHeight="1" x14ac:dyDescent="0.15">
      <c r="A940" s="98"/>
      <c r="B940" s="98"/>
      <c r="C940" s="98"/>
      <c r="D940" s="98"/>
      <c r="E940" s="98"/>
      <c r="F940" s="98"/>
      <c r="G940" s="142"/>
      <c r="H940" s="98"/>
    </row>
    <row r="941" spans="1:8" ht="12.75" customHeight="1" x14ac:dyDescent="0.15">
      <c r="A941" s="98"/>
      <c r="B941" s="98"/>
      <c r="C941" s="98"/>
      <c r="D941" s="98"/>
      <c r="E941" s="98"/>
      <c r="F941" s="98"/>
      <c r="G941" s="142"/>
      <c r="H941" s="98"/>
    </row>
    <row r="942" spans="1:8" ht="12.75" customHeight="1" x14ac:dyDescent="0.15">
      <c r="A942" s="98"/>
      <c r="B942" s="98"/>
      <c r="C942" s="98"/>
      <c r="D942" s="98"/>
      <c r="E942" s="98"/>
      <c r="F942" s="98"/>
      <c r="G942" s="142"/>
      <c r="H942" s="98"/>
    </row>
    <row r="943" spans="1:8" ht="12.75" customHeight="1" x14ac:dyDescent="0.15">
      <c r="A943" s="98"/>
      <c r="B943" s="98"/>
      <c r="C943" s="98"/>
      <c r="D943" s="98"/>
      <c r="E943" s="98"/>
      <c r="F943" s="98"/>
      <c r="G943" s="142"/>
      <c r="H943" s="98"/>
    </row>
    <row r="944" spans="1:8" ht="12.75" customHeight="1" x14ac:dyDescent="0.15">
      <c r="A944" s="98"/>
      <c r="B944" s="98"/>
      <c r="C944" s="98"/>
      <c r="D944" s="98"/>
      <c r="E944" s="98"/>
      <c r="F944" s="98"/>
      <c r="G944" s="142"/>
      <c r="H944" s="98"/>
    </row>
    <row r="945" spans="1:8" ht="12.75" customHeight="1" x14ac:dyDescent="0.15">
      <c r="A945" s="98"/>
      <c r="B945" s="98"/>
      <c r="C945" s="98"/>
      <c r="D945" s="98"/>
      <c r="E945" s="98"/>
      <c r="F945" s="98"/>
      <c r="G945" s="142"/>
      <c r="H945" s="98"/>
    </row>
    <row r="946" spans="1:8" ht="12.75" customHeight="1" x14ac:dyDescent="0.15">
      <c r="A946" s="98"/>
      <c r="B946" s="98"/>
      <c r="C946" s="98"/>
      <c r="D946" s="98"/>
      <c r="E946" s="98"/>
      <c r="F946" s="98"/>
      <c r="G946" s="142"/>
      <c r="H946" s="98"/>
    </row>
    <row r="947" spans="1:8" ht="12.75" customHeight="1" x14ac:dyDescent="0.15">
      <c r="A947" s="98"/>
      <c r="B947" s="98"/>
      <c r="C947" s="98"/>
      <c r="D947" s="98"/>
      <c r="E947" s="98"/>
      <c r="F947" s="98"/>
      <c r="G947" s="142"/>
      <c r="H947" s="98"/>
    </row>
    <row r="948" spans="1:8" ht="12.75" customHeight="1" x14ac:dyDescent="0.15">
      <c r="A948" s="98"/>
      <c r="B948" s="98"/>
      <c r="C948" s="98"/>
      <c r="D948" s="98"/>
      <c r="E948" s="98"/>
      <c r="F948" s="98"/>
      <c r="G948" s="142"/>
      <c r="H948" s="98"/>
    </row>
    <row r="949" spans="1:8" ht="12.75" customHeight="1" x14ac:dyDescent="0.15">
      <c r="A949" s="98"/>
      <c r="B949" s="98"/>
      <c r="C949" s="98"/>
      <c r="D949" s="98"/>
      <c r="E949" s="98"/>
      <c r="F949" s="98"/>
      <c r="G949" s="142"/>
      <c r="H949" s="98"/>
    </row>
    <row r="950" spans="1:8" ht="12.75" customHeight="1" x14ac:dyDescent="0.15">
      <c r="A950" s="98"/>
      <c r="B950" s="98"/>
      <c r="C950" s="98"/>
      <c r="D950" s="98"/>
      <c r="E950" s="98"/>
      <c r="F950" s="98"/>
      <c r="G950" s="142"/>
      <c r="H950" s="98"/>
    </row>
    <row r="951" spans="1:8" ht="12.75" customHeight="1" x14ac:dyDescent="0.15">
      <c r="A951" s="98"/>
      <c r="B951" s="98"/>
      <c r="C951" s="98"/>
      <c r="D951" s="98"/>
      <c r="E951" s="98"/>
      <c r="F951" s="98"/>
      <c r="G951" s="142"/>
      <c r="H951" s="98"/>
    </row>
    <row r="952" spans="1:8" ht="12.75" customHeight="1" x14ac:dyDescent="0.15">
      <c r="A952" s="98"/>
      <c r="B952" s="98"/>
      <c r="C952" s="98"/>
      <c r="D952" s="98"/>
      <c r="E952" s="98"/>
      <c r="F952" s="98"/>
      <c r="G952" s="142"/>
      <c r="H952" s="98"/>
    </row>
    <row r="953" spans="1:8" ht="12.75" customHeight="1" x14ac:dyDescent="0.15">
      <c r="A953" s="98"/>
      <c r="B953" s="98"/>
      <c r="C953" s="98"/>
      <c r="D953" s="98"/>
      <c r="E953" s="98"/>
      <c r="F953" s="98"/>
      <c r="G953" s="142"/>
      <c r="H953" s="98"/>
    </row>
    <row r="954" spans="1:8" ht="12.75" customHeight="1" x14ac:dyDescent="0.15">
      <c r="A954" s="98"/>
      <c r="B954" s="98"/>
      <c r="C954" s="98"/>
      <c r="D954" s="98"/>
      <c r="E954" s="98"/>
      <c r="F954" s="98"/>
      <c r="G954" s="142"/>
      <c r="H954" s="98"/>
    </row>
    <row r="955" spans="1:8" ht="12.75" customHeight="1" x14ac:dyDescent="0.15">
      <c r="A955" s="98"/>
      <c r="B955" s="98"/>
      <c r="C955" s="98"/>
      <c r="D955" s="98"/>
      <c r="E955" s="98"/>
      <c r="F955" s="98"/>
      <c r="G955" s="142"/>
      <c r="H955" s="98"/>
    </row>
    <row r="956" spans="1:8" ht="12.75" customHeight="1" x14ac:dyDescent="0.15">
      <c r="A956" s="98"/>
      <c r="B956" s="98"/>
      <c r="C956" s="98"/>
      <c r="D956" s="98"/>
      <c r="E956" s="98"/>
      <c r="F956" s="98"/>
      <c r="G956" s="142"/>
      <c r="H956" s="98"/>
    </row>
    <row r="957" spans="1:8" ht="12.75" customHeight="1" x14ac:dyDescent="0.15">
      <c r="A957" s="98"/>
      <c r="B957" s="98"/>
      <c r="C957" s="98"/>
      <c r="D957" s="98"/>
      <c r="E957" s="98"/>
      <c r="F957" s="98"/>
      <c r="G957" s="142"/>
      <c r="H957" s="98"/>
    </row>
    <row r="958" spans="1:8" ht="12.75" customHeight="1" x14ac:dyDescent="0.15">
      <c r="A958" s="98"/>
      <c r="B958" s="98"/>
      <c r="C958" s="98"/>
      <c r="D958" s="98"/>
      <c r="E958" s="98"/>
      <c r="F958" s="98"/>
      <c r="G958" s="142"/>
      <c r="H958" s="98"/>
    </row>
    <row r="959" spans="1:8" ht="12.75" customHeight="1" x14ac:dyDescent="0.15">
      <c r="A959" s="98"/>
      <c r="B959" s="98"/>
      <c r="C959" s="98"/>
      <c r="D959" s="98"/>
      <c r="E959" s="98"/>
      <c r="F959" s="98"/>
      <c r="G959" s="142"/>
      <c r="H959" s="98"/>
    </row>
    <row r="960" spans="1:8" ht="12.75" customHeight="1" x14ac:dyDescent="0.15">
      <c r="A960" s="98"/>
      <c r="B960" s="98"/>
      <c r="C960" s="98"/>
      <c r="D960" s="98"/>
      <c r="E960" s="98"/>
      <c r="F960" s="98"/>
      <c r="G960" s="142"/>
      <c r="H960" s="98"/>
    </row>
    <row r="961" spans="1:8" ht="12.75" customHeight="1" x14ac:dyDescent="0.15">
      <c r="A961" s="98"/>
      <c r="B961" s="98"/>
      <c r="C961" s="98"/>
      <c r="D961" s="98"/>
      <c r="E961" s="98"/>
      <c r="F961" s="98"/>
      <c r="G961" s="142"/>
      <c r="H961" s="98"/>
    </row>
    <row r="962" spans="1:8" ht="12.75" customHeight="1" x14ac:dyDescent="0.15">
      <c r="A962" s="98"/>
      <c r="B962" s="98"/>
      <c r="C962" s="98"/>
      <c r="D962" s="98"/>
      <c r="E962" s="98"/>
      <c r="F962" s="98"/>
      <c r="G962" s="142"/>
      <c r="H962" s="98"/>
    </row>
    <row r="963" spans="1:8" ht="12.75" customHeight="1" x14ac:dyDescent="0.15">
      <c r="A963" s="98"/>
      <c r="B963" s="98"/>
      <c r="C963" s="98"/>
      <c r="D963" s="98"/>
      <c r="E963" s="98"/>
      <c r="F963" s="98"/>
      <c r="G963" s="142"/>
      <c r="H963" s="98"/>
    </row>
    <row r="964" spans="1:8" ht="12.75" customHeight="1" x14ac:dyDescent="0.15">
      <c r="A964" s="98"/>
      <c r="B964" s="98"/>
      <c r="C964" s="98"/>
      <c r="D964" s="98"/>
      <c r="E964" s="98"/>
      <c r="F964" s="98"/>
      <c r="G964" s="142"/>
      <c r="H964" s="98"/>
    </row>
    <row r="965" spans="1:8" ht="12.75" customHeight="1" x14ac:dyDescent="0.15">
      <c r="A965" s="98"/>
      <c r="B965" s="98"/>
      <c r="C965" s="98"/>
      <c r="D965" s="98"/>
      <c r="E965" s="98"/>
      <c r="F965" s="98"/>
      <c r="G965" s="142"/>
      <c r="H965" s="98"/>
    </row>
    <row r="966" spans="1:8" ht="12.75" customHeight="1" x14ac:dyDescent="0.15">
      <c r="A966" s="98"/>
      <c r="B966" s="98"/>
      <c r="C966" s="98"/>
      <c r="D966" s="98"/>
      <c r="E966" s="98"/>
      <c r="F966" s="98"/>
      <c r="G966" s="142"/>
      <c r="H966" s="98"/>
    </row>
    <row r="967" spans="1:8" ht="12.75" customHeight="1" x14ac:dyDescent="0.15">
      <c r="A967" s="98"/>
      <c r="B967" s="98"/>
      <c r="C967" s="98"/>
      <c r="D967" s="98"/>
      <c r="E967" s="98"/>
      <c r="F967" s="98"/>
      <c r="G967" s="142"/>
      <c r="H967" s="98"/>
    </row>
    <row r="968" spans="1:8" ht="12.75" customHeight="1" x14ac:dyDescent="0.15">
      <c r="A968" s="98"/>
      <c r="B968" s="98"/>
      <c r="C968" s="98"/>
      <c r="D968" s="98"/>
      <c r="E968" s="98"/>
      <c r="F968" s="98"/>
      <c r="G968" s="142"/>
      <c r="H968" s="98"/>
    </row>
    <row r="969" spans="1:8" ht="12.75" customHeight="1" x14ac:dyDescent="0.15">
      <c r="A969" s="98"/>
      <c r="B969" s="98"/>
      <c r="C969" s="98"/>
      <c r="D969" s="98"/>
      <c r="E969" s="98"/>
      <c r="F969" s="98"/>
      <c r="G969" s="142"/>
      <c r="H969" s="98"/>
    </row>
    <row r="970" spans="1:8" ht="12.75" customHeight="1" x14ac:dyDescent="0.15">
      <c r="A970" s="98"/>
      <c r="B970" s="98"/>
      <c r="C970" s="98"/>
      <c r="D970" s="98"/>
      <c r="E970" s="98"/>
      <c r="F970" s="98"/>
      <c r="G970" s="142"/>
      <c r="H970" s="98"/>
    </row>
    <row r="971" spans="1:8" ht="12.75" customHeight="1" x14ac:dyDescent="0.15">
      <c r="A971" s="98"/>
      <c r="B971" s="98"/>
      <c r="C971" s="98"/>
      <c r="D971" s="98"/>
      <c r="E971" s="98"/>
      <c r="F971" s="98"/>
      <c r="G971" s="142"/>
      <c r="H971" s="98"/>
    </row>
    <row r="972" spans="1:8" ht="12.75" customHeight="1" x14ac:dyDescent="0.15">
      <c r="A972" s="98"/>
      <c r="B972" s="98"/>
      <c r="C972" s="98"/>
      <c r="D972" s="98"/>
      <c r="E972" s="98"/>
      <c r="F972" s="98"/>
      <c r="G972" s="142"/>
      <c r="H972" s="98"/>
    </row>
    <row r="973" spans="1:8" ht="12.75" customHeight="1" x14ac:dyDescent="0.15">
      <c r="A973" s="98"/>
      <c r="B973" s="98"/>
      <c r="C973" s="98"/>
      <c r="D973" s="98"/>
      <c r="E973" s="98"/>
      <c r="F973" s="98"/>
      <c r="G973" s="142"/>
      <c r="H973" s="98"/>
    </row>
    <row r="974" spans="1:8" ht="12.75" customHeight="1" x14ac:dyDescent="0.15">
      <c r="A974" s="98"/>
      <c r="B974" s="98"/>
      <c r="C974" s="98"/>
      <c r="D974" s="98"/>
      <c r="E974" s="98"/>
      <c r="F974" s="98"/>
      <c r="G974" s="142"/>
      <c r="H974" s="98"/>
    </row>
    <row r="975" spans="1:8" ht="12.75" customHeight="1" x14ac:dyDescent="0.15">
      <c r="A975" s="98"/>
      <c r="B975" s="98"/>
      <c r="C975" s="98"/>
      <c r="D975" s="98"/>
      <c r="E975" s="98"/>
      <c r="F975" s="98"/>
      <c r="G975" s="142"/>
      <c r="H975" s="98"/>
    </row>
    <row r="976" spans="1:8" ht="12.75" customHeight="1" x14ac:dyDescent="0.15">
      <c r="A976" s="98"/>
      <c r="B976" s="98"/>
      <c r="C976" s="98"/>
      <c r="D976" s="98"/>
      <c r="E976" s="98"/>
      <c r="F976" s="98"/>
      <c r="G976" s="142"/>
      <c r="H976" s="98"/>
    </row>
    <row r="977" spans="1:8" ht="12.75" customHeight="1" x14ac:dyDescent="0.15">
      <c r="A977" s="98"/>
      <c r="B977" s="98"/>
      <c r="C977" s="98"/>
      <c r="D977" s="98"/>
      <c r="E977" s="98"/>
      <c r="F977" s="98"/>
      <c r="G977" s="142"/>
      <c r="H977" s="98"/>
    </row>
    <row r="978" spans="1:8" ht="12.75" customHeight="1" x14ac:dyDescent="0.15">
      <c r="A978" s="98"/>
      <c r="B978" s="98"/>
      <c r="C978" s="98"/>
      <c r="D978" s="98"/>
      <c r="E978" s="98"/>
      <c r="F978" s="98"/>
      <c r="G978" s="142"/>
      <c r="H978" s="98"/>
    </row>
    <row r="979" spans="1:8" ht="12.75" customHeight="1" x14ac:dyDescent="0.15">
      <c r="A979" s="98"/>
      <c r="B979" s="98"/>
      <c r="C979" s="98"/>
      <c r="D979" s="98"/>
      <c r="E979" s="98"/>
      <c r="F979" s="98"/>
      <c r="G979" s="142"/>
      <c r="H979" s="98"/>
    </row>
    <row r="980" spans="1:8" ht="12.75" customHeight="1" x14ac:dyDescent="0.15">
      <c r="A980" s="98"/>
      <c r="B980" s="98"/>
      <c r="C980" s="98"/>
      <c r="D980" s="98"/>
      <c r="E980" s="98"/>
      <c r="F980" s="98"/>
      <c r="G980" s="142"/>
      <c r="H980" s="98"/>
    </row>
    <row r="981" spans="1:8" ht="12.75" customHeight="1" x14ac:dyDescent="0.15">
      <c r="A981" s="98"/>
      <c r="B981" s="98"/>
      <c r="C981" s="98"/>
      <c r="D981" s="98"/>
      <c r="E981" s="98"/>
      <c r="F981" s="98"/>
      <c r="G981" s="142"/>
      <c r="H981" s="98"/>
    </row>
    <row r="982" spans="1:8" ht="12.75" customHeight="1" x14ac:dyDescent="0.15">
      <c r="A982" s="98"/>
      <c r="B982" s="98"/>
      <c r="C982" s="98"/>
      <c r="D982" s="98"/>
      <c r="E982" s="98"/>
      <c r="F982" s="98"/>
      <c r="G982" s="142"/>
      <c r="H982" s="98"/>
    </row>
    <row r="983" spans="1:8" ht="12.75" customHeight="1" x14ac:dyDescent="0.15">
      <c r="A983" s="98"/>
      <c r="B983" s="98"/>
      <c r="C983" s="98"/>
      <c r="D983" s="98"/>
      <c r="E983" s="98"/>
      <c r="F983" s="98"/>
      <c r="G983" s="142"/>
      <c r="H983" s="98"/>
    </row>
    <row r="984" spans="1:8" ht="12.75" customHeight="1" x14ac:dyDescent="0.15">
      <c r="A984" s="98"/>
      <c r="B984" s="98"/>
      <c r="C984" s="98"/>
      <c r="D984" s="98"/>
      <c r="E984" s="98"/>
      <c r="F984" s="98"/>
      <c r="G984" s="142"/>
      <c r="H984" s="98"/>
    </row>
    <row r="985" spans="1:8" ht="12.75" customHeight="1" x14ac:dyDescent="0.15">
      <c r="A985" s="98"/>
      <c r="B985" s="98"/>
      <c r="C985" s="98"/>
      <c r="D985" s="98"/>
      <c r="E985" s="98"/>
      <c r="F985" s="98"/>
      <c r="G985" s="142"/>
      <c r="H985" s="98"/>
    </row>
    <row r="986" spans="1:8" ht="12.75" customHeight="1" x14ac:dyDescent="0.15">
      <c r="A986" s="98"/>
      <c r="B986" s="98"/>
      <c r="C986" s="98"/>
      <c r="D986" s="98"/>
      <c r="E986" s="98"/>
      <c r="F986" s="98"/>
      <c r="G986" s="142"/>
      <c r="H986" s="98"/>
    </row>
    <row r="987" spans="1:8" ht="12.75" customHeight="1" x14ac:dyDescent="0.15">
      <c r="A987" s="98"/>
      <c r="B987" s="98"/>
      <c r="C987" s="98"/>
      <c r="D987" s="98"/>
      <c r="E987" s="98"/>
      <c r="F987" s="98"/>
      <c r="G987" s="142"/>
      <c r="H987" s="98"/>
    </row>
    <row r="988" spans="1:8" ht="12.75" customHeight="1" x14ac:dyDescent="0.15">
      <c r="A988" s="98"/>
      <c r="B988" s="98"/>
      <c r="C988" s="98"/>
      <c r="D988" s="98"/>
      <c r="E988" s="98"/>
      <c r="F988" s="98"/>
      <c r="G988" s="142"/>
      <c r="H988" s="98"/>
    </row>
    <row r="989" spans="1:8" ht="12.75" customHeight="1" x14ac:dyDescent="0.15">
      <c r="A989" s="98"/>
      <c r="B989" s="98"/>
      <c r="C989" s="98"/>
      <c r="D989" s="98"/>
      <c r="E989" s="98"/>
      <c r="F989" s="98"/>
      <c r="G989" s="142"/>
      <c r="H989" s="98"/>
    </row>
    <row r="990" spans="1:8" ht="12.75" customHeight="1" x14ac:dyDescent="0.15">
      <c r="A990" s="98"/>
      <c r="B990" s="98"/>
      <c r="C990" s="98"/>
      <c r="D990" s="98"/>
      <c r="E990" s="98"/>
      <c r="F990" s="98"/>
      <c r="G990" s="142"/>
      <c r="H990" s="98"/>
    </row>
    <row r="991" spans="1:8" ht="12.75" customHeight="1" x14ac:dyDescent="0.15">
      <c r="A991" s="98"/>
      <c r="B991" s="98"/>
      <c r="C991" s="98"/>
      <c r="D991" s="98"/>
      <c r="E991" s="98"/>
      <c r="F991" s="98"/>
      <c r="G991" s="142"/>
      <c r="H991" s="98"/>
    </row>
    <row r="992" spans="1:8" ht="12.75" customHeight="1" x14ac:dyDescent="0.15">
      <c r="A992" s="98"/>
      <c r="B992" s="98"/>
      <c r="C992" s="98"/>
      <c r="D992" s="98"/>
      <c r="E992" s="98"/>
      <c r="F992" s="98"/>
      <c r="G992" s="142"/>
      <c r="H992" s="98"/>
    </row>
    <row r="993" spans="1:8" ht="12.75" customHeight="1" x14ac:dyDescent="0.15">
      <c r="A993" s="98"/>
      <c r="B993" s="98"/>
      <c r="C993" s="98"/>
      <c r="D993" s="98"/>
      <c r="E993" s="98"/>
      <c r="F993" s="98"/>
      <c r="G993" s="142"/>
      <c r="H993" s="98"/>
    </row>
    <row r="994" spans="1:8" ht="12.75" customHeight="1" x14ac:dyDescent="0.15">
      <c r="A994" s="98"/>
      <c r="B994" s="98"/>
      <c r="C994" s="98"/>
      <c r="D994" s="98"/>
      <c r="E994" s="98"/>
      <c r="F994" s="98"/>
      <c r="G994" s="142"/>
      <c r="H994" s="98"/>
    </row>
    <row r="995" spans="1:8" ht="12.75" customHeight="1" x14ac:dyDescent="0.15">
      <c r="A995" s="98"/>
      <c r="B995" s="98"/>
      <c r="C995" s="98"/>
      <c r="D995" s="98"/>
      <c r="E995" s="98"/>
      <c r="F995" s="98"/>
      <c r="G995" s="142"/>
      <c r="H995" s="98"/>
    </row>
    <row r="996" spans="1:8" ht="12.75" customHeight="1" x14ac:dyDescent="0.15">
      <c r="A996" s="98"/>
      <c r="B996" s="98"/>
      <c r="C996" s="98"/>
      <c r="D996" s="98"/>
      <c r="E996" s="98"/>
      <c r="F996" s="98"/>
      <c r="G996" s="142"/>
      <c r="H996" s="98"/>
    </row>
    <row r="997" spans="1:8" ht="12.75" customHeight="1" x14ac:dyDescent="0.15">
      <c r="A997" s="98"/>
      <c r="B997" s="98"/>
      <c r="C997" s="98"/>
      <c r="D997" s="98"/>
      <c r="E997" s="98"/>
      <c r="F997" s="98"/>
      <c r="G997" s="142"/>
      <c r="H997" s="98"/>
    </row>
    <row r="998" spans="1:8" ht="12.75" customHeight="1" x14ac:dyDescent="0.15">
      <c r="A998" s="98"/>
      <c r="B998" s="98"/>
      <c r="C998" s="98"/>
      <c r="D998" s="98"/>
      <c r="E998" s="98"/>
      <c r="F998" s="98"/>
      <c r="G998" s="142"/>
      <c r="H998" s="98"/>
    </row>
    <row r="999" spans="1:8" ht="12.75" customHeight="1" x14ac:dyDescent="0.15">
      <c r="A999" s="98"/>
      <c r="B999" s="98"/>
      <c r="C999" s="98"/>
      <c r="D999" s="98"/>
      <c r="E999" s="98"/>
      <c r="F999" s="98"/>
      <c r="G999" s="142"/>
      <c r="H999" s="98"/>
    </row>
    <row r="1000" spans="1:8" ht="12.75" customHeight="1" x14ac:dyDescent="0.15">
      <c r="A1000" s="98"/>
      <c r="B1000" s="98"/>
      <c r="C1000" s="98"/>
      <c r="D1000" s="98"/>
      <c r="E1000" s="98"/>
      <c r="F1000" s="98"/>
      <c r="G1000" s="142"/>
      <c r="H1000" s="98"/>
    </row>
    <row r="1001" spans="1:8" ht="12.75" customHeight="1" x14ac:dyDescent="0.15">
      <c r="A1001" s="98"/>
      <c r="B1001" s="98"/>
      <c r="C1001" s="98"/>
      <c r="D1001" s="98"/>
      <c r="E1001" s="98"/>
      <c r="F1001" s="98"/>
      <c r="G1001" s="142"/>
      <c r="H1001" s="98"/>
    </row>
    <row r="1002" spans="1:8" ht="12.75" customHeight="1" x14ac:dyDescent="0.15">
      <c r="A1002" s="98"/>
      <c r="B1002" s="98"/>
      <c r="C1002" s="98"/>
      <c r="D1002" s="98"/>
      <c r="E1002" s="98"/>
      <c r="F1002" s="98"/>
      <c r="G1002" s="142"/>
      <c r="H1002" s="98"/>
    </row>
    <row r="1003" spans="1:8" ht="12.75" customHeight="1" x14ac:dyDescent="0.15">
      <c r="A1003" s="98"/>
      <c r="B1003" s="98"/>
      <c r="C1003" s="98"/>
      <c r="D1003" s="98"/>
      <c r="E1003" s="98"/>
      <c r="F1003" s="98"/>
      <c r="G1003" s="142"/>
      <c r="H1003" s="98"/>
    </row>
    <row r="1004" spans="1:8" ht="12.75" customHeight="1" x14ac:dyDescent="0.15">
      <c r="A1004" s="98"/>
      <c r="B1004" s="98"/>
      <c r="C1004" s="98"/>
      <c r="D1004" s="98"/>
      <c r="E1004" s="98"/>
      <c r="F1004" s="98"/>
      <c r="G1004" s="142"/>
      <c r="H1004" s="98"/>
    </row>
    <row r="1005" spans="1:8" ht="12.75" customHeight="1" x14ac:dyDescent="0.15">
      <c r="A1005" s="98"/>
      <c r="B1005" s="98"/>
      <c r="C1005" s="98"/>
      <c r="D1005" s="98"/>
      <c r="E1005" s="98"/>
      <c r="F1005" s="98"/>
      <c r="G1005" s="142"/>
      <c r="H1005" s="98"/>
    </row>
    <row r="1006" spans="1:8" ht="12.75" customHeight="1" x14ac:dyDescent="0.15">
      <c r="A1006" s="98"/>
      <c r="B1006" s="98"/>
      <c r="C1006" s="98"/>
      <c r="D1006" s="98"/>
      <c r="E1006" s="98"/>
      <c r="F1006" s="98"/>
      <c r="G1006" s="142"/>
      <c r="H1006" s="98"/>
    </row>
    <row r="1007" spans="1:8" ht="12.75" customHeight="1" x14ac:dyDescent="0.15">
      <c r="A1007" s="98"/>
      <c r="B1007" s="98"/>
      <c r="C1007" s="98"/>
      <c r="D1007" s="98"/>
      <c r="E1007" s="98"/>
      <c r="F1007" s="98"/>
      <c r="G1007" s="142"/>
      <c r="H1007" s="98"/>
    </row>
    <row r="1008" spans="1:8" ht="12.75" customHeight="1" x14ac:dyDescent="0.15">
      <c r="A1008" s="98"/>
      <c r="B1008" s="98"/>
      <c r="C1008" s="98"/>
      <c r="D1008" s="98"/>
      <c r="E1008" s="98"/>
      <c r="F1008" s="98"/>
      <c r="G1008" s="142"/>
      <c r="H1008" s="98"/>
    </row>
  </sheetData>
  <autoFilter ref="A1:K74" xr:uid="{00000000-0009-0000-0000-000003000000}"/>
  <conditionalFormatting sqref="D62:F64 I62:K64 D72:F87 H72:H87">
    <cfRule type="cellIs" dxfId="2" priority="1" operator="equal">
      <formula>"paid"</formula>
    </cfRule>
    <cfRule type="cellIs" dxfId="1" priority="2" operator="equal">
      <formula>"owed"</formula>
    </cfRule>
  </conditionalFormatting>
  <conditionalFormatting sqref="H2:J71">
    <cfRule type="cellIs" dxfId="0" priority="3" operator="lessThan">
      <formula>0</formula>
    </cfRule>
  </conditionalFormatting>
  <printOptions gridLines="1"/>
  <pageMargins left="0.7" right="0.7" top="0.75" bottom="0.75" header="0" footer="0"/>
  <pageSetup fitToWidth="0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2.67578125" defaultRowHeight="15" customHeight="1" x14ac:dyDescent="0.15"/>
  <cols>
    <col min="1" max="7" width="18.609375" customWidth="1"/>
    <col min="8" max="26" width="8.62890625" customWidth="1"/>
  </cols>
  <sheetData>
    <row r="1" spans="1:7" ht="12.75" customHeight="1" x14ac:dyDescent="0.15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164</v>
      </c>
      <c r="G1" s="2" t="s">
        <v>165</v>
      </c>
    </row>
    <row r="2" spans="1:7" ht="12.75" customHeight="1" x14ac:dyDescent="0.15">
      <c r="A2" s="2" t="s">
        <v>166</v>
      </c>
      <c r="B2" s="2" t="s">
        <v>167</v>
      </c>
      <c r="C2" s="2" t="s">
        <v>168</v>
      </c>
      <c r="D2" s="2" t="s">
        <v>170</v>
      </c>
      <c r="E2" s="2"/>
      <c r="F2" s="2"/>
      <c r="G2" s="2"/>
    </row>
    <row r="3" spans="1:7" ht="12.75" customHeight="1" x14ac:dyDescent="0.15">
      <c r="A3" s="2" t="s">
        <v>169</v>
      </c>
      <c r="B3" s="2" t="s">
        <v>152</v>
      </c>
      <c r="C3" s="2" t="s">
        <v>173</v>
      </c>
      <c r="D3" s="2" t="s">
        <v>170</v>
      </c>
      <c r="E3" s="2"/>
      <c r="F3" s="2"/>
      <c r="G3" s="2"/>
    </row>
    <row r="4" spans="1:7" ht="12.75" hidden="1" customHeight="1" x14ac:dyDescent="0.15">
      <c r="A4" s="2"/>
      <c r="B4" s="2"/>
      <c r="C4" s="2"/>
      <c r="D4" s="2"/>
      <c r="E4" s="2"/>
      <c r="F4" s="2"/>
      <c r="G4" s="2"/>
    </row>
    <row r="5" spans="1:7" ht="12.75" hidden="1" customHeight="1" x14ac:dyDescent="0.15">
      <c r="A5" s="2"/>
      <c r="B5" s="2"/>
      <c r="C5" s="2"/>
      <c r="D5" s="2"/>
      <c r="E5" s="2"/>
      <c r="F5" s="2"/>
      <c r="G5" s="2"/>
    </row>
    <row r="6" spans="1:7" ht="12.75" hidden="1" customHeight="1" x14ac:dyDescent="0.15">
      <c r="A6" s="2"/>
      <c r="B6" s="2"/>
      <c r="C6" s="2"/>
      <c r="D6" s="2"/>
      <c r="E6" s="2"/>
      <c r="F6" s="2"/>
      <c r="G6" s="2"/>
    </row>
    <row r="7" spans="1:7" ht="12.75" customHeight="1" x14ac:dyDescent="0.15">
      <c r="A7" s="2" t="s">
        <v>179</v>
      </c>
      <c r="B7" s="2" t="s">
        <v>180</v>
      </c>
      <c r="C7" s="2" t="s">
        <v>181</v>
      </c>
      <c r="D7" s="2" t="s">
        <v>170</v>
      </c>
      <c r="E7" s="2"/>
      <c r="F7" s="2"/>
      <c r="G7" s="2"/>
    </row>
    <row r="8" spans="1:7" ht="12.75" customHeight="1" x14ac:dyDescent="0.15">
      <c r="A8" s="2" t="s">
        <v>183</v>
      </c>
      <c r="B8" s="2"/>
      <c r="C8" s="2" t="s">
        <v>185</v>
      </c>
      <c r="D8" s="2" t="s">
        <v>170</v>
      </c>
      <c r="E8" s="2"/>
      <c r="F8" s="2"/>
      <c r="G8" s="2"/>
    </row>
    <row r="9" spans="1:7" ht="12.75" hidden="1" customHeight="1" x14ac:dyDescent="0.15">
      <c r="A9" s="2"/>
      <c r="B9" s="2"/>
      <c r="C9" s="2"/>
      <c r="D9" s="2"/>
      <c r="E9" s="2"/>
      <c r="F9" s="2"/>
      <c r="G9" s="2"/>
    </row>
    <row r="10" spans="1:7" ht="12.75" customHeight="1" x14ac:dyDescent="0.15">
      <c r="A10" s="2" t="s">
        <v>153</v>
      </c>
      <c r="B10" s="2" t="s">
        <v>152</v>
      </c>
      <c r="C10" s="2" t="s">
        <v>189</v>
      </c>
      <c r="D10" s="2" t="s">
        <v>170</v>
      </c>
      <c r="E10" s="2"/>
      <c r="F10" s="2"/>
      <c r="G10" s="2"/>
    </row>
    <row r="11" spans="1:7" ht="12.75" customHeight="1" x14ac:dyDescent="0.15">
      <c r="A11" s="2" t="s">
        <v>191</v>
      </c>
      <c r="B11" s="2" t="s">
        <v>192</v>
      </c>
      <c r="C11" s="2" t="s">
        <v>193</v>
      </c>
      <c r="D11" s="2" t="s">
        <v>170</v>
      </c>
      <c r="E11" s="2"/>
      <c r="F11" s="2"/>
      <c r="G11" s="2"/>
    </row>
    <row r="12" spans="1:7" ht="12.75" hidden="1" customHeight="1" x14ac:dyDescent="0.15">
      <c r="A12" s="2"/>
      <c r="B12" s="2"/>
      <c r="C12" s="2"/>
      <c r="D12" s="2"/>
      <c r="E12" s="2"/>
      <c r="F12" s="2"/>
      <c r="G12" s="2"/>
    </row>
    <row r="13" spans="1:7" ht="12.75" hidden="1" customHeight="1" x14ac:dyDescent="0.15">
      <c r="A13" s="2"/>
      <c r="B13" s="2"/>
      <c r="C13" s="2"/>
      <c r="D13" s="2"/>
      <c r="E13" s="2"/>
      <c r="F13" s="2"/>
      <c r="G13" s="2"/>
    </row>
    <row r="14" spans="1:7" ht="12.75" hidden="1" customHeight="1" x14ac:dyDescent="0.15">
      <c r="A14" s="2"/>
      <c r="B14" s="2"/>
      <c r="C14" s="2"/>
      <c r="D14" s="2"/>
      <c r="E14" s="2"/>
      <c r="F14" s="2"/>
      <c r="G14" s="2"/>
    </row>
    <row r="15" spans="1:7" ht="12.75" hidden="1" customHeight="1" x14ac:dyDescent="0.15">
      <c r="A15" s="2"/>
      <c r="B15" s="2"/>
      <c r="C15" s="2"/>
      <c r="D15" s="2"/>
      <c r="E15" s="2"/>
      <c r="F15" s="2"/>
      <c r="G15" s="2"/>
    </row>
    <row r="16" spans="1:7" ht="12.75" hidden="1" customHeight="1" x14ac:dyDescent="0.15">
      <c r="A16" s="2"/>
      <c r="B16" s="2"/>
      <c r="C16" s="2"/>
      <c r="D16" s="2"/>
      <c r="E16" s="2"/>
      <c r="F16" s="2"/>
      <c r="G16" s="2"/>
    </row>
    <row r="17" spans="1:7" ht="12.75" hidden="1" customHeight="1" x14ac:dyDescent="0.15">
      <c r="A17" s="2"/>
      <c r="B17" s="2"/>
      <c r="C17" s="2"/>
      <c r="D17" s="2"/>
      <c r="E17" s="2"/>
      <c r="F17" s="2"/>
      <c r="G17" s="2"/>
    </row>
    <row r="18" spans="1:7" ht="12.75" customHeight="1" x14ac:dyDescent="0.15">
      <c r="A18" s="2" t="s">
        <v>204</v>
      </c>
      <c r="B18" s="2" t="s">
        <v>207</v>
      </c>
      <c r="C18" s="2" t="s">
        <v>209</v>
      </c>
      <c r="D18" s="2" t="s">
        <v>170</v>
      </c>
      <c r="E18" s="2" t="s">
        <v>210</v>
      </c>
      <c r="F18" s="2" t="s">
        <v>211</v>
      </c>
      <c r="G18" s="2" t="s">
        <v>212</v>
      </c>
    </row>
    <row r="19" spans="1:7" ht="12.75" customHeight="1" x14ac:dyDescent="0.15">
      <c r="A19" s="2" t="s">
        <v>213</v>
      </c>
      <c r="B19" s="2" t="s">
        <v>214</v>
      </c>
      <c r="C19" s="2" t="s">
        <v>216</v>
      </c>
      <c r="D19" s="2" t="s">
        <v>170</v>
      </c>
      <c r="E19" s="2"/>
      <c r="F19" s="2"/>
      <c r="G19" s="2"/>
    </row>
    <row r="20" spans="1:7" ht="12.75" customHeight="1" x14ac:dyDescent="0.15">
      <c r="A20" s="2" t="s">
        <v>217</v>
      </c>
      <c r="B20" s="2" t="s">
        <v>134</v>
      </c>
      <c r="C20" s="2" t="s">
        <v>218</v>
      </c>
      <c r="D20" s="2" t="s">
        <v>170</v>
      </c>
      <c r="E20" s="2"/>
      <c r="F20" s="2"/>
      <c r="G20" s="2"/>
    </row>
    <row r="21" spans="1:7" ht="12.75" customHeight="1" x14ac:dyDescent="0.15">
      <c r="A21" s="2" t="s">
        <v>178</v>
      </c>
      <c r="B21" s="2" t="s">
        <v>175</v>
      </c>
      <c r="C21" s="2" t="s">
        <v>220</v>
      </c>
      <c r="D21" s="2" t="s">
        <v>170</v>
      </c>
      <c r="E21" s="2"/>
      <c r="F21" s="2"/>
      <c r="G21" s="2"/>
    </row>
    <row r="22" spans="1:7" ht="12.75" hidden="1" customHeight="1" x14ac:dyDescent="0.15">
      <c r="A22" s="2"/>
      <c r="B22" s="2"/>
      <c r="C22" s="2"/>
      <c r="D22" s="2"/>
      <c r="E22" s="2"/>
      <c r="F22" s="2"/>
      <c r="G22" s="2"/>
    </row>
    <row r="23" spans="1:7" ht="12.75" hidden="1" customHeight="1" x14ac:dyDescent="0.15">
      <c r="A23" s="2"/>
      <c r="B23" s="2"/>
      <c r="C23" s="2"/>
      <c r="D23" s="2"/>
      <c r="E23" s="2"/>
      <c r="F23" s="2"/>
      <c r="G23" s="2"/>
    </row>
    <row r="24" spans="1:7" ht="12.75" hidden="1" customHeight="1" x14ac:dyDescent="0.15">
      <c r="A24" s="2"/>
      <c r="B24" s="2"/>
      <c r="C24" s="2"/>
      <c r="D24" s="2"/>
      <c r="E24" s="2"/>
      <c r="F24" s="2"/>
      <c r="G24" s="2"/>
    </row>
    <row r="25" spans="1:7" ht="12.75" hidden="1" customHeight="1" x14ac:dyDescent="0.15">
      <c r="A25" s="2"/>
      <c r="B25" s="2"/>
      <c r="C25" s="2"/>
      <c r="D25" s="2"/>
      <c r="E25" s="2"/>
      <c r="F25" s="2"/>
      <c r="G25" s="2"/>
    </row>
    <row r="26" spans="1:7" ht="12.75" hidden="1" customHeight="1" x14ac:dyDescent="0.15">
      <c r="A26" s="2"/>
      <c r="B26" s="2"/>
      <c r="C26" s="2"/>
      <c r="D26" s="2"/>
      <c r="E26" s="2"/>
      <c r="F26" s="2"/>
      <c r="G26" s="2"/>
    </row>
    <row r="27" spans="1:7" ht="12.75" hidden="1" customHeight="1" x14ac:dyDescent="0.15">
      <c r="A27" s="2"/>
      <c r="B27" s="2"/>
      <c r="C27" s="2"/>
      <c r="D27" s="2"/>
      <c r="E27" s="2"/>
      <c r="F27" s="2"/>
      <c r="G27" s="2"/>
    </row>
    <row r="28" spans="1:7" ht="12.75" hidden="1" customHeight="1" x14ac:dyDescent="0.15">
      <c r="A28" s="2"/>
      <c r="B28" s="2"/>
      <c r="C28" s="2"/>
      <c r="D28" s="2"/>
      <c r="E28" s="2"/>
      <c r="F28" s="2"/>
      <c r="G28" s="2"/>
    </row>
    <row r="29" spans="1:7" ht="12.75" hidden="1" customHeight="1" x14ac:dyDescent="0.15">
      <c r="A29" s="2"/>
      <c r="B29" s="2"/>
      <c r="C29" s="2"/>
      <c r="D29" s="2"/>
      <c r="E29" s="2"/>
      <c r="F29" s="2"/>
      <c r="G29" s="2"/>
    </row>
    <row r="30" spans="1:7" ht="12.75" hidden="1" customHeight="1" x14ac:dyDescent="0.15">
      <c r="A30" s="2"/>
      <c r="B30" s="2"/>
      <c r="C30" s="2"/>
      <c r="D30" s="2"/>
      <c r="E30" s="2"/>
      <c r="F30" s="2"/>
      <c r="G30" s="2"/>
    </row>
    <row r="31" spans="1:7" ht="12.75" hidden="1" customHeight="1" x14ac:dyDescent="0.15">
      <c r="A31" s="2"/>
      <c r="B31" s="2"/>
      <c r="C31" s="2"/>
      <c r="D31" s="2"/>
      <c r="E31" s="2"/>
      <c r="F31" s="2"/>
      <c r="G31" s="2"/>
    </row>
    <row r="32" spans="1:7" ht="12.75" customHeight="1" x14ac:dyDescent="0.15">
      <c r="A32" s="2" t="s">
        <v>230</v>
      </c>
      <c r="B32" s="2" t="s">
        <v>231</v>
      </c>
      <c r="C32" s="2" t="s">
        <v>232</v>
      </c>
      <c r="D32" s="2" t="s">
        <v>170</v>
      </c>
      <c r="E32" s="2"/>
      <c r="F32" s="2"/>
      <c r="G32" s="2"/>
    </row>
    <row r="33" spans="1:7" ht="12.75" hidden="1" customHeight="1" x14ac:dyDescent="0.15">
      <c r="A33" s="2"/>
      <c r="B33" s="2"/>
      <c r="C33" s="2"/>
      <c r="D33" s="2"/>
      <c r="E33" s="2"/>
      <c r="F33" s="2"/>
      <c r="G33" s="2"/>
    </row>
    <row r="34" spans="1:7" ht="12.75" hidden="1" customHeight="1" x14ac:dyDescent="0.15">
      <c r="A34" s="2"/>
      <c r="B34" s="2"/>
      <c r="C34" s="2"/>
      <c r="D34" s="2"/>
      <c r="E34" s="2"/>
      <c r="F34" s="2"/>
      <c r="G34" s="2"/>
    </row>
    <row r="35" spans="1:7" ht="12.75" hidden="1" customHeight="1" x14ac:dyDescent="0.15">
      <c r="A35" s="2"/>
      <c r="B35" s="2"/>
      <c r="C35" s="2"/>
      <c r="D35" s="2"/>
      <c r="E35" s="2"/>
      <c r="F35" s="2"/>
      <c r="G35" s="2"/>
    </row>
    <row r="36" spans="1:7" ht="12.75" hidden="1" customHeight="1" x14ac:dyDescent="0.15">
      <c r="A36" s="2"/>
      <c r="B36" s="2"/>
      <c r="C36" s="2"/>
      <c r="D36" s="2"/>
      <c r="E36" s="2"/>
      <c r="F36" s="2"/>
      <c r="G36" s="2"/>
    </row>
    <row r="37" spans="1:7" ht="12.75" hidden="1" customHeight="1" x14ac:dyDescent="0.15">
      <c r="A37" s="2"/>
      <c r="B37" s="2"/>
      <c r="C37" s="2"/>
      <c r="D37" s="2"/>
      <c r="E37" s="2"/>
      <c r="F37" s="2"/>
      <c r="G37" s="2"/>
    </row>
    <row r="38" spans="1:7" ht="12.75" hidden="1" customHeight="1" x14ac:dyDescent="0.15">
      <c r="A38" s="2"/>
      <c r="B38" s="2"/>
      <c r="C38" s="2"/>
      <c r="D38" s="2"/>
      <c r="E38" s="2"/>
      <c r="F38" s="2"/>
      <c r="G38" s="2"/>
    </row>
    <row r="39" spans="1:7" ht="12.75" hidden="1" customHeight="1" x14ac:dyDescent="0.15">
      <c r="A39" s="2"/>
      <c r="B39" s="2"/>
      <c r="C39" s="2"/>
      <c r="D39" s="2"/>
      <c r="E39" s="2"/>
      <c r="F39" s="2"/>
      <c r="G39" s="2"/>
    </row>
    <row r="40" spans="1:7" ht="12.75" hidden="1" customHeight="1" x14ac:dyDescent="0.15">
      <c r="A40" s="2"/>
      <c r="B40" s="2"/>
      <c r="C40" s="2"/>
      <c r="D40" s="2"/>
      <c r="E40" s="2"/>
      <c r="F40" s="2"/>
      <c r="G40" s="2"/>
    </row>
    <row r="41" spans="1:7" ht="12.75" hidden="1" customHeight="1" x14ac:dyDescent="0.15">
      <c r="A41" s="2"/>
      <c r="B41" s="2"/>
      <c r="C41" s="2"/>
      <c r="D41" s="2"/>
      <c r="E41" s="2"/>
      <c r="F41" s="2"/>
      <c r="G41" s="2"/>
    </row>
    <row r="42" spans="1:7" ht="12.75" hidden="1" customHeight="1" x14ac:dyDescent="0.15">
      <c r="A42" s="2"/>
      <c r="B42" s="2"/>
      <c r="C42" s="2"/>
      <c r="D42" s="2"/>
      <c r="E42" s="2"/>
      <c r="F42" s="2"/>
      <c r="G42" s="2"/>
    </row>
    <row r="43" spans="1:7" ht="12.75" hidden="1" customHeight="1" x14ac:dyDescent="0.15">
      <c r="A43" s="2"/>
      <c r="B43" s="2"/>
      <c r="C43" s="2"/>
      <c r="D43" s="2"/>
      <c r="E43" s="2"/>
      <c r="F43" s="2"/>
      <c r="G43" s="2"/>
    </row>
    <row r="44" spans="1:7" ht="12.75" hidden="1" customHeight="1" x14ac:dyDescent="0.15">
      <c r="A44" s="2"/>
      <c r="B44" s="2"/>
      <c r="C44" s="2"/>
      <c r="D44" s="2"/>
      <c r="E44" s="2"/>
      <c r="F44" s="2"/>
      <c r="G44" s="2"/>
    </row>
    <row r="45" spans="1:7" ht="12.75" hidden="1" customHeight="1" x14ac:dyDescent="0.15">
      <c r="A45" s="2"/>
      <c r="B45" s="2"/>
      <c r="C45" s="2"/>
      <c r="D45" s="2"/>
      <c r="E45" s="2"/>
      <c r="F45" s="2"/>
      <c r="G45" s="2"/>
    </row>
    <row r="46" spans="1:7" ht="12.75" hidden="1" customHeight="1" x14ac:dyDescent="0.15">
      <c r="A46" s="2"/>
      <c r="B46" s="2"/>
      <c r="C46" s="2"/>
      <c r="D46" s="2"/>
      <c r="E46" s="2"/>
      <c r="F46" s="2"/>
      <c r="G46" s="2"/>
    </row>
    <row r="47" spans="1:7" ht="12.75" hidden="1" customHeight="1" x14ac:dyDescent="0.15">
      <c r="A47" s="2"/>
      <c r="B47" s="2"/>
      <c r="C47" s="2"/>
      <c r="D47" s="2"/>
      <c r="E47" s="2"/>
      <c r="F47" s="2"/>
      <c r="G47" s="2"/>
    </row>
    <row r="48" spans="1:7" ht="12.75" hidden="1" customHeight="1" x14ac:dyDescent="0.15">
      <c r="A48" s="2"/>
      <c r="B48" s="2"/>
      <c r="C48" s="2"/>
      <c r="D48" s="2"/>
      <c r="E48" s="2"/>
      <c r="F48" s="2"/>
      <c r="G48" s="2"/>
    </row>
    <row r="49" spans="1:7" ht="12.75" hidden="1" customHeight="1" x14ac:dyDescent="0.15">
      <c r="A49" s="2"/>
      <c r="B49" s="2"/>
      <c r="C49" s="2"/>
      <c r="D49" s="2"/>
      <c r="E49" s="2"/>
      <c r="F49" s="2"/>
      <c r="G49" s="2"/>
    </row>
    <row r="50" spans="1:7" ht="12.75" hidden="1" customHeight="1" x14ac:dyDescent="0.15">
      <c r="A50" s="2"/>
      <c r="B50" s="2"/>
      <c r="C50" s="2"/>
      <c r="D50" s="2"/>
      <c r="E50" s="2"/>
      <c r="F50" s="2"/>
      <c r="G50" s="2"/>
    </row>
    <row r="51" spans="1:7" ht="12.75" hidden="1" customHeight="1" x14ac:dyDescent="0.15">
      <c r="A51" s="2"/>
      <c r="B51" s="2"/>
      <c r="C51" s="2"/>
      <c r="D51" s="2"/>
      <c r="E51" s="2"/>
      <c r="F51" s="2"/>
      <c r="G51" s="2"/>
    </row>
    <row r="52" spans="1:7" ht="12.75" hidden="1" customHeight="1" x14ac:dyDescent="0.15">
      <c r="A52" s="2"/>
      <c r="B52" s="2"/>
      <c r="C52" s="2"/>
      <c r="D52" s="2"/>
      <c r="E52" s="2"/>
      <c r="F52" s="2"/>
      <c r="G52" s="2"/>
    </row>
    <row r="53" spans="1:7" ht="12.75" customHeight="1" x14ac:dyDescent="0.15">
      <c r="A53" s="2" t="s">
        <v>125</v>
      </c>
      <c r="B53" s="2" t="s">
        <v>244</v>
      </c>
      <c r="C53" s="2" t="s">
        <v>245</v>
      </c>
      <c r="D53" s="2" t="s">
        <v>170</v>
      </c>
      <c r="E53" s="2"/>
      <c r="F53" s="2"/>
      <c r="G53" s="2"/>
    </row>
    <row r="54" spans="1:7" ht="12.75" hidden="1" customHeight="1" x14ac:dyDescent="0.15">
      <c r="A54" s="2"/>
      <c r="B54" s="2"/>
      <c r="C54" s="2"/>
      <c r="D54" s="2"/>
      <c r="E54" s="2"/>
      <c r="F54" s="2"/>
      <c r="G54" s="2"/>
    </row>
    <row r="55" spans="1:7" ht="12.75" hidden="1" customHeight="1" x14ac:dyDescent="0.15">
      <c r="A55" s="2"/>
      <c r="B55" s="2"/>
      <c r="C55" s="2"/>
      <c r="D55" s="2"/>
      <c r="E55" s="2"/>
      <c r="F55" s="2"/>
      <c r="G55" s="2"/>
    </row>
    <row r="56" spans="1:7" ht="12.75" hidden="1" customHeight="1" x14ac:dyDescent="0.15">
      <c r="A56" s="2"/>
      <c r="B56" s="2"/>
      <c r="C56" s="2"/>
      <c r="D56" s="2"/>
      <c r="E56" s="2"/>
      <c r="F56" s="2"/>
      <c r="G56" s="2"/>
    </row>
    <row r="57" spans="1:7" ht="12.75" hidden="1" customHeight="1" x14ac:dyDescent="0.15">
      <c r="A57" s="2"/>
      <c r="B57" s="2"/>
      <c r="C57" s="2"/>
      <c r="D57" s="2"/>
      <c r="E57" s="2"/>
      <c r="F57" s="2"/>
      <c r="G57" s="2"/>
    </row>
    <row r="58" spans="1:7" ht="12.75" hidden="1" customHeight="1" x14ac:dyDescent="0.15">
      <c r="A58" s="2"/>
      <c r="B58" s="2"/>
      <c r="C58" s="2"/>
      <c r="D58" s="2"/>
      <c r="E58" s="2"/>
      <c r="F58" s="2"/>
      <c r="G58" s="2"/>
    </row>
    <row r="59" spans="1:7" ht="12.75" customHeight="1" x14ac:dyDescent="0.15">
      <c r="A59" s="2" t="s">
        <v>249</v>
      </c>
      <c r="B59" s="2" t="s">
        <v>250</v>
      </c>
      <c r="C59" s="2" t="s">
        <v>252</v>
      </c>
      <c r="D59" s="2" t="s">
        <v>170</v>
      </c>
      <c r="E59" s="2"/>
      <c r="F59" s="2"/>
      <c r="G59" s="2"/>
    </row>
    <row r="60" spans="1:7" ht="12.75" hidden="1" customHeight="1" x14ac:dyDescent="0.15">
      <c r="A60" s="2"/>
      <c r="B60" s="2"/>
      <c r="C60" s="2"/>
      <c r="D60" s="2"/>
      <c r="E60" s="2"/>
      <c r="F60" s="2"/>
      <c r="G60" s="2"/>
    </row>
    <row r="61" spans="1:7" ht="12.75" hidden="1" customHeight="1" x14ac:dyDescent="0.15">
      <c r="A61" s="2"/>
      <c r="B61" s="2"/>
      <c r="C61" s="2"/>
      <c r="D61" s="2"/>
      <c r="E61" s="2"/>
      <c r="F61" s="2"/>
      <c r="G61" s="2"/>
    </row>
    <row r="62" spans="1:7" ht="12.75" hidden="1" customHeight="1" x14ac:dyDescent="0.15">
      <c r="A62" s="2"/>
      <c r="B62" s="2"/>
      <c r="C62" s="2"/>
      <c r="D62" s="2"/>
      <c r="E62" s="2"/>
      <c r="F62" s="2"/>
      <c r="G62" s="2"/>
    </row>
    <row r="63" spans="1:7" ht="12.75" customHeight="1" x14ac:dyDescent="0.15">
      <c r="A63" s="2" t="s">
        <v>238</v>
      </c>
      <c r="B63" s="2" t="s">
        <v>237</v>
      </c>
      <c r="C63" s="2" t="s">
        <v>253</v>
      </c>
      <c r="D63" s="2" t="s">
        <v>170</v>
      </c>
      <c r="E63" s="2"/>
      <c r="F63" s="2" t="s">
        <v>254</v>
      </c>
      <c r="G63" s="2"/>
    </row>
    <row r="64" spans="1:7" ht="12.75" hidden="1" customHeight="1" x14ac:dyDescent="0.15">
      <c r="A64" s="2"/>
      <c r="B64" s="2"/>
      <c r="C64" s="2"/>
      <c r="D64" s="2"/>
      <c r="E64" s="2"/>
      <c r="F64" s="2"/>
      <c r="G64" s="2"/>
    </row>
    <row r="65" spans="1:7" ht="12.75" hidden="1" customHeight="1" x14ac:dyDescent="0.15">
      <c r="A65" s="2"/>
      <c r="B65" s="2"/>
      <c r="C65" s="2"/>
      <c r="D65" s="2"/>
      <c r="E65" s="2"/>
      <c r="F65" s="2"/>
      <c r="G65" s="2"/>
    </row>
    <row r="66" spans="1:7" ht="12.75" hidden="1" customHeight="1" x14ac:dyDescent="0.15">
      <c r="A66" s="2"/>
      <c r="B66" s="2"/>
      <c r="C66" s="2"/>
      <c r="D66" s="2"/>
      <c r="E66" s="2"/>
      <c r="F66" s="2"/>
      <c r="G66" s="2"/>
    </row>
    <row r="67" spans="1:7" ht="12.75" hidden="1" customHeight="1" x14ac:dyDescent="0.15">
      <c r="A67" s="2"/>
      <c r="B67" s="2"/>
      <c r="C67" s="2"/>
      <c r="D67" s="2"/>
      <c r="E67" s="2"/>
      <c r="F67" s="2"/>
      <c r="G67" s="2"/>
    </row>
    <row r="68" spans="1:7" ht="12.75" hidden="1" customHeight="1" x14ac:dyDescent="0.15">
      <c r="A68" s="2"/>
      <c r="B68" s="2"/>
      <c r="C68" s="2"/>
      <c r="D68" s="2"/>
      <c r="E68" s="2"/>
      <c r="F68" s="2"/>
      <c r="G68" s="2"/>
    </row>
    <row r="69" spans="1:7" ht="12.75" customHeight="1" x14ac:dyDescent="0.15">
      <c r="A69" s="2" t="s">
        <v>255</v>
      </c>
      <c r="B69" s="2" t="s">
        <v>256</v>
      </c>
      <c r="C69" s="2" t="s">
        <v>257</v>
      </c>
      <c r="D69" s="2" t="s">
        <v>170</v>
      </c>
      <c r="E69" s="2"/>
      <c r="F69" s="2"/>
      <c r="G69" s="2"/>
    </row>
    <row r="70" spans="1:7" ht="12.75" customHeight="1" x14ac:dyDescent="0.15">
      <c r="A70" s="2" t="s">
        <v>258</v>
      </c>
      <c r="B70" s="2" t="s">
        <v>259</v>
      </c>
      <c r="C70" s="2" t="s">
        <v>260</v>
      </c>
      <c r="D70" s="2" t="s">
        <v>170</v>
      </c>
      <c r="E70" s="2"/>
      <c r="F70" s="2"/>
      <c r="G70" s="2"/>
    </row>
    <row r="71" spans="1:7" ht="12.75" customHeight="1" x14ac:dyDescent="0.15">
      <c r="A71" s="2" t="s">
        <v>261</v>
      </c>
      <c r="B71" s="2"/>
      <c r="C71" s="2" t="s">
        <v>262</v>
      </c>
      <c r="D71" s="2" t="s">
        <v>170</v>
      </c>
      <c r="E71" s="2"/>
      <c r="F71" s="2"/>
      <c r="G71" s="2"/>
    </row>
    <row r="72" spans="1:7" ht="12.75" hidden="1" customHeight="1" x14ac:dyDescent="0.15">
      <c r="A72" s="2"/>
      <c r="B72" s="2"/>
      <c r="C72" s="2"/>
      <c r="D72" s="2"/>
      <c r="E72" s="2"/>
      <c r="F72" s="2"/>
      <c r="G72" s="2"/>
    </row>
    <row r="73" spans="1:7" ht="12.75" hidden="1" customHeight="1" x14ac:dyDescent="0.15">
      <c r="A73" s="2"/>
      <c r="B73" s="2"/>
      <c r="C73" s="2"/>
      <c r="D73" s="2"/>
      <c r="E73" s="2"/>
      <c r="F73" s="2"/>
      <c r="G73" s="2"/>
    </row>
    <row r="74" spans="1:7" ht="12.75" hidden="1" customHeight="1" x14ac:dyDescent="0.15">
      <c r="A74" s="2"/>
      <c r="B74" s="2"/>
      <c r="C74" s="2"/>
      <c r="D74" s="2"/>
      <c r="E74" s="2"/>
      <c r="F74" s="2"/>
      <c r="G74" s="2"/>
    </row>
    <row r="75" spans="1:7" ht="12.75" hidden="1" customHeight="1" x14ac:dyDescent="0.15">
      <c r="A75" s="2"/>
      <c r="B75" s="2"/>
      <c r="C75" s="2"/>
      <c r="D75" s="2"/>
      <c r="E75" s="2"/>
      <c r="F75" s="2"/>
      <c r="G75" s="2"/>
    </row>
    <row r="76" spans="1:7" ht="12.75" hidden="1" customHeight="1" x14ac:dyDescent="0.15">
      <c r="A76" s="2"/>
      <c r="B76" s="2"/>
      <c r="C76" s="2"/>
      <c r="D76" s="2"/>
      <c r="E76" s="2"/>
      <c r="F76" s="2"/>
      <c r="G76" s="2"/>
    </row>
    <row r="77" spans="1:7" ht="12.75" hidden="1" customHeight="1" x14ac:dyDescent="0.15">
      <c r="A77" s="2"/>
      <c r="B77" s="2"/>
      <c r="C77" s="2"/>
      <c r="D77" s="2"/>
      <c r="E77" s="2"/>
      <c r="F77" s="2"/>
      <c r="G77" s="2"/>
    </row>
    <row r="78" spans="1:7" ht="12.75" customHeight="1" x14ac:dyDescent="0.15">
      <c r="A78" s="2" t="s">
        <v>228</v>
      </c>
      <c r="B78" s="2" t="s">
        <v>225</v>
      </c>
      <c r="C78" s="2" t="s">
        <v>266</v>
      </c>
      <c r="D78" s="2" t="s">
        <v>170</v>
      </c>
      <c r="E78" s="2"/>
      <c r="F78" s="2"/>
      <c r="G78" s="2"/>
    </row>
    <row r="79" spans="1:7" ht="12.75" customHeight="1" x14ac:dyDescent="0.15">
      <c r="A79" s="2" t="s">
        <v>248</v>
      </c>
      <c r="B79" s="2" t="s">
        <v>247</v>
      </c>
      <c r="C79" s="2" t="s">
        <v>267</v>
      </c>
      <c r="D79" s="2" t="s">
        <v>170</v>
      </c>
      <c r="E79" s="2"/>
      <c r="F79" s="2" t="s">
        <v>268</v>
      </c>
      <c r="G79" s="2"/>
    </row>
    <row r="80" spans="1:7" ht="12.75" hidden="1" customHeight="1" x14ac:dyDescent="0.15">
      <c r="A80" s="2"/>
      <c r="B80" s="2"/>
      <c r="C80" s="2"/>
      <c r="D80" s="2"/>
      <c r="E80" s="2"/>
      <c r="F80" s="2"/>
      <c r="G80" s="2"/>
    </row>
    <row r="81" spans="1:7" ht="12.75" hidden="1" customHeight="1" x14ac:dyDescent="0.15">
      <c r="A81" s="2"/>
      <c r="B81" s="2"/>
      <c r="C81" s="2"/>
      <c r="D81" s="2"/>
      <c r="E81" s="2"/>
      <c r="F81" s="2"/>
      <c r="G81" s="2"/>
    </row>
    <row r="82" spans="1:7" ht="12.75" hidden="1" customHeight="1" x14ac:dyDescent="0.15">
      <c r="A82" s="2"/>
      <c r="B82" s="2"/>
      <c r="C82" s="2"/>
      <c r="D82" s="2"/>
      <c r="E82" s="2"/>
      <c r="F82" s="2"/>
      <c r="G82" s="2"/>
    </row>
    <row r="83" spans="1:7" ht="12.75" hidden="1" customHeight="1" x14ac:dyDescent="0.15">
      <c r="A83" s="2"/>
      <c r="B83" s="2"/>
      <c r="C83" s="2"/>
      <c r="D83" s="2"/>
      <c r="E83" s="2"/>
      <c r="F83" s="2"/>
      <c r="G83" s="2"/>
    </row>
    <row r="84" spans="1:7" ht="12.75" hidden="1" customHeight="1" x14ac:dyDescent="0.15">
      <c r="A84" s="2"/>
      <c r="B84" s="2"/>
      <c r="C84" s="2"/>
      <c r="D84" s="2"/>
      <c r="E84" s="2"/>
      <c r="F84" s="2"/>
      <c r="G84" s="2"/>
    </row>
    <row r="85" spans="1:7" ht="12.75" hidden="1" customHeight="1" x14ac:dyDescent="0.15">
      <c r="A85" s="2"/>
      <c r="B85" s="2"/>
      <c r="C85" s="2"/>
      <c r="D85" s="2"/>
      <c r="E85" s="2"/>
      <c r="F85" s="2"/>
      <c r="G85" s="2"/>
    </row>
    <row r="86" spans="1:7" ht="12.75" hidden="1" customHeight="1" x14ac:dyDescent="0.15">
      <c r="A86" s="2"/>
      <c r="B86" s="2"/>
      <c r="C86" s="2"/>
      <c r="D86" s="2"/>
      <c r="E86" s="2"/>
      <c r="F86" s="2"/>
      <c r="G86" s="2"/>
    </row>
    <row r="87" spans="1:7" ht="12.75" hidden="1" customHeight="1" x14ac:dyDescent="0.15">
      <c r="A87" s="2"/>
      <c r="B87" s="2"/>
      <c r="C87" s="2"/>
      <c r="D87" s="2"/>
      <c r="E87" s="2"/>
      <c r="F87" s="2"/>
      <c r="G87" s="2"/>
    </row>
    <row r="88" spans="1:7" ht="12.75" hidden="1" customHeight="1" x14ac:dyDescent="0.15">
      <c r="A88" s="2"/>
      <c r="B88" s="2"/>
      <c r="C88" s="2"/>
      <c r="D88" s="2"/>
      <c r="E88" s="2"/>
      <c r="F88" s="2"/>
      <c r="G88" s="2"/>
    </row>
    <row r="89" spans="1:7" ht="12.75" hidden="1" customHeight="1" x14ac:dyDescent="0.15">
      <c r="A89" s="2"/>
      <c r="B89" s="2"/>
      <c r="C89" s="2"/>
      <c r="D89" s="2"/>
      <c r="E89" s="2"/>
      <c r="F89" s="2"/>
      <c r="G89" s="2"/>
    </row>
    <row r="90" spans="1:7" ht="12.75" hidden="1" customHeight="1" x14ac:dyDescent="0.15">
      <c r="A90" s="2"/>
      <c r="B90" s="2"/>
      <c r="C90" s="2"/>
      <c r="D90" s="2"/>
      <c r="E90" s="2"/>
      <c r="F90" s="2"/>
      <c r="G90" s="2"/>
    </row>
    <row r="91" spans="1:7" ht="12.75" hidden="1" customHeight="1" x14ac:dyDescent="0.15">
      <c r="A91" s="2"/>
      <c r="B91" s="2"/>
      <c r="C91" s="2"/>
      <c r="D91" s="2"/>
      <c r="E91" s="2"/>
      <c r="F91" s="2"/>
      <c r="G91" s="2"/>
    </row>
    <row r="92" spans="1:7" ht="12.75" hidden="1" customHeight="1" x14ac:dyDescent="0.15">
      <c r="A92" s="2"/>
      <c r="B92" s="2"/>
      <c r="C92" s="2"/>
      <c r="D92" s="2"/>
      <c r="E92" s="2"/>
      <c r="F92" s="2"/>
      <c r="G92" s="2"/>
    </row>
    <row r="93" spans="1:7" ht="12.75" hidden="1" customHeight="1" x14ac:dyDescent="0.15">
      <c r="A93" s="2"/>
      <c r="B93" s="2"/>
      <c r="C93" s="2"/>
      <c r="D93" s="2"/>
      <c r="E93" s="2"/>
      <c r="F93" s="2"/>
      <c r="G93" s="2"/>
    </row>
    <row r="94" spans="1:7" ht="12.75" hidden="1" customHeight="1" x14ac:dyDescent="0.15">
      <c r="A94" s="2"/>
      <c r="B94" s="2"/>
      <c r="C94" s="2"/>
      <c r="D94" s="2"/>
      <c r="E94" s="2"/>
      <c r="F94" s="2"/>
      <c r="G94" s="2"/>
    </row>
    <row r="95" spans="1:7" ht="12.75" hidden="1" customHeight="1" x14ac:dyDescent="0.15">
      <c r="A95" s="2"/>
      <c r="B95" s="2"/>
      <c r="C95" s="2"/>
      <c r="D95" s="2"/>
      <c r="E95" s="2"/>
      <c r="F95" s="2"/>
      <c r="G95" s="2"/>
    </row>
    <row r="96" spans="1:7" ht="12.75" hidden="1" customHeight="1" x14ac:dyDescent="0.15">
      <c r="A96" s="2"/>
      <c r="B96" s="2"/>
      <c r="C96" s="2"/>
      <c r="D96" s="2"/>
      <c r="E96" s="2"/>
      <c r="F96" s="2"/>
      <c r="G96" s="2"/>
    </row>
    <row r="97" spans="1:7" ht="12.75" hidden="1" customHeight="1" x14ac:dyDescent="0.15">
      <c r="A97" s="2"/>
      <c r="B97" s="2"/>
      <c r="C97" s="2"/>
      <c r="D97" s="2"/>
      <c r="E97" s="2"/>
      <c r="F97" s="2"/>
      <c r="G97" s="2"/>
    </row>
    <row r="98" spans="1:7" ht="12.75" hidden="1" customHeight="1" x14ac:dyDescent="0.15">
      <c r="A98" s="2"/>
      <c r="B98" s="2"/>
      <c r="C98" s="2"/>
      <c r="D98" s="2"/>
      <c r="E98" s="2"/>
      <c r="F98" s="2"/>
      <c r="G98" s="2"/>
    </row>
    <row r="99" spans="1:7" ht="12.75" hidden="1" customHeight="1" x14ac:dyDescent="0.15">
      <c r="A99" s="2"/>
      <c r="B99" s="2"/>
      <c r="C99" s="2"/>
      <c r="D99" s="2"/>
      <c r="E99" s="2"/>
      <c r="F99" s="2"/>
      <c r="G99" s="2"/>
    </row>
    <row r="100" spans="1:7" ht="12.75" hidden="1" customHeight="1" x14ac:dyDescent="0.15">
      <c r="A100" s="2"/>
      <c r="B100" s="2"/>
      <c r="C100" s="2"/>
      <c r="D100" s="2"/>
      <c r="E100" s="2"/>
      <c r="F100" s="2"/>
      <c r="G100" s="2"/>
    </row>
    <row r="101" spans="1:7" ht="12.75" hidden="1" customHeight="1" x14ac:dyDescent="0.15">
      <c r="A101" s="2"/>
      <c r="B101" s="2"/>
      <c r="C101" s="2"/>
      <c r="D101" s="2"/>
      <c r="E101" s="2"/>
      <c r="F101" s="2"/>
      <c r="G101" s="2"/>
    </row>
    <row r="102" spans="1:7" ht="12.75" hidden="1" customHeight="1" x14ac:dyDescent="0.15">
      <c r="A102" s="2"/>
      <c r="B102" s="2"/>
      <c r="C102" s="2"/>
      <c r="D102" s="2"/>
      <c r="E102" s="2"/>
      <c r="F102" s="2"/>
      <c r="G102" s="2"/>
    </row>
    <row r="103" spans="1:7" ht="12.75" hidden="1" customHeight="1" x14ac:dyDescent="0.15">
      <c r="A103" s="2"/>
      <c r="B103" s="2"/>
      <c r="C103" s="2"/>
      <c r="D103" s="2"/>
      <c r="E103" s="2"/>
      <c r="F103" s="2"/>
      <c r="G103" s="2"/>
    </row>
    <row r="104" spans="1:7" ht="12.75" hidden="1" customHeight="1" x14ac:dyDescent="0.15">
      <c r="A104" s="2"/>
      <c r="B104" s="2"/>
      <c r="C104" s="2"/>
      <c r="D104" s="2"/>
      <c r="E104" s="2"/>
      <c r="F104" s="2"/>
      <c r="G104" s="2"/>
    </row>
    <row r="105" spans="1:7" ht="12.75" hidden="1" customHeight="1" x14ac:dyDescent="0.15">
      <c r="A105" s="2"/>
      <c r="B105" s="2"/>
      <c r="C105" s="2"/>
      <c r="D105" s="2"/>
      <c r="E105" s="2"/>
      <c r="F105" s="2"/>
      <c r="G105" s="2"/>
    </row>
    <row r="106" spans="1:7" ht="12.75" hidden="1" customHeight="1" x14ac:dyDescent="0.15">
      <c r="A106" s="2"/>
      <c r="B106" s="2"/>
      <c r="C106" s="2"/>
      <c r="D106" s="2"/>
      <c r="E106" s="2"/>
      <c r="F106" s="2"/>
      <c r="G106" s="2"/>
    </row>
    <row r="107" spans="1:7" ht="12.75" hidden="1" customHeight="1" x14ac:dyDescent="0.15">
      <c r="A107" s="2"/>
      <c r="B107" s="2"/>
      <c r="C107" s="2"/>
      <c r="D107" s="2"/>
      <c r="E107" s="2"/>
      <c r="F107" s="2"/>
      <c r="G107" s="2"/>
    </row>
    <row r="108" spans="1:7" ht="12.75" hidden="1" customHeight="1" x14ac:dyDescent="0.15">
      <c r="A108" s="2"/>
      <c r="B108" s="2"/>
      <c r="C108" s="2"/>
      <c r="D108" s="2"/>
      <c r="E108" s="2"/>
      <c r="F108" s="2"/>
      <c r="G108" s="2"/>
    </row>
    <row r="109" spans="1:7" ht="12.75" hidden="1" customHeight="1" x14ac:dyDescent="0.15">
      <c r="A109" s="2"/>
      <c r="B109" s="2"/>
      <c r="C109" s="2"/>
      <c r="D109" s="2"/>
      <c r="E109" s="2"/>
      <c r="F109" s="2"/>
      <c r="G109" s="2"/>
    </row>
    <row r="110" spans="1:7" ht="12.75" hidden="1" customHeight="1" x14ac:dyDescent="0.15">
      <c r="A110" s="2"/>
      <c r="B110" s="2"/>
      <c r="C110" s="2"/>
      <c r="D110" s="2"/>
      <c r="E110" s="2"/>
      <c r="F110" s="2"/>
      <c r="G110" s="2"/>
    </row>
    <row r="111" spans="1:7" ht="12.75" hidden="1" customHeight="1" x14ac:dyDescent="0.15">
      <c r="A111" s="2"/>
      <c r="B111" s="2"/>
      <c r="C111" s="2"/>
      <c r="D111" s="2"/>
      <c r="E111" s="2"/>
      <c r="F111" s="2"/>
      <c r="G111" s="2"/>
    </row>
    <row r="112" spans="1:7" ht="12.75" hidden="1" customHeight="1" x14ac:dyDescent="0.15">
      <c r="A112" s="2"/>
      <c r="B112" s="2"/>
      <c r="C112" s="2"/>
      <c r="D112" s="2"/>
      <c r="E112" s="2"/>
      <c r="F112" s="2"/>
      <c r="G112" s="2"/>
    </row>
    <row r="113" spans="1:7" ht="12.75" hidden="1" customHeight="1" x14ac:dyDescent="0.15">
      <c r="A113" s="2"/>
      <c r="B113" s="2"/>
      <c r="C113" s="2"/>
      <c r="D113" s="2"/>
      <c r="E113" s="2"/>
      <c r="F113" s="2"/>
      <c r="G113" s="2"/>
    </row>
    <row r="114" spans="1:7" ht="12.75" hidden="1" customHeight="1" x14ac:dyDescent="0.15">
      <c r="A114" s="2"/>
      <c r="B114" s="2"/>
      <c r="C114" s="2"/>
      <c r="D114" s="2"/>
      <c r="E114" s="2"/>
      <c r="F114" s="2"/>
      <c r="G114" s="2"/>
    </row>
    <row r="115" spans="1:7" ht="12.75" hidden="1" customHeight="1" x14ac:dyDescent="0.15">
      <c r="A115" s="2"/>
      <c r="B115" s="2"/>
      <c r="C115" s="2"/>
      <c r="D115" s="2"/>
      <c r="E115" s="2"/>
      <c r="F115" s="2"/>
      <c r="G115" s="2"/>
    </row>
    <row r="116" spans="1:7" ht="12.75" hidden="1" customHeight="1" x14ac:dyDescent="0.15">
      <c r="A116" s="2"/>
      <c r="B116" s="2"/>
      <c r="C116" s="2"/>
      <c r="D116" s="2"/>
      <c r="E116" s="2"/>
      <c r="F116" s="2"/>
      <c r="G116" s="2"/>
    </row>
    <row r="117" spans="1:7" ht="12.75" hidden="1" customHeight="1" x14ac:dyDescent="0.15">
      <c r="A117" s="2"/>
      <c r="B117" s="2"/>
      <c r="C117" s="2"/>
      <c r="D117" s="2"/>
      <c r="E117" s="2"/>
      <c r="F117" s="2"/>
      <c r="G117" s="2"/>
    </row>
    <row r="118" spans="1:7" ht="12.75" hidden="1" customHeight="1" x14ac:dyDescent="0.15">
      <c r="A118" s="2"/>
      <c r="B118" s="2"/>
      <c r="C118" s="2"/>
      <c r="D118" s="2"/>
      <c r="E118" s="2"/>
      <c r="F118" s="2"/>
      <c r="G118" s="2"/>
    </row>
    <row r="119" spans="1:7" ht="12.75" hidden="1" customHeight="1" x14ac:dyDescent="0.15">
      <c r="A119" s="2"/>
      <c r="B119" s="2"/>
      <c r="C119" s="2"/>
      <c r="D119" s="2"/>
      <c r="E119" s="2"/>
      <c r="F119" s="2"/>
      <c r="G119" s="2"/>
    </row>
    <row r="120" spans="1:7" ht="12.75" hidden="1" customHeight="1" x14ac:dyDescent="0.15">
      <c r="A120" s="2"/>
      <c r="B120" s="2"/>
      <c r="C120" s="2"/>
      <c r="D120" s="2"/>
      <c r="E120" s="2"/>
      <c r="F120" s="2"/>
      <c r="G120" s="2"/>
    </row>
    <row r="121" spans="1:7" ht="12.75" hidden="1" customHeight="1" x14ac:dyDescent="0.15">
      <c r="A121" s="2"/>
      <c r="B121" s="2"/>
      <c r="C121" s="2"/>
      <c r="D121" s="2"/>
      <c r="E121" s="2"/>
      <c r="F121" s="2"/>
      <c r="G121" s="2"/>
    </row>
    <row r="122" spans="1:7" ht="12.75" hidden="1" customHeight="1" x14ac:dyDescent="0.15">
      <c r="A122" s="2"/>
      <c r="B122" s="2"/>
      <c r="C122" s="2"/>
      <c r="D122" s="2"/>
      <c r="E122" s="2"/>
      <c r="F122" s="2"/>
      <c r="G122" s="2"/>
    </row>
    <row r="123" spans="1:7" ht="12.75" hidden="1" customHeight="1" x14ac:dyDescent="0.15">
      <c r="A123" s="2"/>
      <c r="B123" s="2"/>
      <c r="C123" s="2"/>
      <c r="D123" s="2"/>
      <c r="E123" s="2"/>
      <c r="F123" s="2"/>
      <c r="G123" s="2"/>
    </row>
    <row r="124" spans="1:7" ht="12.75" hidden="1" customHeight="1" x14ac:dyDescent="0.15">
      <c r="A124" s="2"/>
      <c r="B124" s="2"/>
      <c r="C124" s="2"/>
      <c r="D124" s="2"/>
      <c r="E124" s="2"/>
      <c r="F124" s="2"/>
      <c r="G124" s="2"/>
    </row>
    <row r="125" spans="1:7" ht="12.75" hidden="1" customHeight="1" x14ac:dyDescent="0.15">
      <c r="A125" s="2"/>
      <c r="B125" s="2"/>
      <c r="C125" s="2"/>
      <c r="D125" s="2"/>
      <c r="E125" s="2"/>
      <c r="F125" s="2"/>
      <c r="G125" s="2"/>
    </row>
    <row r="126" spans="1:7" ht="12.75" hidden="1" customHeight="1" x14ac:dyDescent="0.15">
      <c r="A126" s="2"/>
      <c r="B126" s="2"/>
      <c r="C126" s="2"/>
      <c r="D126" s="2"/>
      <c r="E126" s="2"/>
      <c r="F126" s="2"/>
      <c r="G126" s="2"/>
    </row>
    <row r="127" spans="1:7" ht="12.75" hidden="1" customHeight="1" x14ac:dyDescent="0.15">
      <c r="A127" s="2"/>
      <c r="B127" s="2"/>
      <c r="C127" s="2"/>
      <c r="D127" s="2"/>
      <c r="E127" s="2"/>
      <c r="F127" s="2"/>
      <c r="G127" s="2"/>
    </row>
    <row r="128" spans="1:7" ht="12.75" hidden="1" customHeight="1" x14ac:dyDescent="0.15">
      <c r="A128" s="2"/>
      <c r="B128" s="2"/>
      <c r="C128" s="2"/>
      <c r="D128" s="2"/>
      <c r="E128" s="2"/>
      <c r="F128" s="2"/>
      <c r="G128" s="2"/>
    </row>
    <row r="129" spans="1:7" ht="12.75" hidden="1" customHeight="1" x14ac:dyDescent="0.15">
      <c r="A129" s="2"/>
      <c r="B129" s="2"/>
      <c r="C129" s="2"/>
      <c r="D129" s="2"/>
      <c r="E129" s="2"/>
      <c r="F129" s="2"/>
      <c r="G129" s="2"/>
    </row>
    <row r="130" spans="1:7" ht="12.75" hidden="1" customHeight="1" x14ac:dyDescent="0.15">
      <c r="A130" s="2"/>
      <c r="B130" s="2"/>
      <c r="C130" s="2"/>
      <c r="D130" s="2"/>
      <c r="E130" s="2"/>
      <c r="F130" s="2"/>
      <c r="G130" s="2"/>
    </row>
    <row r="131" spans="1:7" ht="12.75" hidden="1" customHeight="1" x14ac:dyDescent="0.15">
      <c r="A131" s="2"/>
      <c r="B131" s="2"/>
      <c r="C131" s="2"/>
      <c r="D131" s="2"/>
      <c r="E131" s="2"/>
      <c r="F131" s="2"/>
      <c r="G131" s="2"/>
    </row>
    <row r="132" spans="1:7" ht="12.75" hidden="1" customHeight="1" x14ac:dyDescent="0.15">
      <c r="A132" s="2"/>
      <c r="B132" s="2"/>
      <c r="C132" s="2"/>
      <c r="D132" s="2"/>
      <c r="E132" s="2"/>
      <c r="F132" s="2"/>
      <c r="G132" s="2"/>
    </row>
    <row r="133" spans="1:7" ht="12.75" hidden="1" customHeight="1" x14ac:dyDescent="0.15">
      <c r="A133" s="2"/>
      <c r="B133" s="2"/>
      <c r="C133" s="2"/>
      <c r="D133" s="2"/>
      <c r="E133" s="2"/>
      <c r="F133" s="2"/>
      <c r="G133" s="2"/>
    </row>
    <row r="134" spans="1:7" ht="12.75" hidden="1" customHeight="1" x14ac:dyDescent="0.15">
      <c r="A134" s="2"/>
      <c r="B134" s="2"/>
      <c r="C134" s="2"/>
      <c r="D134" s="2"/>
      <c r="E134" s="2"/>
      <c r="F134" s="2"/>
      <c r="G134" s="2"/>
    </row>
    <row r="135" spans="1:7" ht="12.75" hidden="1" customHeight="1" x14ac:dyDescent="0.15">
      <c r="A135" s="2"/>
      <c r="B135" s="2"/>
      <c r="C135" s="2"/>
      <c r="D135" s="2"/>
      <c r="E135" s="2"/>
      <c r="F135" s="2"/>
      <c r="G135" s="2"/>
    </row>
    <row r="136" spans="1:7" ht="12.75" hidden="1" customHeight="1" x14ac:dyDescent="0.15">
      <c r="A136" s="2"/>
      <c r="B136" s="2"/>
      <c r="C136" s="2"/>
      <c r="D136" s="2"/>
      <c r="E136" s="2"/>
      <c r="F136" s="2"/>
      <c r="G136" s="2"/>
    </row>
    <row r="137" spans="1:7" ht="12.75" hidden="1" customHeight="1" x14ac:dyDescent="0.15">
      <c r="A137" s="2"/>
      <c r="B137" s="2"/>
      <c r="C137" s="2"/>
      <c r="D137" s="2"/>
      <c r="E137" s="2"/>
      <c r="F137" s="2"/>
      <c r="G137" s="2"/>
    </row>
    <row r="138" spans="1:7" ht="12.75" hidden="1" customHeight="1" x14ac:dyDescent="0.15">
      <c r="A138" s="2"/>
      <c r="B138" s="2"/>
      <c r="C138" s="2"/>
      <c r="D138" s="2"/>
      <c r="E138" s="2"/>
      <c r="F138" s="2"/>
      <c r="G138" s="2"/>
    </row>
    <row r="139" spans="1:7" ht="12.75" hidden="1" customHeight="1" x14ac:dyDescent="0.15">
      <c r="A139" s="2"/>
      <c r="B139" s="2"/>
      <c r="C139" s="2"/>
      <c r="D139" s="2"/>
      <c r="E139" s="2"/>
      <c r="F139" s="2"/>
      <c r="G139" s="2"/>
    </row>
    <row r="140" spans="1:7" ht="12.75" hidden="1" customHeight="1" x14ac:dyDescent="0.15">
      <c r="A140" s="2"/>
      <c r="B140" s="2"/>
      <c r="C140" s="2"/>
      <c r="D140" s="2"/>
      <c r="E140" s="2"/>
      <c r="F140" s="2"/>
      <c r="G140" s="2"/>
    </row>
    <row r="141" spans="1:7" ht="12.75" hidden="1" customHeight="1" x14ac:dyDescent="0.15">
      <c r="A141" s="2"/>
      <c r="B141" s="2"/>
      <c r="C141" s="2"/>
      <c r="D141" s="2"/>
      <c r="E141" s="2"/>
      <c r="F141" s="2"/>
      <c r="G141" s="2"/>
    </row>
    <row r="142" spans="1:7" ht="12.75" hidden="1" customHeight="1" x14ac:dyDescent="0.15">
      <c r="A142" s="2"/>
      <c r="B142" s="2"/>
      <c r="C142" s="2"/>
      <c r="D142" s="2"/>
      <c r="E142" s="2"/>
      <c r="F142" s="2"/>
      <c r="G142" s="2"/>
    </row>
    <row r="143" spans="1:7" ht="12.75" hidden="1" customHeight="1" x14ac:dyDescent="0.15">
      <c r="A143" s="2"/>
      <c r="B143" s="2"/>
      <c r="C143" s="2"/>
      <c r="D143" s="2"/>
      <c r="E143" s="2"/>
      <c r="F143" s="2"/>
      <c r="G143" s="2"/>
    </row>
    <row r="144" spans="1:7" ht="12.75" hidden="1" customHeight="1" x14ac:dyDescent="0.15">
      <c r="A144" s="2"/>
      <c r="B144" s="2"/>
      <c r="C144" s="2"/>
      <c r="D144" s="2"/>
      <c r="E144" s="2"/>
      <c r="F144" s="2"/>
      <c r="G144" s="2"/>
    </row>
    <row r="145" spans="1:7" ht="12.75" hidden="1" customHeight="1" x14ac:dyDescent="0.15">
      <c r="A145" s="2"/>
      <c r="B145" s="2"/>
      <c r="C145" s="2"/>
      <c r="D145" s="2"/>
      <c r="E145" s="2"/>
      <c r="F145" s="2"/>
      <c r="G145" s="2"/>
    </row>
    <row r="146" spans="1:7" ht="12.75" hidden="1" customHeight="1" x14ac:dyDescent="0.15">
      <c r="A146" s="2"/>
      <c r="B146" s="2"/>
      <c r="C146" s="2"/>
      <c r="D146" s="2"/>
      <c r="E146" s="2"/>
      <c r="F146" s="2"/>
      <c r="G146" s="2"/>
    </row>
    <row r="147" spans="1:7" ht="12.75" hidden="1" customHeight="1" x14ac:dyDescent="0.15">
      <c r="A147" s="2"/>
      <c r="B147" s="2"/>
      <c r="C147" s="2"/>
      <c r="D147" s="2"/>
      <c r="E147" s="2"/>
      <c r="F147" s="2"/>
      <c r="G147" s="2"/>
    </row>
    <row r="148" spans="1:7" ht="12.75" hidden="1" customHeight="1" x14ac:dyDescent="0.15">
      <c r="A148" s="2"/>
      <c r="B148" s="2"/>
      <c r="C148" s="2"/>
      <c r="D148" s="2"/>
      <c r="E148" s="2"/>
      <c r="F148" s="2"/>
      <c r="G148" s="2"/>
    </row>
    <row r="149" spans="1:7" ht="12.75" hidden="1" customHeight="1" x14ac:dyDescent="0.15">
      <c r="A149" s="2"/>
      <c r="B149" s="2"/>
      <c r="C149" s="2"/>
      <c r="D149" s="2"/>
      <c r="E149" s="2"/>
      <c r="F149" s="2"/>
      <c r="G149" s="2"/>
    </row>
    <row r="150" spans="1:7" ht="12.75" hidden="1" customHeight="1" x14ac:dyDescent="0.15">
      <c r="A150" s="2"/>
      <c r="B150" s="2"/>
      <c r="C150" s="2"/>
      <c r="D150" s="2"/>
      <c r="E150" s="2"/>
      <c r="F150" s="2"/>
      <c r="G150" s="2"/>
    </row>
    <row r="151" spans="1:7" ht="12.75" hidden="1" customHeight="1" x14ac:dyDescent="0.15">
      <c r="A151" s="2"/>
      <c r="B151" s="2"/>
      <c r="C151" s="2"/>
      <c r="D151" s="2"/>
      <c r="E151" s="2"/>
      <c r="F151" s="2"/>
      <c r="G151" s="2"/>
    </row>
    <row r="152" spans="1:7" ht="12.75" hidden="1" customHeight="1" x14ac:dyDescent="0.15">
      <c r="A152" s="2"/>
      <c r="B152" s="2"/>
      <c r="C152" s="2"/>
      <c r="D152" s="2"/>
      <c r="E152" s="2"/>
      <c r="F152" s="2"/>
      <c r="G152" s="2"/>
    </row>
    <row r="153" spans="1:7" ht="12.75" hidden="1" customHeight="1" x14ac:dyDescent="0.15">
      <c r="A153" s="2"/>
      <c r="B153" s="2"/>
      <c r="C153" s="2"/>
      <c r="D153" s="2"/>
      <c r="E153" s="2"/>
      <c r="F153" s="2"/>
      <c r="G153" s="2"/>
    </row>
    <row r="154" spans="1:7" ht="12.75" hidden="1" customHeight="1" x14ac:dyDescent="0.15">
      <c r="A154" s="2"/>
      <c r="B154" s="2"/>
      <c r="C154" s="2"/>
      <c r="D154" s="2"/>
      <c r="E154" s="2"/>
      <c r="F154" s="2"/>
      <c r="G154" s="2"/>
    </row>
    <row r="155" spans="1:7" ht="12.75" hidden="1" customHeight="1" x14ac:dyDescent="0.15">
      <c r="A155" s="2"/>
      <c r="B155" s="2"/>
      <c r="C155" s="2"/>
      <c r="D155" s="2"/>
      <c r="E155" s="2"/>
      <c r="F155" s="2"/>
      <c r="G155" s="2"/>
    </row>
    <row r="156" spans="1:7" ht="12.75" hidden="1" customHeight="1" x14ac:dyDescent="0.15">
      <c r="A156" s="2"/>
      <c r="B156" s="2"/>
      <c r="C156" s="2"/>
      <c r="D156" s="2"/>
      <c r="E156" s="2"/>
      <c r="F156" s="2"/>
      <c r="G156" s="2"/>
    </row>
    <row r="157" spans="1:7" ht="12.75" hidden="1" customHeight="1" x14ac:dyDescent="0.15">
      <c r="A157" s="2"/>
      <c r="B157" s="2"/>
      <c r="C157" s="2"/>
      <c r="D157" s="2"/>
      <c r="E157" s="2"/>
      <c r="F157" s="2"/>
      <c r="G157" s="2"/>
    </row>
    <row r="158" spans="1:7" ht="12.75" hidden="1" customHeight="1" x14ac:dyDescent="0.15">
      <c r="A158" s="2"/>
      <c r="B158" s="2"/>
      <c r="C158" s="2"/>
      <c r="D158" s="2"/>
      <c r="E158" s="2"/>
      <c r="F158" s="2"/>
      <c r="G158" s="2"/>
    </row>
    <row r="159" spans="1:7" ht="12.75" hidden="1" customHeight="1" x14ac:dyDescent="0.15">
      <c r="A159" s="2"/>
      <c r="B159" s="2"/>
      <c r="C159" s="2"/>
      <c r="D159" s="2"/>
      <c r="E159" s="2"/>
      <c r="F159" s="2"/>
      <c r="G159" s="2"/>
    </row>
    <row r="160" spans="1:7" ht="12.75" customHeight="1" x14ac:dyDescent="0.15">
      <c r="A160" s="2" t="s">
        <v>234</v>
      </c>
      <c r="B160" s="2" t="s">
        <v>233</v>
      </c>
      <c r="C160" s="2" t="s">
        <v>288</v>
      </c>
      <c r="D160" s="2" t="s">
        <v>170</v>
      </c>
      <c r="E160" s="2"/>
      <c r="F160" s="2" t="s">
        <v>289</v>
      </c>
      <c r="G160" s="2"/>
    </row>
    <row r="161" spans="1:7" ht="12.75" hidden="1" customHeight="1" x14ac:dyDescent="0.15">
      <c r="A161" s="2"/>
      <c r="B161" s="2"/>
      <c r="C161" s="2"/>
      <c r="D161" s="2"/>
      <c r="E161" s="2"/>
      <c r="F161" s="2"/>
      <c r="G161" s="2"/>
    </row>
    <row r="162" spans="1:7" ht="12.75" customHeight="1" x14ac:dyDescent="0.15">
      <c r="A162" s="2" t="s">
        <v>290</v>
      </c>
      <c r="B162" s="2" t="s">
        <v>291</v>
      </c>
      <c r="C162" s="2" t="s">
        <v>292</v>
      </c>
      <c r="D162" s="2" t="s">
        <v>170</v>
      </c>
      <c r="E162" s="2"/>
      <c r="F162" s="2"/>
      <c r="G162" s="2"/>
    </row>
    <row r="163" spans="1:7" ht="12.75" customHeight="1" x14ac:dyDescent="0.15">
      <c r="A163" s="2" t="s">
        <v>129</v>
      </c>
      <c r="B163" s="2" t="s">
        <v>128</v>
      </c>
      <c r="C163" s="2" t="s">
        <v>293</v>
      </c>
      <c r="D163" s="2" t="s">
        <v>170</v>
      </c>
      <c r="E163" s="2"/>
      <c r="F163" s="2" t="s">
        <v>294</v>
      </c>
      <c r="G163" s="2" t="s">
        <v>295</v>
      </c>
    </row>
    <row r="164" spans="1:7" ht="12.75" hidden="1" customHeight="1" x14ac:dyDescent="0.15">
      <c r="A164" s="2"/>
      <c r="B164" s="2"/>
      <c r="C164" s="2"/>
      <c r="D164" s="2"/>
      <c r="E164" s="2"/>
      <c r="F164" s="2"/>
      <c r="G164" s="2"/>
    </row>
    <row r="165" spans="1:7" ht="12.75" hidden="1" customHeight="1" x14ac:dyDescent="0.15">
      <c r="A165" s="2"/>
      <c r="B165" s="2"/>
      <c r="C165" s="2"/>
      <c r="D165" s="2"/>
      <c r="E165" s="2"/>
      <c r="F165" s="2"/>
      <c r="G165" s="2"/>
    </row>
    <row r="166" spans="1:7" ht="12.75" hidden="1" customHeight="1" x14ac:dyDescent="0.15">
      <c r="A166" s="2"/>
      <c r="B166" s="2"/>
      <c r="C166" s="2"/>
      <c r="D166" s="2"/>
      <c r="E166" s="2"/>
      <c r="F166" s="2"/>
      <c r="G166" s="2"/>
    </row>
    <row r="167" spans="1:7" ht="12.75" hidden="1" customHeight="1" x14ac:dyDescent="0.15">
      <c r="A167" s="2"/>
      <c r="B167" s="2"/>
      <c r="C167" s="2"/>
      <c r="D167" s="2"/>
      <c r="E167" s="2"/>
      <c r="F167" s="2"/>
      <c r="G167" s="2"/>
    </row>
    <row r="168" spans="1:7" ht="12.75" hidden="1" customHeight="1" x14ac:dyDescent="0.15">
      <c r="A168" s="2"/>
      <c r="B168" s="2"/>
      <c r="C168" s="2"/>
      <c r="D168" s="2"/>
      <c r="E168" s="2"/>
      <c r="F168" s="2"/>
      <c r="G168" s="2"/>
    </row>
    <row r="169" spans="1:7" ht="12.75" hidden="1" customHeight="1" x14ac:dyDescent="0.15">
      <c r="A169" s="2"/>
      <c r="B169" s="2"/>
      <c r="C169" s="2"/>
      <c r="D169" s="2"/>
      <c r="E169" s="2"/>
      <c r="F169" s="2"/>
      <c r="G169" s="2"/>
    </row>
    <row r="170" spans="1:7" ht="12.75" hidden="1" customHeight="1" x14ac:dyDescent="0.15">
      <c r="A170" s="2"/>
      <c r="B170" s="2"/>
      <c r="C170" s="2"/>
      <c r="D170" s="2"/>
      <c r="E170" s="2"/>
      <c r="F170" s="2"/>
      <c r="G170" s="2"/>
    </row>
    <row r="171" spans="1:7" ht="12.75" hidden="1" customHeight="1" x14ac:dyDescent="0.15">
      <c r="A171" s="2"/>
      <c r="B171" s="2"/>
      <c r="C171" s="2"/>
      <c r="D171" s="2"/>
      <c r="E171" s="2"/>
      <c r="F171" s="2"/>
      <c r="G171" s="2"/>
    </row>
    <row r="172" spans="1:7" ht="12.75" hidden="1" customHeight="1" x14ac:dyDescent="0.15">
      <c r="A172" s="2"/>
      <c r="B172" s="2"/>
      <c r="C172" s="2"/>
      <c r="D172" s="2"/>
      <c r="E172" s="2"/>
      <c r="F172" s="2"/>
      <c r="G172" s="2"/>
    </row>
    <row r="173" spans="1:7" ht="12.75" hidden="1" customHeight="1" x14ac:dyDescent="0.15">
      <c r="A173" s="2"/>
      <c r="B173" s="2"/>
      <c r="C173" s="2"/>
      <c r="D173" s="2"/>
      <c r="E173" s="2"/>
      <c r="F173" s="2"/>
      <c r="G173" s="2"/>
    </row>
    <row r="174" spans="1:7" ht="12.75" hidden="1" customHeight="1" x14ac:dyDescent="0.15">
      <c r="A174" s="2"/>
      <c r="B174" s="2"/>
      <c r="C174" s="2"/>
      <c r="D174" s="2"/>
      <c r="E174" s="2"/>
      <c r="F174" s="2"/>
      <c r="G174" s="2"/>
    </row>
    <row r="175" spans="1:7" ht="12.75" hidden="1" customHeight="1" x14ac:dyDescent="0.15">
      <c r="A175" s="2"/>
      <c r="B175" s="2"/>
      <c r="C175" s="2"/>
      <c r="D175" s="2"/>
      <c r="E175" s="2"/>
      <c r="F175" s="2"/>
      <c r="G175" s="2"/>
    </row>
    <row r="176" spans="1:7" ht="12.75" hidden="1" customHeight="1" x14ac:dyDescent="0.15">
      <c r="A176" s="2"/>
      <c r="B176" s="2"/>
      <c r="C176" s="2"/>
      <c r="D176" s="2"/>
      <c r="E176" s="2"/>
      <c r="F176" s="2"/>
      <c r="G176" s="2"/>
    </row>
    <row r="177" spans="1:7" ht="12.75" hidden="1" customHeight="1" x14ac:dyDescent="0.15">
      <c r="A177" s="2"/>
      <c r="B177" s="2"/>
      <c r="C177" s="2"/>
      <c r="D177" s="2"/>
      <c r="E177" s="2"/>
      <c r="F177" s="2"/>
      <c r="G177" s="2"/>
    </row>
    <row r="178" spans="1:7" ht="12.75" hidden="1" customHeight="1" x14ac:dyDescent="0.15">
      <c r="A178" s="2"/>
      <c r="B178" s="2"/>
      <c r="C178" s="2"/>
      <c r="D178" s="2"/>
      <c r="E178" s="2"/>
      <c r="F178" s="2"/>
      <c r="G178" s="2"/>
    </row>
    <row r="179" spans="1:7" ht="12.75" hidden="1" customHeight="1" x14ac:dyDescent="0.15">
      <c r="A179" s="2"/>
      <c r="B179" s="2"/>
      <c r="C179" s="2"/>
      <c r="D179" s="2"/>
      <c r="E179" s="2"/>
      <c r="F179" s="2"/>
      <c r="G179" s="2"/>
    </row>
    <row r="180" spans="1:7" ht="12.75" hidden="1" customHeight="1" x14ac:dyDescent="0.15">
      <c r="A180" s="2"/>
      <c r="B180" s="2"/>
      <c r="C180" s="2"/>
      <c r="D180" s="2"/>
      <c r="E180" s="2"/>
      <c r="F180" s="2"/>
      <c r="G180" s="2"/>
    </row>
    <row r="181" spans="1:7" ht="12.75" hidden="1" customHeight="1" x14ac:dyDescent="0.15">
      <c r="A181" s="2"/>
      <c r="B181" s="2"/>
      <c r="C181" s="2"/>
      <c r="D181" s="2"/>
      <c r="E181" s="2"/>
      <c r="F181" s="2"/>
      <c r="G181" s="2"/>
    </row>
    <row r="182" spans="1:7" ht="12.75" hidden="1" customHeight="1" x14ac:dyDescent="0.15">
      <c r="A182" s="2"/>
      <c r="B182" s="2"/>
      <c r="C182" s="2"/>
      <c r="D182" s="2"/>
      <c r="E182" s="2"/>
      <c r="F182" s="2"/>
      <c r="G182" s="2"/>
    </row>
    <row r="183" spans="1:7" ht="12.75" hidden="1" customHeight="1" x14ac:dyDescent="0.15">
      <c r="A183" s="2"/>
      <c r="B183" s="2"/>
      <c r="C183" s="2"/>
      <c r="D183" s="2"/>
      <c r="E183" s="2"/>
      <c r="F183" s="2"/>
      <c r="G183" s="2"/>
    </row>
    <row r="184" spans="1:7" ht="12.75" hidden="1" customHeight="1" x14ac:dyDescent="0.15">
      <c r="A184" s="2"/>
      <c r="B184" s="2"/>
      <c r="C184" s="2"/>
      <c r="D184" s="2"/>
      <c r="E184" s="2"/>
      <c r="F184" s="2"/>
      <c r="G184" s="2"/>
    </row>
    <row r="185" spans="1:7" ht="12.75" hidden="1" customHeight="1" x14ac:dyDescent="0.15">
      <c r="A185" s="2"/>
      <c r="B185" s="2"/>
      <c r="C185" s="2"/>
      <c r="D185" s="2"/>
      <c r="E185" s="2"/>
      <c r="F185" s="2"/>
      <c r="G185" s="2"/>
    </row>
    <row r="186" spans="1:7" ht="12.75" hidden="1" customHeight="1" x14ac:dyDescent="0.15">
      <c r="A186" s="2"/>
      <c r="B186" s="2"/>
      <c r="C186" s="2"/>
      <c r="D186" s="2"/>
      <c r="E186" s="2"/>
      <c r="F186" s="2"/>
      <c r="G186" s="2"/>
    </row>
    <row r="187" spans="1:7" ht="12.75" hidden="1" customHeight="1" x14ac:dyDescent="0.15">
      <c r="A187" s="2"/>
      <c r="B187" s="2"/>
      <c r="C187" s="2"/>
      <c r="D187" s="2"/>
      <c r="E187" s="2"/>
      <c r="F187" s="2"/>
      <c r="G187" s="2"/>
    </row>
    <row r="188" spans="1:7" ht="12.75" hidden="1" customHeight="1" x14ac:dyDescent="0.15">
      <c r="A188" s="2"/>
      <c r="B188" s="2"/>
      <c r="C188" s="2"/>
      <c r="D188" s="2"/>
      <c r="E188" s="2"/>
      <c r="F188" s="2"/>
      <c r="G188" s="2"/>
    </row>
    <row r="189" spans="1:7" ht="12.75" hidden="1" customHeight="1" x14ac:dyDescent="0.15">
      <c r="A189" s="2"/>
      <c r="B189" s="2"/>
      <c r="C189" s="2"/>
      <c r="D189" s="2"/>
      <c r="E189" s="2"/>
      <c r="F189" s="2"/>
      <c r="G189" s="2"/>
    </row>
    <row r="190" spans="1:7" ht="12.75" hidden="1" customHeight="1" x14ac:dyDescent="0.15">
      <c r="A190" s="2"/>
      <c r="B190" s="2"/>
      <c r="C190" s="2"/>
      <c r="D190" s="2"/>
      <c r="E190" s="2"/>
      <c r="F190" s="2"/>
      <c r="G190" s="2"/>
    </row>
    <row r="191" spans="1:7" ht="12.75" hidden="1" customHeight="1" x14ac:dyDescent="0.15">
      <c r="A191" s="2"/>
      <c r="B191" s="2"/>
      <c r="C191" s="2"/>
      <c r="D191" s="2"/>
      <c r="E191" s="2"/>
      <c r="F191" s="2"/>
      <c r="G191" s="2"/>
    </row>
    <row r="192" spans="1:7" ht="12.75" hidden="1" customHeight="1" x14ac:dyDescent="0.15">
      <c r="A192" s="2"/>
      <c r="B192" s="2"/>
      <c r="C192" s="2"/>
      <c r="D192" s="2"/>
      <c r="E192" s="2"/>
      <c r="F192" s="2"/>
      <c r="G192" s="2"/>
    </row>
    <row r="193" spans="1:7" ht="12.75" hidden="1" customHeight="1" x14ac:dyDescent="0.15">
      <c r="A193" s="2"/>
      <c r="B193" s="2"/>
      <c r="C193" s="2"/>
      <c r="D193" s="2"/>
      <c r="E193" s="2"/>
      <c r="F193" s="2"/>
      <c r="G193" s="2"/>
    </row>
    <row r="194" spans="1:7" ht="12.75" hidden="1" customHeight="1" x14ac:dyDescent="0.15">
      <c r="A194" s="2"/>
      <c r="B194" s="2"/>
      <c r="C194" s="2"/>
      <c r="D194" s="2"/>
      <c r="E194" s="2"/>
      <c r="F194" s="2"/>
      <c r="G194" s="2"/>
    </row>
    <row r="195" spans="1:7" ht="12.75" hidden="1" customHeight="1" x14ac:dyDescent="0.15">
      <c r="A195" s="2"/>
      <c r="B195" s="2"/>
      <c r="C195" s="2"/>
      <c r="D195" s="2"/>
      <c r="E195" s="2"/>
      <c r="F195" s="2"/>
      <c r="G195" s="2"/>
    </row>
    <row r="196" spans="1:7" ht="12.75" hidden="1" customHeight="1" x14ac:dyDescent="0.15">
      <c r="A196" s="2"/>
      <c r="B196" s="2"/>
      <c r="C196" s="2"/>
      <c r="D196" s="2"/>
      <c r="E196" s="2"/>
      <c r="F196" s="2"/>
      <c r="G196" s="2"/>
    </row>
    <row r="197" spans="1:7" ht="12.75" hidden="1" customHeight="1" x14ac:dyDescent="0.15">
      <c r="A197" s="2"/>
      <c r="B197" s="2"/>
      <c r="C197" s="2"/>
      <c r="D197" s="2"/>
      <c r="E197" s="2"/>
      <c r="F197" s="2"/>
      <c r="G197" s="2"/>
    </row>
    <row r="198" spans="1:7" ht="12.75" hidden="1" customHeight="1" x14ac:dyDescent="0.15">
      <c r="A198" s="2"/>
      <c r="B198" s="2"/>
      <c r="C198" s="2"/>
      <c r="D198" s="2"/>
      <c r="E198" s="2"/>
      <c r="F198" s="2"/>
      <c r="G198" s="2"/>
    </row>
    <row r="199" spans="1:7" ht="12.75" hidden="1" customHeight="1" x14ac:dyDescent="0.15">
      <c r="A199" s="2"/>
      <c r="B199" s="2"/>
      <c r="C199" s="2"/>
      <c r="D199" s="2"/>
      <c r="E199" s="2"/>
      <c r="F199" s="2"/>
      <c r="G199" s="2"/>
    </row>
    <row r="200" spans="1:7" ht="12.75" hidden="1" customHeight="1" x14ac:dyDescent="0.15">
      <c r="A200" s="2"/>
      <c r="B200" s="2"/>
      <c r="C200" s="2"/>
      <c r="D200" s="2"/>
      <c r="E200" s="2"/>
      <c r="F200" s="2"/>
      <c r="G200" s="2"/>
    </row>
    <row r="201" spans="1:7" ht="12.75" hidden="1" customHeight="1" x14ac:dyDescent="0.15">
      <c r="A201" s="2"/>
      <c r="B201" s="2"/>
      <c r="C201" s="2"/>
      <c r="D201" s="2"/>
      <c r="E201" s="2"/>
      <c r="F201" s="2"/>
      <c r="G201" s="2"/>
    </row>
    <row r="202" spans="1:7" ht="12.75" hidden="1" customHeight="1" x14ac:dyDescent="0.15">
      <c r="A202" s="2"/>
      <c r="B202" s="2"/>
      <c r="C202" s="2"/>
      <c r="D202" s="2"/>
      <c r="E202" s="2"/>
      <c r="F202" s="2"/>
      <c r="G202" s="2"/>
    </row>
    <row r="203" spans="1:7" ht="12.75" hidden="1" customHeight="1" x14ac:dyDescent="0.15">
      <c r="A203" s="2"/>
      <c r="B203" s="2"/>
      <c r="C203" s="2"/>
      <c r="D203" s="2"/>
      <c r="E203" s="2"/>
      <c r="F203" s="2"/>
      <c r="G203" s="2"/>
    </row>
    <row r="204" spans="1:7" ht="12.75" hidden="1" customHeight="1" x14ac:dyDescent="0.15">
      <c r="A204" s="2"/>
      <c r="B204" s="2"/>
      <c r="C204" s="2"/>
      <c r="D204" s="2"/>
      <c r="E204" s="2"/>
      <c r="F204" s="2"/>
      <c r="G204" s="2"/>
    </row>
    <row r="205" spans="1:7" ht="12.75" hidden="1" customHeight="1" x14ac:dyDescent="0.15">
      <c r="A205" s="2"/>
      <c r="B205" s="2"/>
      <c r="C205" s="2"/>
      <c r="D205" s="2"/>
      <c r="E205" s="2"/>
      <c r="F205" s="2"/>
      <c r="G205" s="2"/>
    </row>
    <row r="206" spans="1:7" ht="12.75" hidden="1" customHeight="1" x14ac:dyDescent="0.15">
      <c r="A206" s="2"/>
      <c r="B206" s="2"/>
      <c r="C206" s="2"/>
      <c r="D206" s="2"/>
      <c r="E206" s="2"/>
      <c r="F206" s="2"/>
      <c r="G206" s="2"/>
    </row>
    <row r="207" spans="1:7" ht="12.75" hidden="1" customHeight="1" x14ac:dyDescent="0.15">
      <c r="A207" s="2"/>
      <c r="B207" s="2"/>
      <c r="C207" s="2"/>
      <c r="D207" s="2"/>
      <c r="E207" s="2"/>
      <c r="F207" s="2"/>
      <c r="G207" s="2"/>
    </row>
    <row r="208" spans="1:7" ht="12.75" hidden="1" customHeight="1" x14ac:dyDescent="0.15">
      <c r="A208" s="2"/>
      <c r="B208" s="2"/>
      <c r="C208" s="2"/>
      <c r="D208" s="2"/>
      <c r="E208" s="2"/>
      <c r="F208" s="2"/>
      <c r="G208" s="2"/>
    </row>
    <row r="209" spans="1:7" ht="12.75" hidden="1" customHeight="1" x14ac:dyDescent="0.15">
      <c r="A209" s="2"/>
      <c r="B209" s="2"/>
      <c r="C209" s="2"/>
      <c r="D209" s="2"/>
      <c r="E209" s="2"/>
      <c r="F209" s="2"/>
      <c r="G209" s="2"/>
    </row>
    <row r="210" spans="1:7" ht="12.75" hidden="1" customHeight="1" x14ac:dyDescent="0.15">
      <c r="A210" s="2"/>
      <c r="B210" s="2"/>
      <c r="C210" s="2"/>
      <c r="D210" s="2"/>
      <c r="E210" s="2"/>
      <c r="F210" s="2"/>
      <c r="G210" s="2"/>
    </row>
    <row r="211" spans="1:7" ht="12.75" hidden="1" customHeight="1" x14ac:dyDescent="0.15">
      <c r="A211" s="2"/>
      <c r="B211" s="2"/>
      <c r="C211" s="2"/>
      <c r="D211" s="2"/>
      <c r="E211" s="2"/>
      <c r="F211" s="2"/>
      <c r="G211" s="2"/>
    </row>
    <row r="212" spans="1:7" ht="12.75" hidden="1" customHeight="1" x14ac:dyDescent="0.15">
      <c r="A212" s="2"/>
      <c r="B212" s="2"/>
      <c r="C212" s="2"/>
      <c r="D212" s="2"/>
      <c r="E212" s="2"/>
      <c r="F212" s="2"/>
      <c r="G212" s="2"/>
    </row>
    <row r="213" spans="1:7" ht="12.75" hidden="1" customHeight="1" x14ac:dyDescent="0.15">
      <c r="A213" s="2"/>
      <c r="B213" s="2"/>
      <c r="C213" s="2"/>
      <c r="D213" s="2"/>
      <c r="E213" s="2"/>
      <c r="F213" s="2"/>
      <c r="G213" s="2"/>
    </row>
    <row r="214" spans="1:7" ht="12.75" hidden="1" customHeight="1" x14ac:dyDescent="0.15">
      <c r="A214" s="2"/>
      <c r="B214" s="2"/>
      <c r="C214" s="2"/>
      <c r="D214" s="2"/>
      <c r="E214" s="2"/>
      <c r="F214" s="2"/>
      <c r="G214" s="2"/>
    </row>
    <row r="215" spans="1:7" ht="12.75" hidden="1" customHeight="1" x14ac:dyDescent="0.15">
      <c r="A215" s="2"/>
      <c r="B215" s="2"/>
      <c r="C215" s="2"/>
      <c r="D215" s="2"/>
      <c r="E215" s="2"/>
      <c r="F215" s="2"/>
      <c r="G215" s="2"/>
    </row>
    <row r="216" spans="1:7" ht="12.75" hidden="1" customHeight="1" x14ac:dyDescent="0.15">
      <c r="A216" s="2"/>
      <c r="B216" s="2"/>
      <c r="C216" s="2"/>
      <c r="D216" s="2"/>
      <c r="E216" s="2"/>
      <c r="F216" s="2"/>
      <c r="G216" s="2"/>
    </row>
    <row r="217" spans="1:7" ht="12.75" hidden="1" customHeight="1" x14ac:dyDescent="0.15">
      <c r="A217" s="2"/>
      <c r="B217" s="2"/>
      <c r="C217" s="2"/>
      <c r="D217" s="2"/>
      <c r="E217" s="2"/>
      <c r="F217" s="2"/>
      <c r="G217" s="2"/>
    </row>
    <row r="218" spans="1:7" ht="12.75" hidden="1" customHeight="1" x14ac:dyDescent="0.15">
      <c r="A218" s="2"/>
      <c r="B218" s="2"/>
      <c r="C218" s="2"/>
      <c r="D218" s="2"/>
      <c r="E218" s="2"/>
      <c r="F218" s="2"/>
      <c r="G218" s="2"/>
    </row>
    <row r="219" spans="1:7" ht="12.75" hidden="1" customHeight="1" x14ac:dyDescent="0.15">
      <c r="A219" s="2"/>
      <c r="B219" s="2"/>
      <c r="C219" s="2"/>
      <c r="D219" s="2"/>
      <c r="E219" s="2"/>
      <c r="F219" s="2"/>
      <c r="G219" s="2"/>
    </row>
    <row r="220" spans="1:7" ht="12.75" hidden="1" customHeight="1" x14ac:dyDescent="0.15">
      <c r="A220" s="2"/>
      <c r="B220" s="2"/>
      <c r="C220" s="2"/>
      <c r="D220" s="2"/>
      <c r="E220" s="2"/>
      <c r="F220" s="2"/>
      <c r="G220" s="2"/>
    </row>
    <row r="221" spans="1:7" ht="12.75" hidden="1" customHeight="1" x14ac:dyDescent="0.15">
      <c r="A221" s="2"/>
      <c r="B221" s="2"/>
      <c r="C221" s="2"/>
      <c r="D221" s="2"/>
      <c r="E221" s="2"/>
      <c r="F221" s="2"/>
      <c r="G221" s="2"/>
    </row>
    <row r="222" spans="1:7" ht="12.75" hidden="1" customHeight="1" x14ac:dyDescent="0.15">
      <c r="A222" s="2"/>
      <c r="B222" s="2"/>
      <c r="C222" s="2"/>
      <c r="D222" s="2"/>
      <c r="E222" s="2"/>
      <c r="F222" s="2"/>
      <c r="G222" s="2"/>
    </row>
    <row r="223" spans="1:7" ht="12.75" hidden="1" customHeight="1" x14ac:dyDescent="0.15">
      <c r="A223" s="2"/>
      <c r="B223" s="2"/>
      <c r="C223" s="2"/>
      <c r="D223" s="2"/>
      <c r="E223" s="2"/>
      <c r="F223" s="2"/>
      <c r="G223" s="2"/>
    </row>
    <row r="224" spans="1:7" ht="12.75" hidden="1" customHeight="1" x14ac:dyDescent="0.15">
      <c r="A224" s="2"/>
      <c r="B224" s="2"/>
      <c r="C224" s="2"/>
      <c r="D224" s="2"/>
      <c r="E224" s="2"/>
      <c r="F224" s="2"/>
      <c r="G224" s="2"/>
    </row>
    <row r="225" spans="1:7" ht="12.75" hidden="1" customHeight="1" x14ac:dyDescent="0.15">
      <c r="A225" s="2"/>
      <c r="B225" s="2"/>
      <c r="C225" s="2"/>
      <c r="D225" s="2"/>
      <c r="E225" s="2"/>
      <c r="F225" s="2"/>
      <c r="G225" s="2"/>
    </row>
    <row r="226" spans="1:7" ht="12.75" hidden="1" customHeight="1" x14ac:dyDescent="0.15">
      <c r="A226" s="2"/>
      <c r="B226" s="2"/>
      <c r="C226" s="2"/>
      <c r="D226" s="2"/>
      <c r="E226" s="2"/>
      <c r="F226" s="2"/>
      <c r="G226" s="2"/>
    </row>
    <row r="227" spans="1:7" ht="12.75" hidden="1" customHeight="1" x14ac:dyDescent="0.15">
      <c r="A227" s="2"/>
      <c r="B227" s="2"/>
      <c r="C227" s="2"/>
      <c r="D227" s="2"/>
      <c r="E227" s="2"/>
      <c r="F227" s="2"/>
      <c r="G227" s="2"/>
    </row>
    <row r="228" spans="1:7" ht="12.75" hidden="1" customHeight="1" x14ac:dyDescent="0.15">
      <c r="A228" s="2"/>
      <c r="B228" s="2"/>
      <c r="C228" s="2"/>
      <c r="D228" s="2"/>
      <c r="E228" s="2"/>
      <c r="F228" s="2"/>
      <c r="G228" s="2"/>
    </row>
    <row r="229" spans="1:7" ht="12.75" hidden="1" customHeight="1" x14ac:dyDescent="0.15">
      <c r="A229" s="2"/>
      <c r="B229" s="2"/>
      <c r="C229" s="2"/>
      <c r="D229" s="2"/>
      <c r="E229" s="2"/>
      <c r="F229" s="2"/>
      <c r="G229" s="2"/>
    </row>
    <row r="230" spans="1:7" ht="12.75" hidden="1" customHeight="1" x14ac:dyDescent="0.15">
      <c r="A230" s="2"/>
      <c r="B230" s="2"/>
      <c r="C230" s="2"/>
      <c r="D230" s="2"/>
      <c r="E230" s="2"/>
      <c r="F230" s="2"/>
      <c r="G230" s="2"/>
    </row>
    <row r="231" spans="1:7" ht="12.75" hidden="1" customHeight="1" x14ac:dyDescent="0.15">
      <c r="A231" s="2"/>
      <c r="B231" s="2"/>
      <c r="C231" s="2"/>
      <c r="D231" s="2"/>
      <c r="E231" s="2"/>
      <c r="F231" s="2"/>
      <c r="G231" s="2"/>
    </row>
    <row r="232" spans="1:7" ht="12.75" hidden="1" customHeight="1" x14ac:dyDescent="0.15">
      <c r="A232" s="2"/>
      <c r="B232" s="2"/>
      <c r="C232" s="2"/>
      <c r="D232" s="2"/>
      <c r="E232" s="2"/>
      <c r="F232" s="2"/>
      <c r="G232" s="2"/>
    </row>
    <row r="233" spans="1:7" ht="12.75" hidden="1" customHeight="1" x14ac:dyDescent="0.15">
      <c r="A233" s="2"/>
      <c r="B233" s="2"/>
      <c r="C233" s="2"/>
      <c r="D233" s="2"/>
      <c r="E233" s="2"/>
      <c r="F233" s="2"/>
      <c r="G233" s="2"/>
    </row>
    <row r="234" spans="1:7" ht="12.75" hidden="1" customHeight="1" x14ac:dyDescent="0.15">
      <c r="A234" s="2"/>
      <c r="B234" s="2"/>
      <c r="C234" s="2"/>
      <c r="D234" s="2"/>
      <c r="E234" s="2"/>
      <c r="F234" s="2"/>
      <c r="G234" s="2"/>
    </row>
    <row r="235" spans="1:7" ht="12.75" hidden="1" customHeight="1" x14ac:dyDescent="0.15">
      <c r="A235" s="2"/>
      <c r="B235" s="2"/>
      <c r="C235" s="2"/>
      <c r="D235" s="2"/>
      <c r="E235" s="2"/>
      <c r="F235" s="2"/>
      <c r="G235" s="2"/>
    </row>
    <row r="236" spans="1:7" ht="12.75" hidden="1" customHeight="1" x14ac:dyDescent="0.15">
      <c r="A236" s="2"/>
      <c r="B236" s="2"/>
      <c r="C236" s="2"/>
      <c r="D236" s="2"/>
      <c r="E236" s="2"/>
      <c r="F236" s="2"/>
      <c r="G236" s="2"/>
    </row>
    <row r="237" spans="1:7" ht="12.75" hidden="1" customHeight="1" x14ac:dyDescent="0.15">
      <c r="A237" s="2"/>
      <c r="B237" s="2"/>
      <c r="C237" s="2"/>
      <c r="D237" s="2"/>
      <c r="E237" s="2"/>
      <c r="F237" s="2"/>
      <c r="G237" s="2"/>
    </row>
    <row r="238" spans="1:7" ht="12.75" hidden="1" customHeight="1" x14ac:dyDescent="0.15">
      <c r="A238" s="2"/>
      <c r="B238" s="2"/>
      <c r="C238" s="2"/>
      <c r="D238" s="2"/>
      <c r="E238" s="2"/>
      <c r="F238" s="2"/>
      <c r="G238" s="2"/>
    </row>
    <row r="239" spans="1:7" ht="12.75" hidden="1" customHeight="1" x14ac:dyDescent="0.15">
      <c r="A239" s="2"/>
      <c r="B239" s="2"/>
      <c r="C239" s="2"/>
      <c r="D239" s="2"/>
      <c r="E239" s="2"/>
      <c r="F239" s="2"/>
      <c r="G239" s="2"/>
    </row>
    <row r="240" spans="1:7" ht="12.75" hidden="1" customHeight="1" x14ac:dyDescent="0.15">
      <c r="A240" s="2"/>
      <c r="B240" s="2"/>
      <c r="C240" s="2"/>
      <c r="D240" s="2"/>
      <c r="E240" s="2"/>
      <c r="F240" s="2"/>
      <c r="G240" s="2"/>
    </row>
    <row r="241" spans="1:7" ht="12.75" hidden="1" customHeight="1" x14ac:dyDescent="0.15">
      <c r="A241" s="2"/>
      <c r="B241" s="2"/>
      <c r="C241" s="2"/>
      <c r="D241" s="2"/>
      <c r="E241" s="2"/>
      <c r="F241" s="2"/>
      <c r="G241" s="2"/>
    </row>
    <row r="242" spans="1:7" ht="12.75" hidden="1" customHeight="1" x14ac:dyDescent="0.15">
      <c r="A242" s="2"/>
      <c r="B242" s="2"/>
      <c r="C242" s="2"/>
      <c r="D242" s="2"/>
      <c r="E242" s="2"/>
      <c r="F242" s="2"/>
      <c r="G242" s="2"/>
    </row>
    <row r="243" spans="1:7" ht="12.75" hidden="1" customHeight="1" x14ac:dyDescent="0.15">
      <c r="A243" s="2"/>
      <c r="B243" s="2"/>
      <c r="C243" s="2"/>
      <c r="D243" s="2"/>
      <c r="E243" s="2"/>
      <c r="F243" s="2"/>
      <c r="G243" s="2"/>
    </row>
    <row r="244" spans="1:7" ht="12.75" hidden="1" customHeight="1" x14ac:dyDescent="0.15">
      <c r="A244" s="2"/>
      <c r="B244" s="2"/>
      <c r="C244" s="2"/>
      <c r="D244" s="2"/>
      <c r="E244" s="2"/>
      <c r="F244" s="2"/>
      <c r="G244" s="2"/>
    </row>
    <row r="245" spans="1:7" ht="12.75" hidden="1" customHeight="1" x14ac:dyDescent="0.15">
      <c r="A245" s="2"/>
      <c r="B245" s="2"/>
      <c r="C245" s="2"/>
      <c r="D245" s="2"/>
      <c r="E245" s="2"/>
      <c r="F245" s="2"/>
      <c r="G245" s="2"/>
    </row>
    <row r="246" spans="1:7" ht="12.75" hidden="1" customHeight="1" x14ac:dyDescent="0.15">
      <c r="A246" s="2"/>
      <c r="B246" s="2"/>
      <c r="C246" s="2"/>
      <c r="D246" s="2"/>
      <c r="E246" s="2"/>
      <c r="F246" s="2"/>
      <c r="G246" s="2"/>
    </row>
    <row r="247" spans="1:7" ht="12.75" hidden="1" customHeight="1" x14ac:dyDescent="0.15">
      <c r="A247" s="2"/>
      <c r="B247" s="2"/>
      <c r="C247" s="2"/>
      <c r="D247" s="2"/>
      <c r="E247" s="2"/>
      <c r="F247" s="2"/>
      <c r="G247" s="2"/>
    </row>
    <row r="248" spans="1:7" ht="12.75" hidden="1" customHeight="1" x14ac:dyDescent="0.15">
      <c r="A248" s="2"/>
      <c r="B248" s="2"/>
      <c r="C248" s="2"/>
      <c r="D248" s="2"/>
      <c r="E248" s="2"/>
      <c r="F248" s="2"/>
      <c r="G248" s="2"/>
    </row>
    <row r="249" spans="1:7" ht="12.75" hidden="1" customHeight="1" x14ac:dyDescent="0.15">
      <c r="A249" s="2"/>
      <c r="B249" s="2"/>
      <c r="C249" s="2"/>
      <c r="D249" s="2"/>
      <c r="E249" s="2"/>
      <c r="F249" s="2"/>
      <c r="G249" s="2"/>
    </row>
    <row r="250" spans="1:7" ht="12.75" hidden="1" customHeight="1" x14ac:dyDescent="0.15">
      <c r="A250" s="2"/>
      <c r="B250" s="2"/>
      <c r="C250" s="2"/>
      <c r="D250" s="2"/>
      <c r="E250" s="2"/>
      <c r="F250" s="2"/>
      <c r="G250" s="2"/>
    </row>
    <row r="251" spans="1:7" ht="12.75" hidden="1" customHeight="1" x14ac:dyDescent="0.15">
      <c r="A251" s="2"/>
      <c r="B251" s="2"/>
      <c r="C251" s="2"/>
      <c r="D251" s="2"/>
      <c r="E251" s="2"/>
      <c r="F251" s="2"/>
      <c r="G251" s="2"/>
    </row>
    <row r="252" spans="1:7" ht="12.75" hidden="1" customHeight="1" x14ac:dyDescent="0.15">
      <c r="A252" s="2"/>
      <c r="B252" s="2"/>
      <c r="C252" s="2"/>
      <c r="D252" s="2"/>
      <c r="E252" s="2"/>
      <c r="F252" s="2"/>
      <c r="G252" s="2"/>
    </row>
    <row r="253" spans="1:7" ht="12.75" hidden="1" customHeight="1" x14ac:dyDescent="0.15">
      <c r="A253" s="2"/>
      <c r="B253" s="2"/>
      <c r="C253" s="2"/>
      <c r="D253" s="2"/>
      <c r="E253" s="2"/>
      <c r="F253" s="2"/>
      <c r="G253" s="2"/>
    </row>
    <row r="254" spans="1:7" ht="12.75" hidden="1" customHeight="1" x14ac:dyDescent="0.15">
      <c r="A254" s="2"/>
      <c r="B254" s="2"/>
      <c r="C254" s="2"/>
      <c r="D254" s="2"/>
      <c r="E254" s="2"/>
      <c r="F254" s="2"/>
      <c r="G254" s="2"/>
    </row>
    <row r="255" spans="1:7" ht="12.75" hidden="1" customHeight="1" x14ac:dyDescent="0.15">
      <c r="A255" s="2"/>
      <c r="B255" s="2"/>
      <c r="C255" s="2"/>
      <c r="D255" s="2"/>
      <c r="E255" s="2"/>
      <c r="F255" s="2"/>
      <c r="G255" s="2"/>
    </row>
    <row r="256" spans="1:7" ht="12.75" hidden="1" customHeight="1" x14ac:dyDescent="0.15">
      <c r="A256" s="2"/>
      <c r="B256" s="2"/>
      <c r="C256" s="2"/>
      <c r="D256" s="2"/>
      <c r="E256" s="2"/>
      <c r="F256" s="2"/>
      <c r="G256" s="2"/>
    </row>
    <row r="257" spans="1:7" ht="12.75" hidden="1" customHeight="1" x14ac:dyDescent="0.15">
      <c r="A257" s="2"/>
      <c r="B257" s="2"/>
      <c r="C257" s="2"/>
      <c r="D257" s="2"/>
      <c r="E257" s="2"/>
      <c r="F257" s="2"/>
      <c r="G257" s="2"/>
    </row>
    <row r="258" spans="1:7" ht="12.75" hidden="1" customHeight="1" x14ac:dyDescent="0.15">
      <c r="A258" s="2"/>
      <c r="B258" s="2"/>
      <c r="C258" s="2"/>
      <c r="D258" s="2"/>
      <c r="E258" s="2"/>
      <c r="F258" s="2"/>
      <c r="G258" s="2"/>
    </row>
    <row r="259" spans="1:7" ht="12.75" hidden="1" customHeight="1" x14ac:dyDescent="0.15">
      <c r="A259" s="2"/>
      <c r="B259" s="2"/>
      <c r="C259" s="2"/>
      <c r="D259" s="2"/>
      <c r="E259" s="2"/>
      <c r="F259" s="2"/>
      <c r="G259" s="2"/>
    </row>
    <row r="260" spans="1:7" ht="12.75" hidden="1" customHeight="1" x14ac:dyDescent="0.15">
      <c r="A260" s="2"/>
      <c r="B260" s="2"/>
      <c r="C260" s="2"/>
      <c r="D260" s="2"/>
      <c r="E260" s="2"/>
      <c r="F260" s="2"/>
      <c r="G260" s="2"/>
    </row>
    <row r="261" spans="1:7" ht="12.75" hidden="1" customHeight="1" x14ac:dyDescent="0.15">
      <c r="A261" s="2"/>
      <c r="B261" s="2"/>
      <c r="C261" s="2"/>
      <c r="D261" s="2"/>
      <c r="E261" s="2"/>
      <c r="F261" s="2"/>
      <c r="G261" s="2"/>
    </row>
    <row r="262" spans="1:7" ht="12.75" hidden="1" customHeight="1" x14ac:dyDescent="0.15">
      <c r="A262" s="2"/>
      <c r="B262" s="2"/>
      <c r="C262" s="2"/>
      <c r="D262" s="2"/>
      <c r="E262" s="2"/>
      <c r="F262" s="2"/>
      <c r="G262" s="2"/>
    </row>
    <row r="263" spans="1:7" ht="12.75" hidden="1" customHeight="1" x14ac:dyDescent="0.15">
      <c r="A263" s="2"/>
      <c r="B263" s="2"/>
      <c r="C263" s="2"/>
      <c r="D263" s="2"/>
      <c r="E263" s="2"/>
      <c r="F263" s="2"/>
      <c r="G263" s="2"/>
    </row>
    <row r="264" spans="1:7" ht="12.75" hidden="1" customHeight="1" x14ac:dyDescent="0.15">
      <c r="A264" s="2"/>
      <c r="B264" s="2"/>
      <c r="C264" s="2"/>
      <c r="D264" s="2"/>
      <c r="E264" s="2"/>
      <c r="F264" s="2"/>
      <c r="G264" s="2"/>
    </row>
    <row r="265" spans="1:7" ht="12.75" hidden="1" customHeight="1" x14ac:dyDescent="0.15">
      <c r="A265" s="2"/>
      <c r="B265" s="2"/>
      <c r="C265" s="2"/>
      <c r="D265" s="2"/>
      <c r="E265" s="2"/>
      <c r="F265" s="2"/>
      <c r="G265" s="2"/>
    </row>
    <row r="266" spans="1:7" ht="12.75" hidden="1" customHeight="1" x14ac:dyDescent="0.15">
      <c r="A266" s="2"/>
      <c r="B266" s="2"/>
      <c r="C266" s="2"/>
      <c r="D266" s="2"/>
      <c r="E266" s="2"/>
      <c r="F266" s="2"/>
      <c r="G266" s="2"/>
    </row>
    <row r="267" spans="1:7" ht="12.75" hidden="1" customHeight="1" x14ac:dyDescent="0.15">
      <c r="A267" s="2"/>
      <c r="B267" s="2"/>
      <c r="C267" s="2"/>
      <c r="D267" s="2"/>
      <c r="E267" s="2"/>
      <c r="F267" s="2"/>
      <c r="G267" s="2"/>
    </row>
    <row r="268" spans="1:7" ht="12.75" hidden="1" customHeight="1" x14ac:dyDescent="0.15">
      <c r="A268" s="2"/>
      <c r="B268" s="2"/>
      <c r="C268" s="2"/>
      <c r="D268" s="2"/>
      <c r="E268" s="2"/>
      <c r="F268" s="2"/>
      <c r="G268" s="2"/>
    </row>
    <row r="269" spans="1:7" ht="12.75" hidden="1" customHeight="1" x14ac:dyDescent="0.15">
      <c r="A269" s="2"/>
      <c r="B269" s="2"/>
      <c r="C269" s="2"/>
      <c r="D269" s="2"/>
      <c r="E269" s="2"/>
      <c r="F269" s="2"/>
      <c r="G269" s="2"/>
    </row>
    <row r="270" spans="1:7" ht="12.75" hidden="1" customHeight="1" x14ac:dyDescent="0.15">
      <c r="A270" s="2"/>
      <c r="B270" s="2"/>
      <c r="C270" s="2"/>
      <c r="D270" s="2"/>
      <c r="E270" s="2"/>
      <c r="F270" s="2"/>
      <c r="G270" s="2"/>
    </row>
    <row r="271" spans="1:7" ht="12.75" customHeight="1" x14ac:dyDescent="0.15">
      <c r="A271" s="2" t="s">
        <v>300</v>
      </c>
      <c r="B271" s="2" t="s">
        <v>282</v>
      </c>
      <c r="C271" s="2" t="s">
        <v>301</v>
      </c>
      <c r="D271" s="2" t="s">
        <v>170</v>
      </c>
      <c r="E271" s="2" t="s">
        <v>302</v>
      </c>
      <c r="F271" s="2" t="s">
        <v>303</v>
      </c>
      <c r="G271" s="2"/>
    </row>
    <row r="272" spans="1:7" ht="12.75" hidden="1" customHeight="1" x14ac:dyDescent="0.15">
      <c r="A272" s="2"/>
      <c r="B272" s="2"/>
      <c r="C272" s="2"/>
      <c r="D272" s="2"/>
      <c r="E272" s="2"/>
      <c r="F272" s="2"/>
      <c r="G272" s="2"/>
    </row>
    <row r="273" spans="1:7" ht="12.75" hidden="1" customHeight="1" x14ac:dyDescent="0.15">
      <c r="A273" s="2"/>
      <c r="B273" s="2"/>
      <c r="C273" s="2"/>
      <c r="D273" s="2"/>
      <c r="E273" s="2"/>
      <c r="F273" s="2"/>
      <c r="G273" s="2"/>
    </row>
    <row r="274" spans="1:7" ht="12.75" customHeight="1" x14ac:dyDescent="0.15">
      <c r="A274" s="2" t="s">
        <v>300</v>
      </c>
      <c r="B274" s="2"/>
      <c r="C274" s="2" t="s">
        <v>304</v>
      </c>
      <c r="D274" s="2" t="s">
        <v>170</v>
      </c>
      <c r="E274" s="2"/>
      <c r="F274" s="2"/>
      <c r="G274" s="2"/>
    </row>
    <row r="275" spans="1:7" ht="12.75" hidden="1" customHeight="1" x14ac:dyDescent="0.15">
      <c r="A275" s="2"/>
      <c r="B275" s="2"/>
      <c r="C275" s="2"/>
      <c r="D275" s="2"/>
      <c r="E275" s="2"/>
      <c r="F275" s="2"/>
      <c r="G275" s="2"/>
    </row>
    <row r="276" spans="1:7" ht="12.75" hidden="1" customHeight="1" x14ac:dyDescent="0.15">
      <c r="A276" s="2"/>
      <c r="B276" s="2"/>
      <c r="C276" s="2"/>
      <c r="D276" s="2"/>
      <c r="E276" s="2"/>
      <c r="F276" s="2"/>
      <c r="G276" s="2"/>
    </row>
    <row r="277" spans="1:7" ht="12.75" hidden="1" customHeight="1" x14ac:dyDescent="0.15">
      <c r="A277" s="2"/>
      <c r="B277" s="2"/>
      <c r="C277" s="2"/>
      <c r="D277" s="2"/>
      <c r="E277" s="2"/>
      <c r="F277" s="2"/>
      <c r="G277" s="2"/>
    </row>
    <row r="278" spans="1:7" ht="12.75" hidden="1" customHeight="1" x14ac:dyDescent="0.15">
      <c r="A278" s="2"/>
      <c r="B278" s="2"/>
      <c r="C278" s="2"/>
      <c r="D278" s="2"/>
      <c r="E278" s="2"/>
      <c r="F278" s="2"/>
      <c r="G278" s="2"/>
    </row>
    <row r="279" spans="1:7" ht="12.75" hidden="1" customHeight="1" x14ac:dyDescent="0.15">
      <c r="A279" s="2"/>
      <c r="B279" s="2"/>
      <c r="C279" s="2"/>
      <c r="D279" s="2"/>
      <c r="E279" s="2"/>
      <c r="F279" s="2"/>
      <c r="G279" s="2"/>
    </row>
    <row r="280" spans="1:7" ht="12.75" hidden="1" customHeight="1" x14ac:dyDescent="0.15">
      <c r="A280" s="2"/>
      <c r="B280" s="2"/>
      <c r="C280" s="2"/>
      <c r="D280" s="2"/>
      <c r="E280" s="2"/>
      <c r="F280" s="2"/>
      <c r="G280" s="2"/>
    </row>
    <row r="281" spans="1:7" ht="12.75" hidden="1" customHeight="1" x14ac:dyDescent="0.15">
      <c r="A281" s="2"/>
      <c r="B281" s="2"/>
      <c r="C281" s="2"/>
      <c r="D281" s="2"/>
      <c r="E281" s="2"/>
      <c r="F281" s="2"/>
      <c r="G281" s="2"/>
    </row>
    <row r="282" spans="1:7" ht="12.75" hidden="1" customHeight="1" x14ac:dyDescent="0.15">
      <c r="A282" s="2"/>
      <c r="B282" s="2"/>
      <c r="C282" s="2"/>
      <c r="D282" s="2"/>
      <c r="E282" s="2"/>
      <c r="F282" s="2"/>
      <c r="G282" s="2"/>
    </row>
    <row r="283" spans="1:7" ht="12.75" hidden="1" customHeight="1" x14ac:dyDescent="0.15">
      <c r="A283" s="2"/>
      <c r="B283" s="2"/>
      <c r="C283" s="2"/>
      <c r="D283" s="2"/>
      <c r="E283" s="2"/>
      <c r="F283" s="2"/>
      <c r="G283" s="2"/>
    </row>
    <row r="284" spans="1:7" ht="12.75" hidden="1" customHeight="1" x14ac:dyDescent="0.15">
      <c r="A284" s="2"/>
      <c r="B284" s="2"/>
      <c r="C284" s="2"/>
      <c r="D284" s="2"/>
      <c r="E284" s="2"/>
      <c r="F284" s="2"/>
      <c r="G284" s="2"/>
    </row>
    <row r="285" spans="1:7" ht="12.75" hidden="1" customHeight="1" x14ac:dyDescent="0.15">
      <c r="A285" s="2"/>
      <c r="B285" s="2"/>
      <c r="C285" s="2"/>
      <c r="D285" s="2"/>
      <c r="E285" s="2"/>
      <c r="F285" s="2"/>
      <c r="G285" s="2"/>
    </row>
    <row r="286" spans="1:7" ht="12.75" hidden="1" customHeight="1" x14ac:dyDescent="0.15">
      <c r="A286" s="2"/>
      <c r="B286" s="2"/>
      <c r="C286" s="2"/>
      <c r="D286" s="2"/>
      <c r="E286" s="2"/>
      <c r="F286" s="2"/>
      <c r="G286" s="2"/>
    </row>
    <row r="287" spans="1:7" ht="12.75" hidden="1" customHeight="1" x14ac:dyDescent="0.15">
      <c r="A287" s="2"/>
      <c r="B287" s="2"/>
      <c r="C287" s="2"/>
      <c r="D287" s="2"/>
      <c r="E287" s="2"/>
      <c r="F287" s="2"/>
      <c r="G287" s="2"/>
    </row>
    <row r="288" spans="1:7" ht="12.75" hidden="1" customHeight="1" x14ac:dyDescent="0.15">
      <c r="A288" s="2"/>
      <c r="B288" s="2"/>
      <c r="C288" s="2"/>
      <c r="D288" s="2"/>
      <c r="E288" s="2"/>
      <c r="F288" s="2"/>
      <c r="G288" s="2"/>
    </row>
    <row r="289" spans="1:7" ht="12.75" hidden="1" customHeight="1" x14ac:dyDescent="0.15">
      <c r="A289" s="2"/>
      <c r="B289" s="2"/>
      <c r="C289" s="2"/>
      <c r="D289" s="2"/>
      <c r="E289" s="2"/>
      <c r="F289" s="2"/>
      <c r="G289" s="2"/>
    </row>
    <row r="290" spans="1:7" ht="12.75" hidden="1" customHeight="1" x14ac:dyDescent="0.15">
      <c r="A290" s="2"/>
      <c r="B290" s="2"/>
      <c r="C290" s="2"/>
      <c r="D290" s="2"/>
      <c r="E290" s="2"/>
      <c r="F290" s="2"/>
      <c r="G290" s="2"/>
    </row>
    <row r="291" spans="1:7" ht="12.75" hidden="1" customHeight="1" x14ac:dyDescent="0.15">
      <c r="A291" s="2"/>
      <c r="B291" s="2"/>
      <c r="C291" s="2"/>
      <c r="D291" s="2"/>
      <c r="E291" s="2"/>
      <c r="F291" s="2"/>
      <c r="G291" s="2"/>
    </row>
    <row r="292" spans="1:7" ht="12.75" hidden="1" customHeight="1" x14ac:dyDescent="0.15">
      <c r="A292" s="2"/>
      <c r="B292" s="2"/>
      <c r="C292" s="2"/>
      <c r="D292" s="2"/>
      <c r="E292" s="2"/>
      <c r="F292" s="2"/>
      <c r="G292" s="2"/>
    </row>
    <row r="293" spans="1:7" ht="12.75" hidden="1" customHeight="1" x14ac:dyDescent="0.15">
      <c r="A293" s="2"/>
      <c r="B293" s="2"/>
      <c r="C293" s="2"/>
      <c r="D293" s="2"/>
      <c r="E293" s="2"/>
      <c r="F293" s="2"/>
      <c r="G293" s="2"/>
    </row>
    <row r="294" spans="1:7" ht="12.75" hidden="1" customHeight="1" x14ac:dyDescent="0.15">
      <c r="A294" s="2"/>
      <c r="B294" s="2"/>
      <c r="C294" s="2"/>
      <c r="D294" s="2"/>
      <c r="E294" s="2"/>
      <c r="F294" s="2"/>
      <c r="G294" s="2"/>
    </row>
    <row r="295" spans="1:7" ht="12.75" hidden="1" customHeight="1" x14ac:dyDescent="0.15">
      <c r="A295" s="2"/>
      <c r="B295" s="2"/>
      <c r="C295" s="2"/>
      <c r="D295" s="2"/>
      <c r="E295" s="2"/>
      <c r="F295" s="2"/>
      <c r="G295" s="2"/>
    </row>
    <row r="296" spans="1:7" ht="12.75" hidden="1" customHeight="1" x14ac:dyDescent="0.15">
      <c r="A296" s="2"/>
      <c r="B296" s="2"/>
      <c r="C296" s="2"/>
      <c r="D296" s="2"/>
      <c r="E296" s="2"/>
      <c r="F296" s="2"/>
      <c r="G296" s="2"/>
    </row>
    <row r="297" spans="1:7" ht="12.75" hidden="1" customHeight="1" x14ac:dyDescent="0.15">
      <c r="A297" s="2"/>
      <c r="B297" s="2"/>
      <c r="C297" s="2"/>
      <c r="D297" s="2"/>
      <c r="E297" s="2"/>
      <c r="F297" s="2"/>
      <c r="G297" s="2"/>
    </row>
    <row r="298" spans="1:7" ht="12.75" customHeight="1" x14ac:dyDescent="0.15">
      <c r="A298" s="2" t="s">
        <v>305</v>
      </c>
      <c r="B298" s="2"/>
      <c r="C298" s="2" t="s">
        <v>305</v>
      </c>
      <c r="D298" s="2" t="s">
        <v>170</v>
      </c>
      <c r="E298" s="2"/>
      <c r="F298" s="2"/>
      <c r="G298" s="2"/>
    </row>
    <row r="299" spans="1:7" ht="12.75" hidden="1" customHeight="1" x14ac:dyDescent="0.15">
      <c r="A299" s="2"/>
      <c r="B299" s="2"/>
      <c r="C299" s="2"/>
      <c r="D299" s="2"/>
      <c r="E299" s="2"/>
      <c r="F299" s="2"/>
      <c r="G299" s="2"/>
    </row>
    <row r="300" spans="1:7" ht="12.75" hidden="1" customHeight="1" x14ac:dyDescent="0.15">
      <c r="A300" s="2"/>
      <c r="B300" s="2"/>
      <c r="C300" s="2"/>
      <c r="D300" s="2"/>
      <c r="E300" s="2"/>
      <c r="F300" s="2"/>
      <c r="G300" s="2"/>
    </row>
    <row r="301" spans="1:7" ht="12.75" hidden="1" customHeight="1" x14ac:dyDescent="0.15">
      <c r="A301" s="2"/>
      <c r="B301" s="2"/>
      <c r="C301" s="2"/>
      <c r="D301" s="2"/>
      <c r="E301" s="2"/>
      <c r="F301" s="2"/>
      <c r="G301" s="2"/>
    </row>
    <row r="302" spans="1:7" ht="12.75" hidden="1" customHeight="1" x14ac:dyDescent="0.15">
      <c r="A302" s="2"/>
      <c r="B302" s="2"/>
      <c r="C302" s="2"/>
      <c r="D302" s="2"/>
      <c r="E302" s="2"/>
      <c r="F302" s="2"/>
      <c r="G302" s="2"/>
    </row>
    <row r="303" spans="1:7" ht="12.75" hidden="1" customHeight="1" x14ac:dyDescent="0.15">
      <c r="A303" s="2"/>
      <c r="B303" s="2"/>
      <c r="C303" s="2"/>
      <c r="D303" s="2"/>
      <c r="E303" s="2"/>
      <c r="F303" s="2"/>
      <c r="G303" s="2"/>
    </row>
    <row r="304" spans="1:7" ht="12.75" hidden="1" customHeight="1" x14ac:dyDescent="0.15">
      <c r="A304" s="2"/>
      <c r="B304" s="2"/>
      <c r="C304" s="2"/>
      <c r="D304" s="2"/>
      <c r="E304" s="2"/>
      <c r="F304" s="2"/>
      <c r="G304" s="2"/>
    </row>
    <row r="305" spans="1:7" ht="12.75" hidden="1" customHeight="1" x14ac:dyDescent="0.15">
      <c r="A305" s="2"/>
      <c r="B305" s="2"/>
      <c r="C305" s="2"/>
      <c r="D305" s="2"/>
      <c r="E305" s="2"/>
      <c r="F305" s="2"/>
      <c r="G305" s="2"/>
    </row>
    <row r="306" spans="1:7" ht="12.75" hidden="1" customHeight="1" x14ac:dyDescent="0.15">
      <c r="A306" s="2"/>
      <c r="B306" s="2"/>
      <c r="C306" s="2"/>
      <c r="D306" s="2"/>
      <c r="E306" s="2"/>
      <c r="F306" s="2"/>
      <c r="G306" s="2"/>
    </row>
    <row r="307" spans="1:7" ht="12.75" customHeight="1" x14ac:dyDescent="0.15">
      <c r="A307" s="2" t="s">
        <v>307</v>
      </c>
      <c r="B307" s="2" t="s">
        <v>308</v>
      </c>
      <c r="C307" s="2" t="s">
        <v>309</v>
      </c>
      <c r="D307" s="2" t="s">
        <v>170</v>
      </c>
      <c r="E307" s="2"/>
      <c r="F307" s="2"/>
      <c r="G307" s="2"/>
    </row>
    <row r="308" spans="1:7" ht="12.75" customHeight="1" x14ac:dyDescent="0.15">
      <c r="A308" s="2" t="s">
        <v>310</v>
      </c>
      <c r="B308" s="2" t="s">
        <v>311</v>
      </c>
      <c r="C308" s="2" t="s">
        <v>312</v>
      </c>
      <c r="D308" s="2" t="s">
        <v>170</v>
      </c>
      <c r="E308" s="2"/>
      <c r="F308" s="2"/>
      <c r="G308" s="2"/>
    </row>
    <row r="309" spans="1:7" ht="12.75" hidden="1" customHeight="1" x14ac:dyDescent="0.15">
      <c r="A309" s="2"/>
      <c r="B309" s="2"/>
      <c r="C309" s="2"/>
      <c r="D309" s="2"/>
      <c r="E309" s="2"/>
      <c r="F309" s="2"/>
      <c r="G309" s="2"/>
    </row>
    <row r="310" spans="1:7" ht="12.75" hidden="1" customHeight="1" x14ac:dyDescent="0.15">
      <c r="A310" s="2"/>
      <c r="B310" s="2"/>
      <c r="C310" s="2"/>
      <c r="D310" s="2"/>
      <c r="E310" s="2"/>
      <c r="F310" s="2"/>
      <c r="G310" s="2"/>
    </row>
    <row r="311" spans="1:7" ht="12.75" hidden="1" customHeight="1" x14ac:dyDescent="0.15">
      <c r="A311" s="2"/>
      <c r="B311" s="2"/>
      <c r="C311" s="2"/>
      <c r="D311" s="2"/>
      <c r="E311" s="2"/>
      <c r="F311" s="2"/>
      <c r="G311" s="2"/>
    </row>
    <row r="312" spans="1:7" ht="12.75" hidden="1" customHeight="1" x14ac:dyDescent="0.15">
      <c r="A312" s="2"/>
      <c r="B312" s="2"/>
      <c r="C312" s="2"/>
      <c r="D312" s="2"/>
      <c r="E312" s="2"/>
      <c r="F312" s="2"/>
      <c r="G312" s="2"/>
    </row>
    <row r="313" spans="1:7" ht="12.75" hidden="1" customHeight="1" x14ac:dyDescent="0.15">
      <c r="A313" s="2"/>
      <c r="B313" s="2"/>
      <c r="C313" s="2"/>
      <c r="D313" s="2"/>
      <c r="E313" s="2"/>
      <c r="F313" s="2"/>
      <c r="G313" s="2"/>
    </row>
    <row r="314" spans="1:7" ht="12.75" hidden="1" customHeight="1" x14ac:dyDescent="0.15">
      <c r="A314" s="2"/>
      <c r="B314" s="2"/>
      <c r="C314" s="2"/>
      <c r="D314" s="2"/>
      <c r="E314" s="2"/>
      <c r="F314" s="2"/>
      <c r="G314" s="2"/>
    </row>
    <row r="315" spans="1:7" ht="12.75" hidden="1" customHeight="1" x14ac:dyDescent="0.15">
      <c r="A315" s="2"/>
      <c r="B315" s="2"/>
      <c r="C315" s="2"/>
      <c r="D315" s="2"/>
      <c r="E315" s="2"/>
      <c r="F315" s="2"/>
      <c r="G315" s="2"/>
    </row>
    <row r="316" spans="1:7" ht="12.75" hidden="1" customHeight="1" x14ac:dyDescent="0.15">
      <c r="A316" s="2"/>
      <c r="B316" s="2"/>
      <c r="C316" s="2"/>
      <c r="D316" s="2"/>
      <c r="E316" s="2"/>
      <c r="F316" s="2"/>
      <c r="G316" s="2"/>
    </row>
    <row r="317" spans="1:7" ht="12.75" hidden="1" customHeight="1" x14ac:dyDescent="0.15">
      <c r="A317" s="2"/>
      <c r="B317" s="2"/>
      <c r="C317" s="2"/>
      <c r="D317" s="2"/>
      <c r="E317" s="2"/>
      <c r="F317" s="2"/>
      <c r="G317" s="2"/>
    </row>
    <row r="318" spans="1:7" ht="12.75" hidden="1" customHeight="1" x14ac:dyDescent="0.15">
      <c r="A318" s="2"/>
      <c r="B318" s="2"/>
      <c r="C318" s="2"/>
      <c r="D318" s="2"/>
      <c r="E318" s="2"/>
      <c r="F318" s="2"/>
      <c r="G318" s="2"/>
    </row>
    <row r="319" spans="1:7" ht="12.75" hidden="1" customHeight="1" x14ac:dyDescent="0.15">
      <c r="A319" s="2"/>
      <c r="B319" s="2"/>
      <c r="C319" s="2"/>
      <c r="D319" s="2"/>
      <c r="E319" s="2"/>
      <c r="F319" s="2"/>
      <c r="G319" s="2"/>
    </row>
    <row r="320" spans="1:7" ht="12.75" hidden="1" customHeight="1" x14ac:dyDescent="0.15">
      <c r="A320" s="2"/>
      <c r="B320" s="2"/>
      <c r="C320" s="2"/>
      <c r="D320" s="2"/>
      <c r="E320" s="2"/>
      <c r="F320" s="2"/>
      <c r="G320" s="2"/>
    </row>
    <row r="321" spans="1:7" ht="12.75" hidden="1" customHeight="1" x14ac:dyDescent="0.15">
      <c r="A321" s="2"/>
      <c r="B321" s="2"/>
      <c r="C321" s="2"/>
      <c r="D321" s="2"/>
      <c r="E321" s="2"/>
      <c r="F321" s="2"/>
      <c r="G321" s="2"/>
    </row>
    <row r="322" spans="1:7" ht="12.75" hidden="1" customHeight="1" x14ac:dyDescent="0.15">
      <c r="A322" s="2"/>
      <c r="B322" s="2"/>
      <c r="C322" s="2"/>
      <c r="D322" s="2"/>
      <c r="E322" s="2"/>
      <c r="F322" s="2"/>
      <c r="G322" s="2"/>
    </row>
    <row r="323" spans="1:7" ht="12.75" hidden="1" customHeight="1" x14ac:dyDescent="0.15">
      <c r="A323" s="2"/>
      <c r="B323" s="2"/>
      <c r="C323" s="2"/>
      <c r="D323" s="2"/>
      <c r="E323" s="2"/>
      <c r="F323" s="2"/>
      <c r="G323" s="2"/>
    </row>
    <row r="324" spans="1:7" ht="12.75" hidden="1" customHeight="1" x14ac:dyDescent="0.15">
      <c r="A324" s="2"/>
      <c r="B324" s="2"/>
      <c r="C324" s="2"/>
      <c r="D324" s="2"/>
      <c r="E324" s="2"/>
      <c r="F324" s="2"/>
      <c r="G324" s="2"/>
    </row>
    <row r="325" spans="1:7" ht="12.75" hidden="1" customHeight="1" x14ac:dyDescent="0.15">
      <c r="A325" s="2"/>
      <c r="B325" s="2"/>
      <c r="C325" s="2"/>
      <c r="D325" s="2"/>
      <c r="E325" s="2"/>
      <c r="F325" s="2"/>
      <c r="G325" s="2"/>
    </row>
    <row r="326" spans="1:7" ht="12.75" hidden="1" customHeight="1" x14ac:dyDescent="0.15">
      <c r="A326" s="2"/>
      <c r="B326" s="2"/>
      <c r="C326" s="2"/>
      <c r="D326" s="2"/>
      <c r="E326" s="2"/>
      <c r="F326" s="2"/>
      <c r="G326" s="2"/>
    </row>
    <row r="327" spans="1:7" ht="12.75" hidden="1" customHeight="1" x14ac:dyDescent="0.15">
      <c r="A327" s="2"/>
      <c r="B327" s="2"/>
      <c r="C327" s="2"/>
      <c r="D327" s="2"/>
      <c r="E327" s="2"/>
      <c r="F327" s="2"/>
      <c r="G327" s="2"/>
    </row>
    <row r="328" spans="1:7" ht="12.75" hidden="1" customHeight="1" x14ac:dyDescent="0.15">
      <c r="A328" s="2"/>
      <c r="B328" s="2"/>
      <c r="C328" s="2"/>
      <c r="D328" s="2"/>
      <c r="E328" s="2"/>
      <c r="F328" s="2"/>
      <c r="G328" s="2"/>
    </row>
    <row r="329" spans="1:7" ht="12.75" hidden="1" customHeight="1" x14ac:dyDescent="0.15">
      <c r="A329" s="2"/>
      <c r="B329" s="2"/>
      <c r="C329" s="2"/>
      <c r="D329" s="2"/>
      <c r="E329" s="2"/>
      <c r="F329" s="2"/>
      <c r="G329" s="2"/>
    </row>
    <row r="330" spans="1:7" ht="12.75" hidden="1" customHeight="1" x14ac:dyDescent="0.15">
      <c r="A330" s="2"/>
      <c r="B330" s="2"/>
      <c r="C330" s="2"/>
      <c r="D330" s="2"/>
      <c r="E330" s="2"/>
      <c r="F330" s="2"/>
      <c r="G330" s="2"/>
    </row>
    <row r="331" spans="1:7" ht="12.75" hidden="1" customHeight="1" x14ac:dyDescent="0.15">
      <c r="A331" s="2"/>
      <c r="B331" s="2"/>
      <c r="C331" s="2"/>
      <c r="D331" s="2"/>
      <c r="E331" s="2"/>
      <c r="F331" s="2"/>
      <c r="G331" s="2"/>
    </row>
    <row r="332" spans="1:7" ht="12.75" hidden="1" customHeight="1" x14ac:dyDescent="0.15">
      <c r="A332" s="2"/>
      <c r="B332" s="2"/>
      <c r="C332" s="2"/>
      <c r="D332" s="2"/>
      <c r="E332" s="2"/>
      <c r="F332" s="2"/>
      <c r="G332" s="2"/>
    </row>
    <row r="333" spans="1:7" ht="12.75" hidden="1" customHeight="1" x14ac:dyDescent="0.15">
      <c r="A333" s="2"/>
      <c r="B333" s="2"/>
      <c r="C333" s="2"/>
      <c r="D333" s="2"/>
      <c r="E333" s="2"/>
      <c r="F333" s="2"/>
      <c r="G333" s="2"/>
    </row>
    <row r="334" spans="1:7" ht="12.75" hidden="1" customHeight="1" x14ac:dyDescent="0.15">
      <c r="A334" s="2"/>
      <c r="B334" s="2"/>
      <c r="C334" s="2"/>
      <c r="D334" s="2"/>
      <c r="E334" s="2"/>
      <c r="F334" s="2"/>
      <c r="G334" s="2"/>
    </row>
    <row r="335" spans="1:7" ht="12.75" hidden="1" customHeight="1" x14ac:dyDescent="0.15">
      <c r="A335" s="2"/>
      <c r="B335" s="2"/>
      <c r="C335" s="2"/>
      <c r="D335" s="2"/>
      <c r="E335" s="2"/>
      <c r="F335" s="2"/>
      <c r="G335" s="2"/>
    </row>
    <row r="336" spans="1:7" ht="12.75" hidden="1" customHeight="1" x14ac:dyDescent="0.15">
      <c r="A336" s="2"/>
      <c r="B336" s="2"/>
      <c r="C336" s="2"/>
      <c r="D336" s="2"/>
      <c r="E336" s="2"/>
      <c r="F336" s="2"/>
      <c r="G336" s="2"/>
    </row>
    <row r="337" spans="1:7" ht="12.75" customHeight="1" x14ac:dyDescent="0.15">
      <c r="A337" s="2" t="s">
        <v>313</v>
      </c>
      <c r="B337" s="2" t="s">
        <v>314</v>
      </c>
      <c r="C337" s="2" t="s">
        <v>315</v>
      </c>
      <c r="D337" s="2" t="s">
        <v>170</v>
      </c>
      <c r="E337" s="2"/>
      <c r="F337" s="2"/>
      <c r="G337" s="2"/>
    </row>
    <row r="338" spans="1:7" ht="12.75" hidden="1" customHeight="1" x14ac:dyDescent="0.15">
      <c r="A338" s="2"/>
      <c r="B338" s="2"/>
      <c r="C338" s="2"/>
      <c r="D338" s="2"/>
      <c r="E338" s="2"/>
      <c r="F338" s="2"/>
      <c r="G338" s="2"/>
    </row>
    <row r="339" spans="1:7" ht="12.75" hidden="1" customHeight="1" x14ac:dyDescent="0.15">
      <c r="A339" s="2"/>
      <c r="B339" s="2"/>
      <c r="C339" s="2"/>
      <c r="D339" s="2"/>
      <c r="E339" s="2"/>
      <c r="F339" s="2"/>
      <c r="G339" s="2"/>
    </row>
    <row r="340" spans="1:7" ht="15" customHeight="1" x14ac:dyDescent="0.15">
      <c r="A340" s="2" t="s">
        <v>283</v>
      </c>
      <c r="B340" s="2" t="s">
        <v>282</v>
      </c>
      <c r="C340" s="2" t="s">
        <v>316</v>
      </c>
      <c r="D340" s="2" t="s">
        <v>170</v>
      </c>
      <c r="E340" s="2"/>
      <c r="F340" s="2" t="s">
        <v>317</v>
      </c>
      <c r="G340" s="2" t="s">
        <v>318</v>
      </c>
    </row>
    <row r="341" spans="1:7" ht="12.75" hidden="1" customHeight="1" x14ac:dyDescent="0.15">
      <c r="A341" s="2"/>
      <c r="B341" s="2"/>
      <c r="C341" s="2"/>
      <c r="D341" s="2"/>
      <c r="E341" s="2"/>
      <c r="F341" s="2"/>
      <c r="G341" s="2"/>
    </row>
    <row r="342" spans="1:7" ht="12.75" hidden="1" customHeight="1" x14ac:dyDescent="0.15">
      <c r="A342" s="2"/>
      <c r="B342" s="2"/>
      <c r="C342" s="2"/>
      <c r="D342" s="2"/>
      <c r="E342" s="2"/>
      <c r="F342" s="2"/>
      <c r="G342" s="2"/>
    </row>
    <row r="343" spans="1:7" ht="12.75" hidden="1" customHeight="1" x14ac:dyDescent="0.15">
      <c r="A343" s="2"/>
      <c r="B343" s="2"/>
      <c r="C343" s="2"/>
      <c r="D343" s="2"/>
      <c r="E343" s="2"/>
      <c r="F343" s="2"/>
      <c r="G343" s="2"/>
    </row>
    <row r="344" spans="1:7" ht="12.75" hidden="1" customHeight="1" x14ac:dyDescent="0.15">
      <c r="A344" s="2"/>
      <c r="B344" s="2"/>
      <c r="C344" s="2"/>
      <c r="D344" s="2"/>
      <c r="E344" s="2"/>
      <c r="F344" s="2"/>
      <c r="G344" s="2"/>
    </row>
    <row r="345" spans="1:7" ht="12.75" hidden="1" customHeight="1" x14ac:dyDescent="0.15">
      <c r="A345" s="2"/>
      <c r="B345" s="2"/>
      <c r="C345" s="2"/>
      <c r="D345" s="2"/>
      <c r="E345" s="2"/>
      <c r="F345" s="2"/>
      <c r="G345" s="2"/>
    </row>
    <row r="346" spans="1:7" ht="12.75" hidden="1" customHeight="1" x14ac:dyDescent="0.15">
      <c r="A346" s="2"/>
      <c r="B346" s="2"/>
      <c r="C346" s="2"/>
      <c r="D346" s="2"/>
      <c r="E346" s="2"/>
      <c r="F346" s="2"/>
      <c r="G346" s="2"/>
    </row>
    <row r="347" spans="1:7" ht="12.75" hidden="1" customHeight="1" x14ac:dyDescent="0.15">
      <c r="A347" s="2"/>
      <c r="B347" s="2"/>
      <c r="C347" s="2"/>
      <c r="D347" s="2"/>
      <c r="E347" s="2"/>
      <c r="F347" s="2"/>
      <c r="G347" s="2"/>
    </row>
    <row r="348" spans="1:7" ht="12.75" hidden="1" customHeight="1" x14ac:dyDescent="0.15">
      <c r="A348" s="2"/>
      <c r="B348" s="2"/>
      <c r="C348" s="2"/>
      <c r="D348" s="2"/>
      <c r="E348" s="2"/>
      <c r="F348" s="2"/>
      <c r="G348" s="2"/>
    </row>
    <row r="349" spans="1:7" ht="12.75" hidden="1" customHeight="1" x14ac:dyDescent="0.15">
      <c r="A349" s="2"/>
      <c r="B349" s="2"/>
      <c r="C349" s="2"/>
      <c r="D349" s="2"/>
      <c r="E349" s="2"/>
      <c r="F349" s="2"/>
      <c r="G349" s="2"/>
    </row>
    <row r="350" spans="1:7" ht="12.75" hidden="1" customHeight="1" x14ac:dyDescent="0.15">
      <c r="A350" s="2"/>
      <c r="B350" s="2"/>
      <c r="C350" s="2"/>
      <c r="D350" s="2"/>
      <c r="E350" s="2"/>
      <c r="F350" s="2"/>
      <c r="G350" s="2"/>
    </row>
    <row r="351" spans="1:7" ht="12.75" hidden="1" customHeight="1" x14ac:dyDescent="0.15">
      <c r="A351" s="2"/>
      <c r="B351" s="2"/>
      <c r="C351" s="2"/>
      <c r="D351" s="2"/>
      <c r="E351" s="2"/>
      <c r="F351" s="2"/>
      <c r="G351" s="2"/>
    </row>
    <row r="352" spans="1:7" ht="12.75" hidden="1" customHeight="1" x14ac:dyDescent="0.15">
      <c r="A352" s="2"/>
      <c r="B352" s="2"/>
      <c r="C352" s="2"/>
      <c r="D352" s="2"/>
      <c r="E352" s="2"/>
      <c r="F352" s="2"/>
      <c r="G352" s="2"/>
    </row>
    <row r="353" spans="1:7" ht="12.75" hidden="1" customHeight="1" x14ac:dyDescent="0.15">
      <c r="A353" s="2"/>
      <c r="B353" s="2"/>
      <c r="C353" s="2"/>
      <c r="D353" s="2"/>
      <c r="E353" s="2"/>
      <c r="F353" s="2"/>
      <c r="G353" s="2"/>
    </row>
    <row r="354" spans="1:7" ht="12.75" hidden="1" customHeight="1" x14ac:dyDescent="0.15">
      <c r="A354" s="2"/>
      <c r="B354" s="2"/>
      <c r="C354" s="2"/>
      <c r="D354" s="2"/>
      <c r="E354" s="2"/>
      <c r="F354" s="2"/>
      <c r="G354" s="2"/>
    </row>
    <row r="355" spans="1:7" ht="12.75" hidden="1" customHeight="1" x14ac:dyDescent="0.15">
      <c r="A355" s="2"/>
      <c r="B355" s="2"/>
      <c r="C355" s="2"/>
      <c r="D355" s="2"/>
      <c r="E355" s="2"/>
      <c r="F355" s="2"/>
      <c r="G355" s="2"/>
    </row>
    <row r="356" spans="1:7" ht="12.75" hidden="1" customHeight="1" x14ac:dyDescent="0.15">
      <c r="A356" s="2"/>
      <c r="B356" s="2"/>
      <c r="C356" s="2"/>
      <c r="D356" s="2"/>
      <c r="E356" s="2"/>
      <c r="F356" s="2"/>
      <c r="G356" s="2"/>
    </row>
    <row r="357" spans="1:7" ht="12.75" hidden="1" customHeight="1" x14ac:dyDescent="0.15">
      <c r="A357" s="2"/>
      <c r="B357" s="2"/>
      <c r="C357" s="2"/>
      <c r="D357" s="2"/>
      <c r="E357" s="2"/>
      <c r="F357" s="2"/>
      <c r="G357" s="2"/>
    </row>
    <row r="358" spans="1:7" ht="12.75" hidden="1" customHeight="1" x14ac:dyDescent="0.15">
      <c r="A358" s="2"/>
      <c r="B358" s="2"/>
      <c r="C358" s="2"/>
      <c r="D358" s="2"/>
      <c r="E358" s="2"/>
      <c r="F358" s="2"/>
      <c r="G358" s="2"/>
    </row>
    <row r="359" spans="1:7" ht="12.75" hidden="1" customHeight="1" x14ac:dyDescent="0.15">
      <c r="A359" s="2"/>
      <c r="B359" s="2"/>
      <c r="C359" s="2"/>
      <c r="D359" s="2"/>
      <c r="E359" s="2"/>
      <c r="F359" s="2"/>
      <c r="G359" s="2"/>
    </row>
    <row r="360" spans="1:7" ht="12.75" hidden="1" customHeight="1" x14ac:dyDescent="0.15">
      <c r="A360" s="2"/>
      <c r="B360" s="2"/>
      <c r="C360" s="2"/>
      <c r="D360" s="2"/>
      <c r="E360" s="2"/>
      <c r="F360" s="2"/>
      <c r="G360" s="2"/>
    </row>
    <row r="361" spans="1:7" ht="12.75" hidden="1" customHeight="1" x14ac:dyDescent="0.15">
      <c r="A361" s="2"/>
      <c r="B361" s="2"/>
      <c r="C361" s="2"/>
      <c r="D361" s="2"/>
      <c r="E361" s="2"/>
      <c r="F361" s="2"/>
      <c r="G361" s="2"/>
    </row>
    <row r="362" spans="1:7" ht="12.75" hidden="1" customHeight="1" x14ac:dyDescent="0.15">
      <c r="A362" s="2"/>
      <c r="B362" s="2"/>
      <c r="C362" s="2"/>
      <c r="D362" s="2"/>
      <c r="E362" s="2"/>
      <c r="F362" s="2"/>
      <c r="G362" s="2"/>
    </row>
    <row r="363" spans="1:7" ht="12.75" customHeight="1" x14ac:dyDescent="0.15">
      <c r="A363" s="2" t="s">
        <v>319</v>
      </c>
      <c r="B363" s="2"/>
      <c r="C363" s="2" t="s">
        <v>320</v>
      </c>
      <c r="D363" s="2" t="s">
        <v>170</v>
      </c>
      <c r="E363" s="2"/>
      <c r="F363" s="2"/>
      <c r="G363" s="2"/>
    </row>
    <row r="364" spans="1:7" ht="12.75" customHeight="1" x14ac:dyDescent="0.15">
      <c r="A364" s="2" t="s">
        <v>284</v>
      </c>
      <c r="B364" s="2" t="s">
        <v>282</v>
      </c>
      <c r="C364" s="2" t="s">
        <v>321</v>
      </c>
      <c r="D364" s="2" t="s">
        <v>170</v>
      </c>
      <c r="E364" s="2"/>
      <c r="F364" s="2" t="s">
        <v>322</v>
      </c>
      <c r="G364" s="2"/>
    </row>
    <row r="365" spans="1:7" ht="12.75" hidden="1" customHeight="1" x14ac:dyDescent="0.15">
      <c r="A365" s="2"/>
      <c r="B365" s="2"/>
      <c r="C365" s="2"/>
      <c r="D365" s="2"/>
      <c r="E365" s="2"/>
      <c r="F365" s="2"/>
      <c r="G365" s="2"/>
    </row>
    <row r="366" spans="1:7" ht="12.75" customHeight="1" x14ac:dyDescent="0.15">
      <c r="A366" s="2" t="s">
        <v>323</v>
      </c>
      <c r="B366" s="2" t="s">
        <v>324</v>
      </c>
      <c r="C366" s="2" t="s">
        <v>325</v>
      </c>
      <c r="D366" s="2" t="s">
        <v>170</v>
      </c>
      <c r="E366" s="2"/>
      <c r="F366" s="2"/>
      <c r="G366" s="2"/>
    </row>
    <row r="367" spans="1:7" ht="12.75" customHeight="1" x14ac:dyDescent="0.15">
      <c r="A367" s="2" t="s">
        <v>242</v>
      </c>
      <c r="B367" s="2" t="s">
        <v>241</v>
      </c>
      <c r="C367" s="2" t="s">
        <v>326</v>
      </c>
      <c r="D367" s="2" t="s">
        <v>170</v>
      </c>
      <c r="E367" s="2"/>
      <c r="F367" s="2"/>
      <c r="G367" s="2"/>
    </row>
    <row r="368" spans="1:7" ht="12.75" customHeight="1" x14ac:dyDescent="0.15">
      <c r="A368" s="2" t="s">
        <v>251</v>
      </c>
      <c r="B368" s="2" t="s">
        <v>247</v>
      </c>
      <c r="C368" s="2" t="s">
        <v>327</v>
      </c>
      <c r="D368" s="2" t="s">
        <v>170</v>
      </c>
      <c r="E368" s="2"/>
      <c r="F368" s="2"/>
      <c r="G368" s="2"/>
    </row>
    <row r="369" spans="1:7" ht="12.75" customHeight="1" x14ac:dyDescent="0.15">
      <c r="A369" s="2" t="s">
        <v>328</v>
      </c>
      <c r="B369" s="2" t="s">
        <v>329</v>
      </c>
      <c r="C369" s="2" t="s">
        <v>330</v>
      </c>
      <c r="D369" s="2" t="s">
        <v>170</v>
      </c>
      <c r="E369" s="2"/>
      <c r="F369" s="2"/>
      <c r="G369" s="2"/>
    </row>
    <row r="370" spans="1:7" ht="12.75" hidden="1" customHeight="1" x14ac:dyDescent="0.15">
      <c r="A370" s="2"/>
      <c r="B370" s="2"/>
      <c r="C370" s="2"/>
      <c r="D370" s="2"/>
      <c r="E370" s="2"/>
      <c r="F370" s="2"/>
      <c r="G370" s="2"/>
    </row>
    <row r="371" spans="1:7" ht="12.75" hidden="1" customHeight="1" x14ac:dyDescent="0.15">
      <c r="A371" s="2"/>
      <c r="B371" s="2"/>
      <c r="C371" s="2"/>
      <c r="D371" s="2"/>
      <c r="E371" s="2"/>
      <c r="F371" s="2"/>
      <c r="G371" s="2"/>
    </row>
    <row r="372" spans="1:7" ht="12.75" hidden="1" customHeight="1" x14ac:dyDescent="0.15">
      <c r="A372" s="2"/>
      <c r="B372" s="2"/>
      <c r="C372" s="2"/>
      <c r="D372" s="2"/>
      <c r="E372" s="2"/>
      <c r="F372" s="2"/>
      <c r="G372" s="2"/>
    </row>
    <row r="373" spans="1:7" ht="12.75" customHeight="1" x14ac:dyDescent="0.15">
      <c r="A373" s="2" t="s">
        <v>138</v>
      </c>
      <c r="B373" s="2" t="s">
        <v>331</v>
      </c>
      <c r="C373" s="2" t="s">
        <v>332</v>
      </c>
      <c r="D373" s="2" t="s">
        <v>170</v>
      </c>
      <c r="E373" s="2"/>
      <c r="F373" s="2"/>
      <c r="G373" s="2"/>
    </row>
    <row r="374" spans="1:7" ht="12.75" customHeight="1" x14ac:dyDescent="0.15">
      <c r="A374" s="2" t="s">
        <v>93</v>
      </c>
      <c r="B374" s="2" t="s">
        <v>82</v>
      </c>
      <c r="C374" s="2" t="s">
        <v>333</v>
      </c>
      <c r="D374" s="2" t="s">
        <v>170</v>
      </c>
      <c r="E374" s="2"/>
      <c r="F374" s="2"/>
      <c r="G374" s="2"/>
    </row>
    <row r="375" spans="1:7" ht="12.75" hidden="1" customHeight="1" x14ac:dyDescent="0.15">
      <c r="A375" s="2"/>
      <c r="B375" s="2"/>
      <c r="C375" s="2"/>
      <c r="D375" s="2"/>
      <c r="E375" s="2"/>
      <c r="F375" s="2"/>
      <c r="G375" s="2"/>
    </row>
    <row r="376" spans="1:7" ht="12.75" hidden="1" customHeight="1" x14ac:dyDescent="0.15">
      <c r="A376" s="2"/>
      <c r="B376" s="2"/>
      <c r="C376" s="2"/>
      <c r="D376" s="2"/>
      <c r="E376" s="2"/>
      <c r="F376" s="2"/>
      <c r="G376" s="2"/>
    </row>
    <row r="377" spans="1:7" ht="12.75" customHeight="1" x14ac:dyDescent="0.15">
      <c r="A377" s="2" t="s">
        <v>334</v>
      </c>
      <c r="B377" s="2" t="s">
        <v>335</v>
      </c>
      <c r="C377" s="2" t="s">
        <v>336</v>
      </c>
      <c r="D377" s="2" t="s">
        <v>170</v>
      </c>
      <c r="E377" s="2"/>
      <c r="F377" s="2"/>
      <c r="G377" s="2"/>
    </row>
    <row r="378" spans="1:7" ht="12.75" customHeight="1" x14ac:dyDescent="0.15">
      <c r="A378" s="2" t="s">
        <v>337</v>
      </c>
      <c r="B378" s="2" t="s">
        <v>269</v>
      </c>
      <c r="C378" s="2" t="s">
        <v>338</v>
      </c>
      <c r="D378" s="2" t="s">
        <v>170</v>
      </c>
      <c r="E378" s="2" t="s">
        <v>339</v>
      </c>
      <c r="F378" s="2"/>
      <c r="G378" s="2"/>
    </row>
    <row r="379" spans="1:7" ht="12.75" hidden="1" customHeight="1" x14ac:dyDescent="0.15">
      <c r="A379" s="2"/>
      <c r="B379" s="2"/>
      <c r="C379" s="2"/>
      <c r="D379" s="2"/>
      <c r="E379" s="2"/>
      <c r="F379" s="2"/>
      <c r="G379" s="2"/>
    </row>
    <row r="380" spans="1:7" ht="12.75" hidden="1" customHeight="1" x14ac:dyDescent="0.15">
      <c r="A380" s="2"/>
      <c r="B380" s="2"/>
      <c r="C380" s="2"/>
      <c r="D380" s="2"/>
      <c r="E380" s="2"/>
      <c r="F380" s="2"/>
      <c r="G380" s="2"/>
    </row>
    <row r="381" spans="1:7" ht="12.75" customHeight="1" x14ac:dyDescent="0.15">
      <c r="A381" s="2" t="s">
        <v>118</v>
      </c>
      <c r="B381" s="2"/>
      <c r="C381" s="2" t="s">
        <v>340</v>
      </c>
      <c r="D381" s="2" t="s">
        <v>170</v>
      </c>
      <c r="E381" s="2"/>
      <c r="F381" s="2" t="s">
        <v>341</v>
      </c>
      <c r="G381" s="2"/>
    </row>
    <row r="382" spans="1:7" ht="12.75" customHeight="1" x14ac:dyDescent="0.15">
      <c r="A382" s="2" t="s">
        <v>342</v>
      </c>
      <c r="B382" s="2" t="s">
        <v>149</v>
      </c>
      <c r="C382" s="2" t="s">
        <v>343</v>
      </c>
      <c r="D382" s="2" t="s">
        <v>170</v>
      </c>
      <c r="E382" s="2"/>
      <c r="F382" s="2"/>
      <c r="G382" s="2"/>
    </row>
    <row r="383" spans="1:7" ht="12.75" hidden="1" customHeight="1" x14ac:dyDescent="0.15">
      <c r="A383" s="2"/>
      <c r="B383" s="2"/>
      <c r="C383" s="2"/>
      <c r="D383" s="2"/>
      <c r="E383" s="2"/>
      <c r="F383" s="2"/>
      <c r="G383" s="2"/>
    </row>
    <row r="384" spans="1:7" ht="12.75" customHeight="1" x14ac:dyDescent="0.15">
      <c r="A384" s="2" t="s">
        <v>150</v>
      </c>
      <c r="B384" s="2" t="s">
        <v>202</v>
      </c>
      <c r="C384" s="2" t="s">
        <v>344</v>
      </c>
      <c r="D384" s="2" t="s">
        <v>170</v>
      </c>
      <c r="E384" s="2"/>
      <c r="F384" s="2" t="s">
        <v>345</v>
      </c>
      <c r="G384" s="2"/>
    </row>
    <row r="385" spans="1:7" ht="12.75" hidden="1" customHeight="1" x14ac:dyDescent="0.15">
      <c r="A385" s="2"/>
      <c r="B385" s="2"/>
      <c r="C385" s="2"/>
      <c r="D385" s="2"/>
      <c r="E385" s="2"/>
      <c r="F385" s="2"/>
      <c r="G385" s="2"/>
    </row>
    <row r="386" spans="1:7" ht="12.75" hidden="1" customHeight="1" x14ac:dyDescent="0.15">
      <c r="A386" s="2"/>
      <c r="B386" s="2"/>
      <c r="C386" s="2"/>
      <c r="D386" s="2"/>
      <c r="E386" s="2"/>
      <c r="F386" s="2"/>
      <c r="G386" s="2"/>
    </row>
    <row r="387" spans="1:7" ht="12.75" hidden="1" customHeight="1" x14ac:dyDescent="0.15">
      <c r="A387" s="2"/>
      <c r="B387" s="2"/>
      <c r="C387" s="2"/>
      <c r="D387" s="2"/>
      <c r="E387" s="2"/>
      <c r="F387" s="2"/>
      <c r="G387" s="2"/>
    </row>
    <row r="388" spans="1:7" ht="12.75" hidden="1" customHeight="1" x14ac:dyDescent="0.15">
      <c r="A388" s="2"/>
      <c r="B388" s="2"/>
      <c r="C388" s="2"/>
      <c r="D388" s="2"/>
      <c r="E388" s="2"/>
      <c r="F388" s="2"/>
      <c r="G388" s="2"/>
    </row>
    <row r="389" spans="1:7" ht="12.75" hidden="1" customHeight="1" x14ac:dyDescent="0.15">
      <c r="A389" s="2"/>
      <c r="B389" s="2"/>
      <c r="C389" s="2"/>
      <c r="D389" s="2"/>
      <c r="E389" s="2"/>
      <c r="F389" s="2"/>
      <c r="G389" s="2"/>
    </row>
    <row r="390" spans="1:7" ht="12.75" hidden="1" customHeight="1" x14ac:dyDescent="0.15">
      <c r="A390" s="2"/>
      <c r="B390" s="2"/>
      <c r="C390" s="2"/>
      <c r="D390" s="2"/>
      <c r="E390" s="2"/>
      <c r="F390" s="2"/>
      <c r="G390" s="2"/>
    </row>
    <row r="391" spans="1:7" ht="12.75" hidden="1" customHeight="1" x14ac:dyDescent="0.15">
      <c r="A391" s="2"/>
      <c r="B391" s="2"/>
      <c r="C391" s="2"/>
      <c r="D391" s="2"/>
      <c r="E391" s="2"/>
      <c r="F391" s="2"/>
      <c r="G391" s="2"/>
    </row>
    <row r="392" spans="1:7" ht="12.75" hidden="1" customHeight="1" x14ac:dyDescent="0.15">
      <c r="A392" s="2"/>
      <c r="B392" s="2"/>
      <c r="C392" s="2"/>
      <c r="D392" s="2"/>
      <c r="E392" s="2"/>
      <c r="F392" s="2"/>
      <c r="G392" s="2"/>
    </row>
    <row r="393" spans="1:7" ht="12.75" hidden="1" customHeight="1" x14ac:dyDescent="0.15">
      <c r="A393" s="2"/>
      <c r="B393" s="2"/>
      <c r="C393" s="2"/>
      <c r="D393" s="2"/>
      <c r="E393" s="2"/>
      <c r="F393" s="2"/>
      <c r="G393" s="2"/>
    </row>
    <row r="394" spans="1:7" ht="12.75" hidden="1" customHeight="1" x14ac:dyDescent="0.15">
      <c r="A394" s="2"/>
      <c r="B394" s="2"/>
      <c r="C394" s="2"/>
      <c r="D394" s="2"/>
      <c r="E394" s="2"/>
      <c r="F394" s="2"/>
      <c r="G394" s="2"/>
    </row>
    <row r="395" spans="1:7" ht="12.75" customHeight="1" x14ac:dyDescent="0.15">
      <c r="A395" s="2" t="s">
        <v>215</v>
      </c>
      <c r="B395" s="2" t="s">
        <v>202</v>
      </c>
      <c r="C395" s="2" t="s">
        <v>346</v>
      </c>
      <c r="D395" s="2" t="s">
        <v>170</v>
      </c>
      <c r="E395" s="2"/>
      <c r="F395" s="2"/>
      <c r="G395" s="2"/>
    </row>
    <row r="396" spans="1:7" ht="12.75" hidden="1" customHeight="1" x14ac:dyDescent="0.15">
      <c r="A396" s="2"/>
      <c r="B396" s="2"/>
      <c r="C396" s="2"/>
      <c r="D396" s="2"/>
      <c r="E396" s="2"/>
      <c r="F396" s="2"/>
      <c r="G396" s="2"/>
    </row>
    <row r="397" spans="1:7" ht="12.75" customHeight="1" x14ac:dyDescent="0.15">
      <c r="A397" s="2" t="s">
        <v>347</v>
      </c>
      <c r="B397" s="2"/>
      <c r="C397" s="2" t="s">
        <v>348</v>
      </c>
      <c r="D397" s="2" t="s">
        <v>170</v>
      </c>
      <c r="E397" s="2"/>
      <c r="F397" s="2"/>
      <c r="G397" s="2"/>
    </row>
    <row r="398" spans="1:7" ht="12.75" customHeight="1" x14ac:dyDescent="0.15">
      <c r="A398" s="2" t="s">
        <v>349</v>
      </c>
      <c r="B398" s="2" t="s">
        <v>192</v>
      </c>
      <c r="C398" s="2" t="s">
        <v>350</v>
      </c>
      <c r="D398" s="2" t="s">
        <v>170</v>
      </c>
      <c r="E398" s="2"/>
      <c r="F398" s="2"/>
      <c r="G398" s="2"/>
    </row>
    <row r="399" spans="1:7" ht="12.75" hidden="1" customHeight="1" x14ac:dyDescent="0.15">
      <c r="A399" s="2"/>
      <c r="B399" s="2"/>
      <c r="C399" s="2"/>
      <c r="D399" s="2"/>
      <c r="E399" s="2"/>
      <c r="F399" s="2"/>
      <c r="G399" s="2"/>
    </row>
    <row r="400" spans="1:7" ht="12.75" hidden="1" customHeight="1" x14ac:dyDescent="0.15">
      <c r="A400" s="2"/>
      <c r="B400" s="2"/>
      <c r="C400" s="2"/>
      <c r="D400" s="2"/>
      <c r="E400" s="2"/>
      <c r="F400" s="2"/>
      <c r="G400" s="2"/>
    </row>
    <row r="401" spans="1:7" ht="12.75" hidden="1" customHeight="1" x14ac:dyDescent="0.15">
      <c r="A401" s="2"/>
      <c r="B401" s="2"/>
      <c r="C401" s="2"/>
      <c r="D401" s="2"/>
      <c r="E401" s="2"/>
      <c r="F401" s="2"/>
      <c r="G401" s="2"/>
    </row>
    <row r="402" spans="1:7" ht="12.75" customHeight="1" x14ac:dyDescent="0.15">
      <c r="A402" s="2" t="s">
        <v>66</v>
      </c>
      <c r="B402" s="2" t="s">
        <v>351</v>
      </c>
      <c r="C402" s="2" t="s">
        <v>352</v>
      </c>
      <c r="D402" s="2" t="s">
        <v>170</v>
      </c>
      <c r="E402" s="2" t="s">
        <v>353</v>
      </c>
      <c r="F402" s="2"/>
      <c r="G402" s="2"/>
    </row>
    <row r="403" spans="1:7" ht="12.75" hidden="1" customHeight="1" x14ac:dyDescent="0.15">
      <c r="A403" s="2"/>
      <c r="B403" s="2"/>
      <c r="C403" s="2"/>
      <c r="D403" s="2"/>
      <c r="E403" s="2"/>
      <c r="F403" s="2"/>
      <c r="G403" s="2"/>
    </row>
    <row r="404" spans="1:7" ht="12.75" hidden="1" customHeight="1" x14ac:dyDescent="0.15">
      <c r="A404" s="2"/>
      <c r="B404" s="2"/>
      <c r="C404" s="2"/>
      <c r="D404" s="2"/>
      <c r="E404" s="2"/>
      <c r="F404" s="2"/>
      <c r="G404" s="2"/>
    </row>
    <row r="405" spans="1:7" ht="12.75" hidden="1" customHeight="1" x14ac:dyDescent="0.15">
      <c r="A405" s="2"/>
      <c r="B405" s="2"/>
      <c r="C405" s="2"/>
      <c r="D405" s="2"/>
      <c r="E405" s="2"/>
      <c r="F405" s="2"/>
      <c r="G405" s="2"/>
    </row>
    <row r="406" spans="1:7" ht="12.75" hidden="1" customHeight="1" x14ac:dyDescent="0.15">
      <c r="A406" s="2"/>
      <c r="B406" s="2"/>
      <c r="C406" s="2"/>
      <c r="D406" s="2"/>
      <c r="E406" s="2"/>
      <c r="F406" s="2"/>
      <c r="G406" s="2"/>
    </row>
    <row r="407" spans="1:7" ht="12.75" hidden="1" customHeight="1" x14ac:dyDescent="0.15">
      <c r="A407" s="2"/>
      <c r="B407" s="2"/>
      <c r="C407" s="2"/>
      <c r="D407" s="2"/>
      <c r="E407" s="2"/>
      <c r="F407" s="2"/>
      <c r="G407" s="2"/>
    </row>
    <row r="408" spans="1:7" ht="12.75" hidden="1" customHeight="1" x14ac:dyDescent="0.15">
      <c r="A408" s="2"/>
      <c r="B408" s="2"/>
      <c r="C408" s="2"/>
      <c r="D408" s="2"/>
      <c r="E408" s="2"/>
      <c r="F408" s="2"/>
      <c r="G408" s="2"/>
    </row>
    <row r="409" spans="1:7" ht="12.75" customHeight="1" x14ac:dyDescent="0.15">
      <c r="A409" s="2" t="s">
        <v>354</v>
      </c>
      <c r="B409" s="2" t="s">
        <v>355</v>
      </c>
      <c r="C409" s="2" t="s">
        <v>356</v>
      </c>
      <c r="D409" s="2" t="s">
        <v>170</v>
      </c>
      <c r="E409" s="2"/>
      <c r="F409" s="2"/>
      <c r="G409" s="2"/>
    </row>
    <row r="410" spans="1:7" ht="12.75" hidden="1" customHeight="1" x14ac:dyDescent="0.15">
      <c r="A410" s="2"/>
      <c r="B410" s="2"/>
      <c r="C410" s="2"/>
      <c r="D410" s="2"/>
      <c r="E410" s="2"/>
      <c r="F410" s="2"/>
      <c r="G410" s="2"/>
    </row>
    <row r="411" spans="1:7" ht="12.75" customHeight="1" x14ac:dyDescent="0.15">
      <c r="A411" s="2" t="s">
        <v>357</v>
      </c>
      <c r="B411" s="2" t="s">
        <v>358</v>
      </c>
      <c r="C411" s="2" t="s">
        <v>359</v>
      </c>
      <c r="D411" s="2" t="s">
        <v>170</v>
      </c>
      <c r="E411" s="2"/>
      <c r="F411" s="2"/>
      <c r="G411" s="2"/>
    </row>
    <row r="412" spans="1:7" ht="12.75" hidden="1" customHeight="1" x14ac:dyDescent="0.15">
      <c r="A412" s="2"/>
      <c r="B412" s="2"/>
      <c r="C412" s="2"/>
      <c r="D412" s="2"/>
      <c r="E412" s="2"/>
      <c r="F412" s="2"/>
      <c r="G412" s="2"/>
    </row>
    <row r="413" spans="1:7" ht="12.75" hidden="1" customHeight="1" x14ac:dyDescent="0.15">
      <c r="A413" s="2"/>
      <c r="B413" s="2"/>
      <c r="C413" s="2"/>
      <c r="D413" s="2"/>
      <c r="E413" s="2"/>
      <c r="F413" s="2"/>
      <c r="G413" s="2"/>
    </row>
    <row r="414" spans="1:7" ht="12.75" hidden="1" customHeight="1" x14ac:dyDescent="0.15">
      <c r="A414" s="2"/>
      <c r="B414" s="2"/>
      <c r="C414" s="2"/>
      <c r="D414" s="2"/>
      <c r="E414" s="2"/>
      <c r="F414" s="2"/>
      <c r="G414" s="2"/>
    </row>
    <row r="415" spans="1:7" ht="12.75" hidden="1" customHeight="1" x14ac:dyDescent="0.15">
      <c r="A415" s="2"/>
      <c r="B415" s="2"/>
      <c r="C415" s="2"/>
      <c r="D415" s="2"/>
      <c r="E415" s="2"/>
      <c r="F415" s="2"/>
      <c r="G415" s="2"/>
    </row>
    <row r="416" spans="1:7" ht="12.75" hidden="1" customHeight="1" x14ac:dyDescent="0.15">
      <c r="A416" s="2"/>
      <c r="B416" s="2"/>
      <c r="C416" s="2"/>
      <c r="D416" s="2"/>
      <c r="E416" s="2"/>
      <c r="F416" s="2"/>
      <c r="G416" s="2"/>
    </row>
    <row r="417" spans="1:7" ht="12.75" hidden="1" customHeight="1" x14ac:dyDescent="0.15">
      <c r="A417" s="2"/>
      <c r="B417" s="2"/>
      <c r="C417" s="2"/>
      <c r="D417" s="2"/>
      <c r="E417" s="2"/>
      <c r="F417" s="2"/>
      <c r="G417" s="2"/>
    </row>
    <row r="418" spans="1:7" ht="12.75" customHeight="1" x14ac:dyDescent="0.15">
      <c r="A418" s="2" t="s">
        <v>199</v>
      </c>
      <c r="B418" s="2" t="s">
        <v>194</v>
      </c>
      <c r="C418" s="2" t="s">
        <v>360</v>
      </c>
      <c r="D418" s="2" t="s">
        <v>170</v>
      </c>
      <c r="E418" s="2"/>
      <c r="F418" s="2"/>
      <c r="G418" s="2"/>
    </row>
    <row r="419" spans="1:7" ht="12.75" customHeight="1" x14ac:dyDescent="0.15">
      <c r="A419" s="2" t="s">
        <v>361</v>
      </c>
      <c r="B419" s="2" t="s">
        <v>237</v>
      </c>
      <c r="C419" s="2" t="s">
        <v>362</v>
      </c>
      <c r="D419" s="2" t="s">
        <v>170</v>
      </c>
      <c r="E419" s="2"/>
      <c r="F419" s="2"/>
      <c r="G419" s="2"/>
    </row>
    <row r="420" spans="1:7" ht="12.75" hidden="1" customHeight="1" x14ac:dyDescent="0.15">
      <c r="A420" s="2"/>
      <c r="B420" s="2"/>
      <c r="C420" s="2"/>
      <c r="D420" s="2"/>
      <c r="E420" s="2"/>
      <c r="F420" s="2"/>
      <c r="G420" s="2"/>
    </row>
    <row r="421" spans="1:7" ht="12.75" hidden="1" customHeight="1" x14ac:dyDescent="0.15">
      <c r="A421" s="2"/>
      <c r="B421" s="2"/>
      <c r="C421" s="2"/>
      <c r="D421" s="2"/>
      <c r="E421" s="2"/>
      <c r="F421" s="2"/>
      <c r="G421" s="2"/>
    </row>
    <row r="422" spans="1:7" ht="12.75" hidden="1" customHeight="1" x14ac:dyDescent="0.15">
      <c r="A422" s="2"/>
      <c r="B422" s="2"/>
      <c r="C422" s="2"/>
      <c r="D422" s="2"/>
      <c r="E422" s="2"/>
      <c r="F422" s="2"/>
      <c r="G422" s="2"/>
    </row>
    <row r="423" spans="1:7" ht="12.75" hidden="1" customHeight="1" x14ac:dyDescent="0.15">
      <c r="A423" s="2"/>
      <c r="B423" s="2"/>
      <c r="C423" s="2"/>
      <c r="D423" s="2"/>
      <c r="E423" s="2"/>
      <c r="F423" s="2"/>
      <c r="G423" s="2"/>
    </row>
    <row r="424" spans="1:7" ht="12.75" hidden="1" customHeight="1" x14ac:dyDescent="0.15">
      <c r="A424" s="2"/>
      <c r="B424" s="2"/>
      <c r="C424" s="2"/>
      <c r="D424" s="2"/>
      <c r="E424" s="2"/>
      <c r="F424" s="2"/>
      <c r="G424" s="2"/>
    </row>
    <row r="425" spans="1:7" ht="12.75" hidden="1" customHeight="1" x14ac:dyDescent="0.15">
      <c r="A425" s="2"/>
      <c r="B425" s="2"/>
      <c r="C425" s="2"/>
      <c r="D425" s="2"/>
      <c r="E425" s="2"/>
      <c r="F425" s="2"/>
      <c r="G425" s="2"/>
    </row>
    <row r="426" spans="1:7" ht="12.75" hidden="1" customHeight="1" x14ac:dyDescent="0.15">
      <c r="A426" s="2"/>
      <c r="B426" s="2"/>
      <c r="C426" s="2"/>
      <c r="D426" s="2"/>
      <c r="E426" s="2"/>
      <c r="F426" s="2"/>
      <c r="G426" s="2"/>
    </row>
    <row r="427" spans="1:7" ht="12.75" customHeight="1" x14ac:dyDescent="0.15">
      <c r="A427" s="2" t="s">
        <v>105</v>
      </c>
      <c r="B427" s="2" t="s">
        <v>104</v>
      </c>
      <c r="C427" s="2" t="s">
        <v>363</v>
      </c>
      <c r="D427" s="2" t="s">
        <v>170</v>
      </c>
      <c r="E427" s="2"/>
      <c r="F427" s="2"/>
      <c r="G427" s="2"/>
    </row>
    <row r="428" spans="1:7" ht="12.75" hidden="1" customHeight="1" x14ac:dyDescent="0.15">
      <c r="A428" s="2"/>
      <c r="B428" s="2"/>
      <c r="C428" s="2"/>
      <c r="D428" s="2"/>
      <c r="E428" s="2"/>
      <c r="F428" s="2"/>
      <c r="G428" s="2"/>
    </row>
    <row r="429" spans="1:7" ht="12.75" hidden="1" customHeight="1" x14ac:dyDescent="0.15">
      <c r="A429" s="2"/>
      <c r="B429" s="2"/>
      <c r="C429" s="2"/>
      <c r="D429" s="2"/>
      <c r="E429" s="2"/>
      <c r="F429" s="2"/>
      <c r="G429" s="2"/>
    </row>
    <row r="430" spans="1:7" ht="12.75" hidden="1" customHeight="1" x14ac:dyDescent="0.15">
      <c r="A430" s="2"/>
      <c r="B430" s="2"/>
      <c r="C430" s="2"/>
      <c r="D430" s="2"/>
      <c r="E430" s="2"/>
      <c r="F430" s="2"/>
      <c r="G430" s="2"/>
    </row>
    <row r="431" spans="1:7" ht="12.75" hidden="1" customHeight="1" x14ac:dyDescent="0.15">
      <c r="A431" s="2"/>
      <c r="B431" s="2"/>
      <c r="C431" s="2"/>
      <c r="D431" s="2"/>
      <c r="E431" s="2"/>
      <c r="F431" s="2"/>
      <c r="G431" s="2"/>
    </row>
    <row r="432" spans="1:7" ht="12.75" hidden="1" customHeight="1" x14ac:dyDescent="0.15">
      <c r="A432" s="2"/>
      <c r="B432" s="2"/>
      <c r="C432" s="2"/>
      <c r="D432" s="2"/>
      <c r="E432" s="2"/>
      <c r="F432" s="2"/>
      <c r="G432" s="2"/>
    </row>
    <row r="433" spans="1:7" ht="12.75" hidden="1" customHeight="1" x14ac:dyDescent="0.15">
      <c r="A433" s="2"/>
      <c r="B433" s="2"/>
      <c r="C433" s="2"/>
      <c r="D433" s="2"/>
      <c r="E433" s="2"/>
      <c r="F433" s="2"/>
      <c r="G433" s="2"/>
    </row>
    <row r="434" spans="1:7" ht="12.75" hidden="1" customHeight="1" x14ac:dyDescent="0.15">
      <c r="A434" s="2"/>
      <c r="B434" s="2"/>
      <c r="C434" s="2"/>
      <c r="D434" s="2"/>
      <c r="E434" s="2"/>
      <c r="F434" s="2"/>
      <c r="G434" s="2"/>
    </row>
    <row r="435" spans="1:7" ht="12.75" hidden="1" customHeight="1" x14ac:dyDescent="0.15">
      <c r="A435" s="2"/>
      <c r="B435" s="2"/>
      <c r="C435" s="2"/>
      <c r="D435" s="2"/>
      <c r="E435" s="2"/>
      <c r="F435" s="2"/>
      <c r="G435" s="2"/>
    </row>
    <row r="436" spans="1:7" ht="12.75" hidden="1" customHeight="1" x14ac:dyDescent="0.15">
      <c r="A436" s="2"/>
      <c r="B436" s="2"/>
      <c r="C436" s="2"/>
      <c r="D436" s="2"/>
      <c r="E436" s="2"/>
      <c r="F436" s="2"/>
      <c r="G436" s="2"/>
    </row>
    <row r="437" spans="1:7" ht="12.75" hidden="1" customHeight="1" x14ac:dyDescent="0.15">
      <c r="A437" s="2"/>
      <c r="B437" s="2"/>
      <c r="C437" s="2"/>
      <c r="D437" s="2"/>
      <c r="E437" s="2"/>
      <c r="F437" s="2"/>
      <c r="G437" s="2"/>
    </row>
    <row r="438" spans="1:7" ht="12.75" hidden="1" customHeight="1" x14ac:dyDescent="0.15">
      <c r="A438" s="2"/>
      <c r="B438" s="2"/>
      <c r="C438" s="2"/>
      <c r="D438" s="2"/>
      <c r="E438" s="2"/>
      <c r="F438" s="2"/>
      <c r="G438" s="2"/>
    </row>
    <row r="439" spans="1:7" ht="12.75" hidden="1" customHeight="1" x14ac:dyDescent="0.15">
      <c r="A439" s="2"/>
      <c r="B439" s="2"/>
      <c r="C439" s="2"/>
      <c r="D439" s="2"/>
      <c r="E439" s="2"/>
      <c r="F439" s="2"/>
      <c r="G439" s="2"/>
    </row>
    <row r="440" spans="1:7" ht="12.75" hidden="1" customHeight="1" x14ac:dyDescent="0.15">
      <c r="A440" s="2"/>
      <c r="B440" s="2"/>
      <c r="C440" s="2"/>
      <c r="D440" s="2"/>
      <c r="E440" s="2"/>
      <c r="F440" s="2"/>
      <c r="G440" s="2"/>
    </row>
    <row r="441" spans="1:7" ht="12.75" customHeight="1" x14ac:dyDescent="0.15">
      <c r="A441" s="2" t="s">
        <v>364</v>
      </c>
      <c r="B441" s="2" t="s">
        <v>365</v>
      </c>
      <c r="C441" s="2" t="s">
        <v>366</v>
      </c>
      <c r="D441" s="2" t="s">
        <v>170</v>
      </c>
      <c r="E441" s="2"/>
      <c r="F441" s="2" t="s">
        <v>367</v>
      </c>
      <c r="G441" s="2"/>
    </row>
    <row r="442" spans="1:7" ht="12.75" customHeight="1" x14ac:dyDescent="0.15">
      <c r="A442" s="2" t="s">
        <v>8</v>
      </c>
      <c r="B442" s="2" t="s">
        <v>6</v>
      </c>
      <c r="C442" s="2" t="s">
        <v>368</v>
      </c>
      <c r="D442" s="2" t="s">
        <v>170</v>
      </c>
      <c r="E442" s="2"/>
      <c r="F442" s="2" t="s">
        <v>369</v>
      </c>
      <c r="G442" s="2" t="s">
        <v>370</v>
      </c>
    </row>
    <row r="443" spans="1:7" ht="12.75" customHeight="1" x14ac:dyDescent="0.15">
      <c r="A443" s="2" t="s">
        <v>371</v>
      </c>
      <c r="B443" s="2" t="s">
        <v>282</v>
      </c>
      <c r="C443" s="2" t="s">
        <v>372</v>
      </c>
      <c r="D443" s="2" t="s">
        <v>170</v>
      </c>
      <c r="E443" s="2"/>
      <c r="F443" s="2"/>
      <c r="G443" s="2"/>
    </row>
    <row r="444" spans="1:7" ht="12.75" hidden="1" customHeight="1" x14ac:dyDescent="0.15">
      <c r="A444" s="2"/>
      <c r="B444" s="2"/>
      <c r="C444" s="2"/>
      <c r="D444" s="2"/>
      <c r="E444" s="2"/>
      <c r="F444" s="2"/>
      <c r="G444" s="2"/>
    </row>
    <row r="445" spans="1:7" ht="12.75" hidden="1" customHeight="1" x14ac:dyDescent="0.15">
      <c r="A445" s="2"/>
      <c r="B445" s="2"/>
      <c r="C445" s="2"/>
      <c r="D445" s="2"/>
      <c r="E445" s="2"/>
      <c r="F445" s="2"/>
      <c r="G445" s="2"/>
    </row>
    <row r="446" spans="1:7" ht="12.75" hidden="1" customHeight="1" x14ac:dyDescent="0.15">
      <c r="A446" s="2"/>
      <c r="B446" s="2"/>
      <c r="C446" s="2"/>
      <c r="D446" s="2"/>
      <c r="E446" s="2"/>
      <c r="F446" s="2"/>
      <c r="G446" s="2"/>
    </row>
    <row r="447" spans="1:7" ht="12.75" hidden="1" customHeight="1" x14ac:dyDescent="0.15">
      <c r="A447" s="2"/>
      <c r="B447" s="2"/>
      <c r="C447" s="2"/>
      <c r="D447" s="2"/>
      <c r="E447" s="2"/>
      <c r="F447" s="2"/>
      <c r="G447" s="2"/>
    </row>
    <row r="448" spans="1:7" ht="12.75" hidden="1" customHeight="1" x14ac:dyDescent="0.15">
      <c r="A448" s="2"/>
      <c r="B448" s="2"/>
      <c r="C448" s="2"/>
      <c r="D448" s="2"/>
      <c r="E448" s="2"/>
      <c r="F448" s="2"/>
      <c r="G448" s="2"/>
    </row>
    <row r="449" spans="1:7" ht="12.75" hidden="1" customHeight="1" x14ac:dyDescent="0.15">
      <c r="A449" s="2"/>
      <c r="B449" s="2"/>
      <c r="C449" s="2"/>
      <c r="D449" s="2"/>
      <c r="E449" s="2"/>
      <c r="F449" s="2"/>
      <c r="G449" s="2"/>
    </row>
    <row r="450" spans="1:7" ht="12.75" hidden="1" customHeight="1" x14ac:dyDescent="0.15">
      <c r="A450" s="2"/>
      <c r="B450" s="2"/>
      <c r="C450" s="2"/>
      <c r="D450" s="2"/>
      <c r="E450" s="2"/>
      <c r="F450" s="2"/>
      <c r="G450" s="2"/>
    </row>
    <row r="451" spans="1:7" ht="12.75" hidden="1" customHeight="1" x14ac:dyDescent="0.15">
      <c r="A451" s="2"/>
      <c r="B451" s="2"/>
      <c r="C451" s="2"/>
      <c r="D451" s="2"/>
      <c r="E451" s="2"/>
      <c r="F451" s="2"/>
      <c r="G451" s="2"/>
    </row>
    <row r="452" spans="1:7" ht="12.75" hidden="1" customHeight="1" x14ac:dyDescent="0.15">
      <c r="A452" s="2"/>
      <c r="B452" s="2"/>
      <c r="C452" s="2"/>
      <c r="D452" s="2"/>
      <c r="E452" s="2"/>
      <c r="F452" s="2"/>
      <c r="G452" s="2"/>
    </row>
    <row r="453" spans="1:7" ht="12.75" customHeight="1" x14ac:dyDescent="0.15">
      <c r="A453" s="2" t="s">
        <v>9</v>
      </c>
      <c r="B453" s="2" t="s">
        <v>6</v>
      </c>
      <c r="C453" s="2" t="s">
        <v>373</v>
      </c>
      <c r="D453" s="2" t="s">
        <v>170</v>
      </c>
      <c r="E453" s="2"/>
      <c r="F453" s="2" t="s">
        <v>374</v>
      </c>
      <c r="G453" s="2" t="s">
        <v>375</v>
      </c>
    </row>
    <row r="454" spans="1:7" ht="12.75" hidden="1" customHeight="1" x14ac:dyDescent="0.15">
      <c r="A454" s="2"/>
      <c r="B454" s="2"/>
      <c r="C454" s="2"/>
      <c r="D454" s="2"/>
      <c r="E454" s="2"/>
      <c r="F454" s="2"/>
      <c r="G454" s="2"/>
    </row>
    <row r="455" spans="1:7" ht="12.75" hidden="1" customHeight="1" x14ac:dyDescent="0.15">
      <c r="A455" s="2"/>
      <c r="B455" s="2"/>
      <c r="C455" s="2"/>
      <c r="D455" s="2"/>
      <c r="E455" s="2"/>
      <c r="F455" s="2"/>
      <c r="G455" s="2"/>
    </row>
    <row r="456" spans="1:7" ht="12.75" hidden="1" customHeight="1" x14ac:dyDescent="0.15">
      <c r="A456" s="2"/>
      <c r="B456" s="2"/>
      <c r="C456" s="2"/>
      <c r="D456" s="2"/>
      <c r="E456" s="2"/>
      <c r="F456" s="2"/>
      <c r="G456" s="2"/>
    </row>
    <row r="457" spans="1:7" ht="12.75" hidden="1" customHeight="1" x14ac:dyDescent="0.15">
      <c r="A457" s="2"/>
      <c r="B457" s="2"/>
      <c r="C457" s="2"/>
      <c r="D457" s="2"/>
      <c r="E457" s="2"/>
      <c r="F457" s="2"/>
      <c r="G457" s="2"/>
    </row>
    <row r="458" spans="1:7" ht="12.75" hidden="1" customHeight="1" x14ac:dyDescent="0.15">
      <c r="A458" s="2"/>
      <c r="B458" s="2"/>
      <c r="C458" s="2"/>
      <c r="D458" s="2"/>
      <c r="E458" s="2"/>
      <c r="F458" s="2"/>
      <c r="G458" s="2"/>
    </row>
    <row r="459" spans="1:7" ht="12.75" hidden="1" customHeight="1" x14ac:dyDescent="0.15">
      <c r="A459" s="2"/>
      <c r="B459" s="2"/>
      <c r="C459" s="2"/>
      <c r="D459" s="2"/>
      <c r="E459" s="2"/>
      <c r="F459" s="2"/>
      <c r="G459" s="2"/>
    </row>
    <row r="460" spans="1:7" ht="12.75" hidden="1" customHeight="1" x14ac:dyDescent="0.15">
      <c r="A460" s="2"/>
      <c r="B460" s="2"/>
      <c r="C460" s="2"/>
      <c r="D460" s="2"/>
      <c r="E460" s="2"/>
      <c r="F460" s="2"/>
      <c r="G460" s="2"/>
    </row>
    <row r="461" spans="1:7" ht="12.75" hidden="1" customHeight="1" x14ac:dyDescent="0.15">
      <c r="A461" s="2"/>
      <c r="B461" s="2"/>
      <c r="C461" s="2"/>
      <c r="D461" s="2"/>
      <c r="E461" s="2"/>
      <c r="F461" s="2"/>
      <c r="G461" s="2"/>
    </row>
    <row r="462" spans="1:7" ht="12.75" hidden="1" customHeight="1" x14ac:dyDescent="0.15">
      <c r="A462" s="2"/>
      <c r="B462" s="2"/>
      <c r="C462" s="2"/>
      <c r="D462" s="2"/>
      <c r="E462" s="2"/>
      <c r="F462" s="2"/>
      <c r="G462" s="2"/>
    </row>
    <row r="463" spans="1:7" ht="12.75" hidden="1" customHeight="1" x14ac:dyDescent="0.15">
      <c r="A463" s="2"/>
      <c r="B463" s="2"/>
      <c r="C463" s="2"/>
      <c r="D463" s="2"/>
      <c r="E463" s="2"/>
      <c r="F463" s="2"/>
      <c r="G463" s="2"/>
    </row>
    <row r="464" spans="1:7" ht="12.75" hidden="1" customHeight="1" x14ac:dyDescent="0.15">
      <c r="A464" s="2"/>
      <c r="B464" s="2"/>
      <c r="C464" s="2"/>
      <c r="D464" s="2"/>
      <c r="E464" s="2"/>
      <c r="F464" s="2"/>
      <c r="G464" s="2"/>
    </row>
    <row r="465" spans="1:7" ht="12.75" hidden="1" customHeight="1" x14ac:dyDescent="0.15">
      <c r="A465" s="2"/>
      <c r="B465" s="2"/>
      <c r="C465" s="2"/>
      <c r="D465" s="2"/>
      <c r="E465" s="2"/>
      <c r="F465" s="2"/>
      <c r="G465" s="2"/>
    </row>
    <row r="466" spans="1:7" ht="12.75" hidden="1" customHeight="1" x14ac:dyDescent="0.15">
      <c r="A466" s="2"/>
      <c r="B466" s="2"/>
      <c r="C466" s="2"/>
      <c r="D466" s="2"/>
      <c r="E466" s="2"/>
      <c r="F466" s="2"/>
      <c r="G466" s="2"/>
    </row>
    <row r="467" spans="1:7" ht="12.75" hidden="1" customHeight="1" x14ac:dyDescent="0.15">
      <c r="A467" s="2"/>
      <c r="B467" s="2"/>
      <c r="C467" s="2"/>
      <c r="D467" s="2"/>
      <c r="E467" s="2"/>
      <c r="F467" s="2"/>
      <c r="G467" s="2"/>
    </row>
    <row r="468" spans="1:7" ht="12.75" hidden="1" customHeight="1" x14ac:dyDescent="0.15">
      <c r="A468" s="2"/>
      <c r="B468" s="2"/>
      <c r="C468" s="2"/>
      <c r="D468" s="2"/>
      <c r="E468" s="2"/>
      <c r="F468" s="2"/>
      <c r="G468" s="2"/>
    </row>
    <row r="469" spans="1:7" ht="12.75" hidden="1" customHeight="1" x14ac:dyDescent="0.15">
      <c r="A469" s="2"/>
      <c r="B469" s="2"/>
      <c r="C469" s="2"/>
      <c r="D469" s="2"/>
      <c r="E469" s="2"/>
      <c r="F469" s="2"/>
      <c r="G469" s="2"/>
    </row>
    <row r="470" spans="1:7" ht="12.75" hidden="1" customHeight="1" x14ac:dyDescent="0.15">
      <c r="A470" s="2"/>
      <c r="B470" s="2"/>
      <c r="C470" s="2"/>
      <c r="D470" s="2"/>
      <c r="E470" s="2"/>
      <c r="F470" s="2"/>
      <c r="G470" s="2"/>
    </row>
    <row r="471" spans="1:7" ht="12.75" hidden="1" customHeight="1" x14ac:dyDescent="0.15">
      <c r="A471" s="2"/>
      <c r="B471" s="2"/>
      <c r="C471" s="2"/>
      <c r="D471" s="2"/>
      <c r="E471" s="2"/>
      <c r="F471" s="2"/>
      <c r="G471" s="2"/>
    </row>
    <row r="472" spans="1:7" ht="12.75" hidden="1" customHeight="1" x14ac:dyDescent="0.15">
      <c r="A472" s="2"/>
      <c r="B472" s="2"/>
      <c r="C472" s="2"/>
      <c r="D472" s="2"/>
      <c r="E472" s="2"/>
      <c r="F472" s="2"/>
      <c r="G472" s="2"/>
    </row>
    <row r="473" spans="1:7" ht="12.75" hidden="1" customHeight="1" x14ac:dyDescent="0.15">
      <c r="A473" s="2"/>
      <c r="B473" s="2"/>
      <c r="C473" s="2"/>
      <c r="D473" s="2"/>
      <c r="E473" s="2"/>
      <c r="F473" s="2"/>
      <c r="G473" s="2"/>
    </row>
    <row r="474" spans="1:7" ht="12.75" hidden="1" customHeight="1" x14ac:dyDescent="0.15">
      <c r="A474" s="2"/>
      <c r="B474" s="2"/>
      <c r="C474" s="2"/>
      <c r="D474" s="2"/>
      <c r="E474" s="2"/>
      <c r="F474" s="2"/>
      <c r="G474" s="2"/>
    </row>
    <row r="475" spans="1:7" ht="12.75" hidden="1" customHeight="1" x14ac:dyDescent="0.15">
      <c r="A475" s="2"/>
      <c r="B475" s="2"/>
      <c r="C475" s="2"/>
      <c r="D475" s="2"/>
      <c r="E475" s="2"/>
      <c r="F475" s="2"/>
      <c r="G475" s="2"/>
    </row>
    <row r="476" spans="1:7" ht="12.75" hidden="1" customHeight="1" x14ac:dyDescent="0.15">
      <c r="A476" s="2"/>
      <c r="B476" s="2"/>
      <c r="C476" s="2"/>
      <c r="D476" s="2"/>
      <c r="E476" s="2"/>
      <c r="F476" s="2"/>
      <c r="G476" s="2"/>
    </row>
    <row r="477" spans="1:7" ht="12.75" hidden="1" customHeight="1" x14ac:dyDescent="0.15">
      <c r="A477" s="2"/>
      <c r="B477" s="2"/>
      <c r="C477" s="2"/>
      <c r="D477" s="2"/>
      <c r="E477" s="2"/>
      <c r="F477" s="2"/>
      <c r="G477" s="2"/>
    </row>
    <row r="478" spans="1:7" ht="12.75" hidden="1" customHeight="1" x14ac:dyDescent="0.15">
      <c r="A478" s="2"/>
      <c r="B478" s="2"/>
      <c r="C478" s="2"/>
      <c r="D478" s="2"/>
      <c r="E478" s="2"/>
      <c r="F478" s="2"/>
      <c r="G478" s="2"/>
    </row>
    <row r="479" spans="1:7" ht="12.75" hidden="1" customHeight="1" x14ac:dyDescent="0.15">
      <c r="A479" s="2"/>
      <c r="B479" s="2"/>
      <c r="C479" s="2"/>
      <c r="D479" s="2"/>
      <c r="E479" s="2"/>
      <c r="F479" s="2"/>
      <c r="G479" s="2"/>
    </row>
    <row r="480" spans="1:7" ht="12.75" hidden="1" customHeight="1" x14ac:dyDescent="0.15">
      <c r="A480" s="2"/>
      <c r="B480" s="2"/>
      <c r="C480" s="2"/>
      <c r="D480" s="2"/>
      <c r="E480" s="2"/>
      <c r="F480" s="2"/>
      <c r="G480" s="2"/>
    </row>
    <row r="481" spans="1:7" ht="12.75" hidden="1" customHeight="1" x14ac:dyDescent="0.15">
      <c r="A481" s="2"/>
      <c r="B481" s="2"/>
      <c r="C481" s="2"/>
      <c r="D481" s="2"/>
      <c r="E481" s="2"/>
      <c r="F481" s="2"/>
      <c r="G481" s="2"/>
    </row>
    <row r="482" spans="1:7" ht="12.75" hidden="1" customHeight="1" x14ac:dyDescent="0.15">
      <c r="A482" s="2"/>
      <c r="B482" s="2"/>
      <c r="C482" s="2"/>
      <c r="D482" s="2"/>
      <c r="E482" s="2"/>
      <c r="F482" s="2"/>
      <c r="G482" s="2"/>
    </row>
    <row r="483" spans="1:7" ht="12.75" hidden="1" customHeight="1" x14ac:dyDescent="0.15">
      <c r="A483" s="2"/>
      <c r="B483" s="2"/>
      <c r="C483" s="2"/>
      <c r="D483" s="2"/>
      <c r="E483" s="2"/>
      <c r="F483" s="2"/>
      <c r="G483" s="2"/>
    </row>
    <row r="484" spans="1:7" ht="12.75" hidden="1" customHeight="1" x14ac:dyDescent="0.15">
      <c r="A484" s="2"/>
      <c r="B484" s="2"/>
      <c r="C484" s="2"/>
      <c r="D484" s="2"/>
      <c r="E484" s="2"/>
      <c r="F484" s="2"/>
      <c r="G484" s="2"/>
    </row>
    <row r="485" spans="1:7" ht="12.75" hidden="1" customHeight="1" x14ac:dyDescent="0.15">
      <c r="A485" s="2"/>
      <c r="B485" s="2"/>
      <c r="C485" s="2"/>
      <c r="D485" s="2"/>
      <c r="E485" s="2"/>
      <c r="F485" s="2"/>
      <c r="G485" s="2"/>
    </row>
    <row r="486" spans="1:7" ht="12.75" hidden="1" customHeight="1" x14ac:dyDescent="0.15">
      <c r="A486" s="2"/>
      <c r="B486" s="2"/>
      <c r="C486" s="2"/>
      <c r="D486" s="2"/>
      <c r="E486" s="2"/>
      <c r="F486" s="2"/>
      <c r="G486" s="2"/>
    </row>
    <row r="487" spans="1:7" ht="12.75" hidden="1" customHeight="1" x14ac:dyDescent="0.15">
      <c r="A487" s="2"/>
      <c r="B487" s="2"/>
      <c r="C487" s="2"/>
      <c r="D487" s="2"/>
      <c r="E487" s="2"/>
      <c r="F487" s="2"/>
      <c r="G487" s="2"/>
    </row>
    <row r="488" spans="1:7" ht="12.75" hidden="1" customHeight="1" x14ac:dyDescent="0.15">
      <c r="A488" s="2"/>
      <c r="B488" s="2"/>
      <c r="C488" s="2"/>
      <c r="D488" s="2"/>
      <c r="E488" s="2"/>
      <c r="F488" s="2"/>
      <c r="G488" s="2"/>
    </row>
    <row r="489" spans="1:7" ht="12.75" hidden="1" customHeight="1" x14ac:dyDescent="0.15">
      <c r="A489" s="2"/>
      <c r="B489" s="2"/>
      <c r="C489" s="2"/>
      <c r="D489" s="2"/>
      <c r="E489" s="2"/>
      <c r="F489" s="2"/>
      <c r="G489" s="2"/>
    </row>
    <row r="490" spans="1:7" ht="12.75" hidden="1" customHeight="1" x14ac:dyDescent="0.15">
      <c r="A490" s="2"/>
      <c r="B490" s="2"/>
      <c r="C490" s="2"/>
      <c r="D490" s="2"/>
      <c r="E490" s="2"/>
      <c r="F490" s="2"/>
      <c r="G490" s="2"/>
    </row>
    <row r="491" spans="1:7" ht="12.75" customHeight="1" x14ac:dyDescent="0.15">
      <c r="A491" s="2" t="s">
        <v>122</v>
      </c>
      <c r="B491" s="2" t="s">
        <v>376</v>
      </c>
      <c r="C491" s="2" t="s">
        <v>377</v>
      </c>
      <c r="D491" s="2" t="s">
        <v>170</v>
      </c>
      <c r="E491" s="2"/>
      <c r="F491" s="2"/>
      <c r="G491" s="2"/>
    </row>
    <row r="492" spans="1:7" ht="12.75" hidden="1" customHeight="1" x14ac:dyDescent="0.15">
      <c r="A492" s="2"/>
      <c r="B492" s="2"/>
      <c r="C492" s="2"/>
      <c r="D492" s="2"/>
      <c r="E492" s="2"/>
      <c r="F492" s="2"/>
      <c r="G492" s="2"/>
    </row>
    <row r="493" spans="1:7" ht="12.75" hidden="1" customHeight="1" x14ac:dyDescent="0.15">
      <c r="A493" s="2"/>
      <c r="B493" s="2"/>
      <c r="C493" s="2"/>
      <c r="D493" s="2"/>
      <c r="E493" s="2"/>
      <c r="F493" s="2"/>
      <c r="G493" s="2"/>
    </row>
    <row r="494" spans="1:7" ht="12.75" hidden="1" customHeight="1" x14ac:dyDescent="0.15">
      <c r="A494" s="2"/>
      <c r="B494" s="2"/>
      <c r="C494" s="2"/>
      <c r="D494" s="2"/>
      <c r="E494" s="2"/>
      <c r="F494" s="2"/>
      <c r="G494" s="2"/>
    </row>
    <row r="495" spans="1:7" ht="12.75" hidden="1" customHeight="1" x14ac:dyDescent="0.15">
      <c r="A495" s="2"/>
      <c r="B495" s="2"/>
      <c r="C495" s="2"/>
      <c r="D495" s="2"/>
      <c r="E495" s="2"/>
      <c r="F495" s="2"/>
      <c r="G495" s="2"/>
    </row>
    <row r="496" spans="1:7" ht="12.75" hidden="1" customHeight="1" x14ac:dyDescent="0.15">
      <c r="A496" s="2"/>
      <c r="B496" s="2"/>
      <c r="C496" s="2"/>
      <c r="D496" s="2"/>
      <c r="E496" s="2"/>
      <c r="F496" s="2"/>
      <c r="G496" s="2"/>
    </row>
    <row r="497" spans="1:7" ht="12.75" hidden="1" customHeight="1" x14ac:dyDescent="0.15">
      <c r="A497" s="2"/>
      <c r="B497" s="2"/>
      <c r="C497" s="2"/>
      <c r="D497" s="2"/>
      <c r="E497" s="2"/>
      <c r="F497" s="2"/>
      <c r="G497" s="2"/>
    </row>
    <row r="498" spans="1:7" ht="12.75" hidden="1" customHeight="1" x14ac:dyDescent="0.15">
      <c r="A498" s="2"/>
      <c r="B498" s="2"/>
      <c r="C498" s="2"/>
      <c r="D498" s="2"/>
      <c r="E498" s="2"/>
      <c r="F498" s="2"/>
      <c r="G498" s="2"/>
    </row>
    <row r="499" spans="1:7" ht="12.75" customHeight="1" x14ac:dyDescent="0.15">
      <c r="A499" s="2" t="s">
        <v>278</v>
      </c>
      <c r="B499" s="2" t="s">
        <v>275</v>
      </c>
      <c r="C499" s="2" t="s">
        <v>378</v>
      </c>
      <c r="D499" s="2" t="s">
        <v>170</v>
      </c>
      <c r="E499" s="2" t="s">
        <v>379</v>
      </c>
      <c r="F499" s="2" t="s">
        <v>380</v>
      </c>
      <c r="G499" s="2" t="s">
        <v>381</v>
      </c>
    </row>
    <row r="500" spans="1:7" ht="12.75" hidden="1" customHeight="1" x14ac:dyDescent="0.15">
      <c r="A500" s="2"/>
      <c r="B500" s="2"/>
      <c r="C500" s="2"/>
      <c r="D500" s="2"/>
      <c r="E500" s="2"/>
      <c r="F500" s="2"/>
      <c r="G500" s="2"/>
    </row>
    <row r="501" spans="1:7" ht="12.75" hidden="1" customHeight="1" x14ac:dyDescent="0.15">
      <c r="A501" s="2"/>
      <c r="B501" s="2"/>
      <c r="C501" s="2"/>
      <c r="D501" s="2"/>
      <c r="E501" s="2"/>
      <c r="F501" s="2"/>
      <c r="G501" s="2"/>
    </row>
    <row r="502" spans="1:7" ht="12.75" hidden="1" customHeight="1" x14ac:dyDescent="0.15">
      <c r="A502" s="2"/>
      <c r="B502" s="2"/>
      <c r="C502" s="2"/>
      <c r="D502" s="2"/>
      <c r="E502" s="2"/>
      <c r="F502" s="2"/>
      <c r="G502" s="2"/>
    </row>
    <row r="503" spans="1:7" ht="12.75" hidden="1" customHeight="1" x14ac:dyDescent="0.15">
      <c r="A503" s="2"/>
      <c r="B503" s="2"/>
      <c r="C503" s="2"/>
      <c r="D503" s="2"/>
      <c r="E503" s="2"/>
      <c r="F503" s="2"/>
      <c r="G503" s="2"/>
    </row>
    <row r="504" spans="1:7" ht="12.75" hidden="1" customHeight="1" x14ac:dyDescent="0.15">
      <c r="A504" s="2"/>
      <c r="B504" s="2"/>
      <c r="C504" s="2"/>
      <c r="D504" s="2"/>
      <c r="E504" s="2"/>
      <c r="F504" s="2"/>
      <c r="G504" s="2"/>
    </row>
    <row r="505" spans="1:7" ht="12.75" hidden="1" customHeight="1" x14ac:dyDescent="0.15">
      <c r="A505" s="2"/>
      <c r="B505" s="2"/>
      <c r="C505" s="2"/>
      <c r="D505" s="2"/>
      <c r="E505" s="2"/>
      <c r="F505" s="2"/>
      <c r="G505" s="2"/>
    </row>
    <row r="506" spans="1:7" ht="12.75" hidden="1" customHeight="1" x14ac:dyDescent="0.15">
      <c r="A506" s="2"/>
      <c r="B506" s="2"/>
      <c r="C506" s="2"/>
      <c r="D506" s="2"/>
      <c r="E506" s="2"/>
      <c r="F506" s="2"/>
      <c r="G506" s="2"/>
    </row>
    <row r="507" spans="1:7" ht="12.75" hidden="1" customHeight="1" x14ac:dyDescent="0.15">
      <c r="A507" s="2"/>
      <c r="B507" s="2"/>
      <c r="C507" s="2"/>
      <c r="D507" s="2"/>
      <c r="E507" s="2"/>
      <c r="F507" s="2"/>
      <c r="G507" s="2"/>
    </row>
    <row r="508" spans="1:7" ht="12.75" hidden="1" customHeight="1" x14ac:dyDescent="0.15">
      <c r="A508" s="2"/>
      <c r="B508" s="2"/>
      <c r="C508" s="2"/>
      <c r="D508" s="2"/>
      <c r="E508" s="2"/>
      <c r="F508" s="2"/>
      <c r="G508" s="2"/>
    </row>
    <row r="509" spans="1:7" ht="12.75" hidden="1" customHeight="1" x14ac:dyDescent="0.15">
      <c r="A509" s="2"/>
      <c r="B509" s="2"/>
      <c r="C509" s="2"/>
      <c r="D509" s="2"/>
      <c r="E509" s="2"/>
      <c r="F509" s="2"/>
      <c r="G509" s="2"/>
    </row>
    <row r="510" spans="1:7" ht="12.75" hidden="1" customHeight="1" x14ac:dyDescent="0.15">
      <c r="A510" s="2"/>
      <c r="B510" s="2"/>
      <c r="C510" s="2"/>
      <c r="D510" s="2"/>
      <c r="E510" s="2"/>
      <c r="F510" s="2"/>
      <c r="G510" s="2"/>
    </row>
    <row r="511" spans="1:7" ht="12.75" hidden="1" customHeight="1" x14ac:dyDescent="0.15">
      <c r="A511" s="2"/>
      <c r="B511" s="2"/>
      <c r="C511" s="2"/>
      <c r="D511" s="2"/>
      <c r="E511" s="2"/>
      <c r="F511" s="2"/>
      <c r="G511" s="2"/>
    </row>
    <row r="512" spans="1:7" ht="12.75" hidden="1" customHeight="1" x14ac:dyDescent="0.15">
      <c r="A512" s="2"/>
      <c r="B512" s="2"/>
      <c r="C512" s="2"/>
      <c r="D512" s="2"/>
      <c r="E512" s="2"/>
      <c r="F512" s="2"/>
      <c r="G512" s="2"/>
    </row>
    <row r="513" spans="1:7" ht="12.75" hidden="1" customHeight="1" x14ac:dyDescent="0.15">
      <c r="A513" s="2"/>
      <c r="B513" s="2"/>
      <c r="C513" s="2"/>
      <c r="D513" s="2"/>
      <c r="E513" s="2"/>
      <c r="F513" s="2"/>
      <c r="G513" s="2"/>
    </row>
    <row r="514" spans="1:7" ht="12.75" hidden="1" customHeight="1" x14ac:dyDescent="0.15">
      <c r="A514" s="2"/>
      <c r="B514" s="2"/>
      <c r="C514" s="2"/>
      <c r="D514" s="2"/>
      <c r="E514" s="2"/>
      <c r="F514" s="2"/>
      <c r="G514" s="2"/>
    </row>
    <row r="515" spans="1:7" ht="12.75" hidden="1" customHeight="1" x14ac:dyDescent="0.15">
      <c r="A515" s="2"/>
      <c r="B515" s="2"/>
      <c r="C515" s="2"/>
      <c r="D515" s="2"/>
      <c r="E515" s="2"/>
      <c r="F515" s="2"/>
      <c r="G515" s="2"/>
    </row>
    <row r="516" spans="1:7" ht="12.75" hidden="1" customHeight="1" x14ac:dyDescent="0.15">
      <c r="A516" s="2"/>
      <c r="B516" s="2"/>
      <c r="C516" s="2"/>
      <c r="D516" s="2"/>
      <c r="E516" s="2"/>
      <c r="F516" s="2"/>
      <c r="G516" s="2"/>
    </row>
    <row r="517" spans="1:7" ht="12.75" hidden="1" customHeight="1" x14ac:dyDescent="0.15">
      <c r="A517" s="2"/>
      <c r="B517" s="2"/>
      <c r="C517" s="2"/>
      <c r="D517" s="2"/>
      <c r="E517" s="2"/>
      <c r="F517" s="2"/>
      <c r="G517" s="2"/>
    </row>
    <row r="518" spans="1:7" ht="12.75" hidden="1" customHeight="1" x14ac:dyDescent="0.15">
      <c r="A518" s="2"/>
      <c r="B518" s="2"/>
      <c r="C518" s="2"/>
      <c r="D518" s="2"/>
      <c r="E518" s="2"/>
      <c r="F518" s="2"/>
      <c r="G518" s="2"/>
    </row>
    <row r="519" spans="1:7" ht="12.75" hidden="1" customHeight="1" x14ac:dyDescent="0.15">
      <c r="A519" s="2"/>
      <c r="B519" s="2"/>
      <c r="C519" s="2"/>
      <c r="D519" s="2"/>
      <c r="E519" s="2"/>
      <c r="F519" s="2"/>
      <c r="G519" s="2"/>
    </row>
    <row r="520" spans="1:7" ht="12.75" hidden="1" customHeight="1" x14ac:dyDescent="0.15">
      <c r="A520" s="2"/>
      <c r="B520" s="2"/>
      <c r="C520" s="2"/>
      <c r="D520" s="2"/>
      <c r="E520" s="2"/>
      <c r="F520" s="2"/>
      <c r="G520" s="2"/>
    </row>
    <row r="521" spans="1:7" ht="12.75" hidden="1" customHeight="1" x14ac:dyDescent="0.15">
      <c r="A521" s="2"/>
      <c r="B521" s="2"/>
      <c r="C521" s="2"/>
      <c r="D521" s="2"/>
      <c r="E521" s="2"/>
      <c r="F521" s="2"/>
      <c r="G521" s="2"/>
    </row>
    <row r="522" spans="1:7" ht="12.75" hidden="1" customHeight="1" x14ac:dyDescent="0.15">
      <c r="A522" s="2"/>
      <c r="B522" s="2"/>
      <c r="C522" s="2"/>
      <c r="D522" s="2"/>
      <c r="E522" s="2"/>
      <c r="F522" s="2"/>
      <c r="G522" s="2"/>
    </row>
    <row r="523" spans="1:7" ht="12.75" hidden="1" customHeight="1" x14ac:dyDescent="0.15">
      <c r="A523" s="2"/>
      <c r="B523" s="2"/>
      <c r="C523" s="2"/>
      <c r="D523" s="2"/>
      <c r="E523" s="2"/>
      <c r="F523" s="2"/>
      <c r="G523" s="2"/>
    </row>
    <row r="524" spans="1:7" ht="12.75" hidden="1" customHeight="1" x14ac:dyDescent="0.15">
      <c r="A524" s="2"/>
      <c r="B524" s="2"/>
      <c r="C524" s="2"/>
      <c r="D524" s="2"/>
      <c r="E524" s="2"/>
      <c r="F524" s="2"/>
      <c r="G524" s="2"/>
    </row>
    <row r="525" spans="1:7" ht="12.75" hidden="1" customHeight="1" x14ac:dyDescent="0.15">
      <c r="A525" s="2"/>
      <c r="B525" s="2"/>
      <c r="C525" s="2"/>
      <c r="D525" s="2"/>
      <c r="E525" s="2"/>
      <c r="F525" s="2"/>
      <c r="G525" s="2"/>
    </row>
    <row r="526" spans="1:7" ht="12.75" hidden="1" customHeight="1" x14ac:dyDescent="0.15">
      <c r="A526" s="2"/>
      <c r="B526" s="2"/>
      <c r="C526" s="2"/>
      <c r="D526" s="2"/>
      <c r="E526" s="2"/>
      <c r="F526" s="2"/>
      <c r="G526" s="2"/>
    </row>
    <row r="527" spans="1:7" ht="12.75" hidden="1" customHeight="1" x14ac:dyDescent="0.15">
      <c r="A527" s="2"/>
      <c r="B527" s="2"/>
      <c r="C527" s="2"/>
      <c r="D527" s="2"/>
      <c r="E527" s="2"/>
      <c r="F527" s="2"/>
      <c r="G527" s="2"/>
    </row>
    <row r="528" spans="1:7" ht="12.75" hidden="1" customHeight="1" x14ac:dyDescent="0.15">
      <c r="A528" s="2"/>
      <c r="B528" s="2"/>
      <c r="C528" s="2"/>
      <c r="D528" s="2"/>
      <c r="E528" s="2"/>
      <c r="F528" s="2"/>
      <c r="G528" s="2"/>
    </row>
    <row r="529" spans="1:7" ht="12.75" hidden="1" customHeight="1" x14ac:dyDescent="0.15">
      <c r="A529" s="2"/>
      <c r="B529" s="2"/>
      <c r="C529" s="2"/>
      <c r="D529" s="2"/>
      <c r="E529" s="2"/>
      <c r="F529" s="2"/>
      <c r="G529" s="2"/>
    </row>
    <row r="530" spans="1:7" ht="12.75" hidden="1" customHeight="1" x14ac:dyDescent="0.15">
      <c r="A530" s="2"/>
      <c r="B530" s="2"/>
      <c r="C530" s="2"/>
      <c r="D530" s="2"/>
      <c r="E530" s="2"/>
      <c r="F530" s="2"/>
      <c r="G530" s="2"/>
    </row>
    <row r="531" spans="1:7" ht="12.75" hidden="1" customHeight="1" x14ac:dyDescent="0.15">
      <c r="A531" s="2"/>
      <c r="B531" s="2"/>
      <c r="C531" s="2"/>
      <c r="D531" s="2"/>
      <c r="E531" s="2"/>
      <c r="F531" s="2"/>
      <c r="G531" s="2"/>
    </row>
    <row r="532" spans="1:7" ht="12.75" hidden="1" customHeight="1" x14ac:dyDescent="0.15">
      <c r="A532" s="2"/>
      <c r="B532" s="2"/>
      <c r="C532" s="2"/>
      <c r="D532" s="2"/>
      <c r="E532" s="2"/>
      <c r="F532" s="2"/>
      <c r="G532" s="2"/>
    </row>
    <row r="533" spans="1:7" ht="12.75" hidden="1" customHeight="1" x14ac:dyDescent="0.15">
      <c r="A533" s="2"/>
      <c r="B533" s="2"/>
      <c r="C533" s="2"/>
      <c r="D533" s="2"/>
      <c r="E533" s="2"/>
      <c r="F533" s="2"/>
      <c r="G533" s="2"/>
    </row>
    <row r="534" spans="1:7" ht="12.75" hidden="1" customHeight="1" x14ac:dyDescent="0.15">
      <c r="A534" s="2"/>
      <c r="B534" s="2"/>
      <c r="C534" s="2"/>
      <c r="D534" s="2"/>
      <c r="E534" s="2"/>
      <c r="F534" s="2"/>
      <c r="G534" s="2"/>
    </row>
    <row r="535" spans="1:7" ht="12.75" hidden="1" customHeight="1" x14ac:dyDescent="0.15">
      <c r="A535" s="2"/>
      <c r="B535" s="2"/>
      <c r="C535" s="2"/>
      <c r="D535" s="2"/>
      <c r="E535" s="2"/>
      <c r="F535" s="2"/>
      <c r="G535" s="2"/>
    </row>
    <row r="536" spans="1:7" ht="12.75" hidden="1" customHeight="1" x14ac:dyDescent="0.15">
      <c r="A536" s="2"/>
      <c r="B536" s="2"/>
      <c r="C536" s="2"/>
      <c r="D536" s="2"/>
      <c r="E536" s="2"/>
      <c r="F536" s="2"/>
      <c r="G536" s="2"/>
    </row>
    <row r="537" spans="1:7" ht="12.75" hidden="1" customHeight="1" x14ac:dyDescent="0.15">
      <c r="A537" s="2"/>
      <c r="B537" s="2"/>
      <c r="C537" s="2"/>
      <c r="D537" s="2"/>
      <c r="E537" s="2"/>
      <c r="F537" s="2"/>
      <c r="G537" s="2"/>
    </row>
    <row r="538" spans="1:7" ht="12.75" hidden="1" customHeight="1" x14ac:dyDescent="0.15">
      <c r="A538" s="2"/>
      <c r="B538" s="2"/>
      <c r="C538" s="2"/>
      <c r="D538" s="2"/>
      <c r="E538" s="2"/>
      <c r="F538" s="2"/>
      <c r="G538" s="2"/>
    </row>
    <row r="539" spans="1:7" ht="12.75" hidden="1" customHeight="1" x14ac:dyDescent="0.15">
      <c r="A539" s="2"/>
      <c r="B539" s="2"/>
      <c r="C539" s="2"/>
      <c r="D539" s="2"/>
      <c r="E539" s="2"/>
      <c r="F539" s="2"/>
      <c r="G539" s="2"/>
    </row>
    <row r="540" spans="1:7" ht="12.75" hidden="1" customHeight="1" x14ac:dyDescent="0.15">
      <c r="A540" s="2"/>
      <c r="B540" s="2"/>
      <c r="C540" s="2"/>
      <c r="D540" s="2"/>
      <c r="E540" s="2"/>
      <c r="F540" s="2"/>
      <c r="G540" s="2"/>
    </row>
    <row r="541" spans="1:7" ht="12.75" hidden="1" customHeight="1" x14ac:dyDescent="0.15">
      <c r="A541" s="2"/>
      <c r="B541" s="2"/>
      <c r="C541" s="2"/>
      <c r="D541" s="2"/>
      <c r="E541" s="2"/>
      <c r="F541" s="2"/>
      <c r="G541" s="2"/>
    </row>
    <row r="542" spans="1:7" ht="12.75" hidden="1" customHeight="1" x14ac:dyDescent="0.15">
      <c r="A542" s="2"/>
      <c r="B542" s="2"/>
      <c r="C542" s="2"/>
      <c r="D542" s="2"/>
      <c r="E542" s="2"/>
      <c r="F542" s="2"/>
      <c r="G542" s="2"/>
    </row>
    <row r="543" spans="1:7" ht="12.75" hidden="1" customHeight="1" x14ac:dyDescent="0.15">
      <c r="A543" s="2"/>
      <c r="B543" s="2"/>
      <c r="C543" s="2"/>
      <c r="D543" s="2"/>
      <c r="E543" s="2"/>
      <c r="F543" s="2"/>
      <c r="G543" s="2"/>
    </row>
    <row r="544" spans="1:7" ht="12.75" hidden="1" customHeight="1" x14ac:dyDescent="0.15">
      <c r="A544" s="2"/>
      <c r="B544" s="2"/>
      <c r="C544" s="2"/>
      <c r="D544" s="2"/>
      <c r="E544" s="2"/>
      <c r="F544" s="2"/>
      <c r="G544" s="2"/>
    </row>
    <row r="545" spans="1:7" ht="12.75" hidden="1" customHeight="1" x14ac:dyDescent="0.15">
      <c r="A545" s="2"/>
      <c r="B545" s="2"/>
      <c r="C545" s="2"/>
      <c r="D545" s="2"/>
      <c r="E545" s="2"/>
      <c r="F545" s="2"/>
      <c r="G545" s="2"/>
    </row>
    <row r="546" spans="1:7" ht="12.75" hidden="1" customHeight="1" x14ac:dyDescent="0.15">
      <c r="A546" s="2"/>
      <c r="B546" s="2"/>
      <c r="C546" s="2"/>
      <c r="D546" s="2"/>
      <c r="E546" s="2"/>
      <c r="F546" s="2"/>
      <c r="G546" s="2"/>
    </row>
    <row r="547" spans="1:7" ht="12.75" hidden="1" customHeight="1" x14ac:dyDescent="0.15">
      <c r="A547" s="2"/>
      <c r="B547" s="2"/>
      <c r="C547" s="2"/>
      <c r="D547" s="2"/>
      <c r="E547" s="2"/>
      <c r="F547" s="2"/>
      <c r="G547" s="2"/>
    </row>
    <row r="548" spans="1:7" ht="12.75" hidden="1" customHeight="1" x14ac:dyDescent="0.15">
      <c r="A548" s="2"/>
      <c r="B548" s="2"/>
      <c r="C548" s="2"/>
      <c r="D548" s="2"/>
      <c r="E548" s="2"/>
      <c r="F548" s="2"/>
      <c r="G548" s="2"/>
    </row>
    <row r="549" spans="1:7" ht="12.75" hidden="1" customHeight="1" x14ac:dyDescent="0.15">
      <c r="A549" s="2"/>
      <c r="B549" s="2"/>
      <c r="C549" s="2"/>
      <c r="D549" s="2"/>
      <c r="E549" s="2"/>
      <c r="F549" s="2"/>
      <c r="G549" s="2"/>
    </row>
    <row r="550" spans="1:7" ht="12.75" hidden="1" customHeight="1" x14ac:dyDescent="0.15">
      <c r="A550" s="2"/>
      <c r="B550" s="2"/>
      <c r="C550" s="2"/>
      <c r="D550" s="2"/>
      <c r="E550" s="2"/>
      <c r="F550" s="2"/>
      <c r="G550" s="2"/>
    </row>
    <row r="551" spans="1:7" ht="12.75" hidden="1" customHeight="1" x14ac:dyDescent="0.15">
      <c r="A551" s="2"/>
      <c r="B551" s="2"/>
      <c r="C551" s="2"/>
      <c r="D551" s="2"/>
      <c r="E551" s="2"/>
      <c r="F551" s="2"/>
      <c r="G551" s="2"/>
    </row>
    <row r="552" spans="1:7" ht="12.75" hidden="1" customHeight="1" x14ac:dyDescent="0.15">
      <c r="A552" s="2"/>
      <c r="B552" s="2"/>
      <c r="C552" s="2"/>
      <c r="D552" s="2"/>
      <c r="E552" s="2"/>
      <c r="F552" s="2"/>
      <c r="G552" s="2"/>
    </row>
    <row r="553" spans="1:7" ht="12.75" hidden="1" customHeight="1" x14ac:dyDescent="0.15">
      <c r="A553" s="2"/>
      <c r="B553" s="2"/>
      <c r="C553" s="2"/>
      <c r="D553" s="2"/>
      <c r="E553" s="2"/>
      <c r="F553" s="2"/>
      <c r="G553" s="2"/>
    </row>
    <row r="554" spans="1:7" ht="12.75" hidden="1" customHeight="1" x14ac:dyDescent="0.15">
      <c r="A554" s="2"/>
      <c r="B554" s="2"/>
      <c r="C554" s="2"/>
      <c r="D554" s="2"/>
      <c r="E554" s="2"/>
      <c r="F554" s="2"/>
      <c r="G554" s="2"/>
    </row>
    <row r="555" spans="1:7" ht="12.75" hidden="1" customHeight="1" x14ac:dyDescent="0.15">
      <c r="A555" s="2"/>
      <c r="B555" s="2"/>
      <c r="C555" s="2"/>
      <c r="D555" s="2"/>
      <c r="E555" s="2"/>
      <c r="F555" s="2"/>
      <c r="G555" s="2"/>
    </row>
    <row r="556" spans="1:7" ht="12.75" customHeight="1" x14ac:dyDescent="0.15">
      <c r="A556" s="2" t="s">
        <v>107</v>
      </c>
      <c r="B556" s="2" t="s">
        <v>202</v>
      </c>
      <c r="C556" s="2" t="s">
        <v>383</v>
      </c>
      <c r="D556" s="2" t="s">
        <v>170</v>
      </c>
      <c r="E556" s="2"/>
      <c r="F556" s="2"/>
      <c r="G556" s="2"/>
    </row>
    <row r="557" spans="1:7" ht="12.75" hidden="1" customHeight="1" x14ac:dyDescent="0.15">
      <c r="A557" s="2"/>
      <c r="B557" s="2"/>
      <c r="C557" s="2"/>
      <c r="D557" s="2"/>
      <c r="E557" s="2"/>
      <c r="F557" s="2"/>
      <c r="G557" s="2"/>
    </row>
    <row r="558" spans="1:7" ht="12.75" hidden="1" customHeight="1" x14ac:dyDescent="0.15">
      <c r="A558" s="2"/>
      <c r="B558" s="2"/>
      <c r="C558" s="2"/>
      <c r="D558" s="2"/>
      <c r="E558" s="2"/>
      <c r="F558" s="2"/>
      <c r="G558" s="2"/>
    </row>
    <row r="559" spans="1:7" ht="12.75" hidden="1" customHeight="1" x14ac:dyDescent="0.15">
      <c r="A559" s="2"/>
      <c r="B559" s="2"/>
      <c r="C559" s="2"/>
      <c r="D559" s="2"/>
      <c r="E559" s="2"/>
      <c r="F559" s="2"/>
      <c r="G559" s="2"/>
    </row>
    <row r="560" spans="1:7" ht="12.75" hidden="1" customHeight="1" x14ac:dyDescent="0.15">
      <c r="A560" s="2"/>
      <c r="B560" s="2"/>
      <c r="C560" s="2"/>
      <c r="D560" s="2"/>
      <c r="E560" s="2"/>
      <c r="F560" s="2"/>
      <c r="G560" s="2"/>
    </row>
    <row r="561" spans="1:7" ht="12.75" hidden="1" customHeight="1" x14ac:dyDescent="0.15">
      <c r="A561" s="2"/>
      <c r="B561" s="2"/>
      <c r="C561" s="2"/>
      <c r="D561" s="2"/>
      <c r="E561" s="2"/>
      <c r="F561" s="2"/>
      <c r="G561" s="2"/>
    </row>
    <row r="562" spans="1:7" ht="12.75" hidden="1" customHeight="1" x14ac:dyDescent="0.15">
      <c r="A562" s="2"/>
      <c r="B562" s="2"/>
      <c r="C562" s="2"/>
      <c r="D562" s="2"/>
      <c r="E562" s="2"/>
      <c r="F562" s="2"/>
      <c r="G562" s="2"/>
    </row>
    <row r="563" spans="1:7" ht="12.75" hidden="1" customHeight="1" x14ac:dyDescent="0.15">
      <c r="A563" s="2"/>
      <c r="B563" s="2"/>
      <c r="C563" s="2"/>
      <c r="D563" s="2"/>
      <c r="E563" s="2"/>
      <c r="F563" s="2"/>
      <c r="G563" s="2"/>
    </row>
    <row r="564" spans="1:7" ht="12.75" hidden="1" customHeight="1" x14ac:dyDescent="0.15">
      <c r="A564" s="2"/>
      <c r="B564" s="2"/>
      <c r="C564" s="2"/>
      <c r="D564" s="2"/>
      <c r="E564" s="2"/>
      <c r="F564" s="2"/>
      <c r="G564" s="2"/>
    </row>
    <row r="565" spans="1:7" ht="12.75" hidden="1" customHeight="1" x14ac:dyDescent="0.15">
      <c r="A565" s="2"/>
      <c r="B565" s="2"/>
      <c r="C565" s="2"/>
      <c r="D565" s="2"/>
      <c r="E565" s="2"/>
      <c r="F565" s="2"/>
      <c r="G565" s="2"/>
    </row>
    <row r="566" spans="1:7" ht="12.75" hidden="1" customHeight="1" x14ac:dyDescent="0.15">
      <c r="A566" s="2"/>
      <c r="B566" s="2"/>
      <c r="C566" s="2"/>
      <c r="D566" s="2"/>
      <c r="E566" s="2"/>
      <c r="F566" s="2"/>
      <c r="G566" s="2"/>
    </row>
    <row r="567" spans="1:7" ht="12.75" hidden="1" customHeight="1" x14ac:dyDescent="0.15">
      <c r="A567" s="2"/>
      <c r="B567" s="2"/>
      <c r="C567" s="2"/>
      <c r="D567" s="2"/>
      <c r="E567" s="2"/>
      <c r="F567" s="2"/>
      <c r="G567" s="2"/>
    </row>
    <row r="568" spans="1:7" ht="12.75" customHeight="1" x14ac:dyDescent="0.15">
      <c r="A568" s="2" t="s">
        <v>384</v>
      </c>
      <c r="B568" s="2" t="s">
        <v>385</v>
      </c>
      <c r="C568" s="2" t="s">
        <v>386</v>
      </c>
      <c r="D568" s="2" t="s">
        <v>170</v>
      </c>
      <c r="E568" s="2"/>
      <c r="F568" s="2"/>
      <c r="G568" s="2"/>
    </row>
    <row r="569" spans="1:7" ht="12.75" customHeight="1" x14ac:dyDescent="0.15">
      <c r="A569" s="2" t="s">
        <v>387</v>
      </c>
      <c r="B569" s="2" t="s">
        <v>256</v>
      </c>
      <c r="C569" s="2" t="s">
        <v>388</v>
      </c>
      <c r="D569" s="2" t="s">
        <v>170</v>
      </c>
      <c r="E569" s="2"/>
      <c r="F569" s="2"/>
      <c r="G569" s="2"/>
    </row>
    <row r="570" spans="1:7" ht="12.75" hidden="1" customHeight="1" x14ac:dyDescent="0.15">
      <c r="A570" s="2"/>
      <c r="B570" s="2"/>
      <c r="C570" s="2"/>
      <c r="D570" s="2"/>
      <c r="E570" s="2"/>
      <c r="F570" s="2"/>
      <c r="G570" s="2"/>
    </row>
    <row r="571" spans="1:7" ht="12.75" hidden="1" customHeight="1" x14ac:dyDescent="0.15">
      <c r="A571" s="2"/>
      <c r="B571" s="2"/>
      <c r="C571" s="2"/>
      <c r="D571" s="2"/>
      <c r="E571" s="2"/>
      <c r="F571" s="2"/>
      <c r="G571" s="2"/>
    </row>
    <row r="572" spans="1:7" ht="12.75" hidden="1" customHeight="1" x14ac:dyDescent="0.15">
      <c r="A572" s="2"/>
      <c r="B572" s="2"/>
      <c r="C572" s="2"/>
      <c r="D572" s="2"/>
      <c r="E572" s="2"/>
      <c r="F572" s="2"/>
      <c r="G572" s="2"/>
    </row>
    <row r="573" spans="1:7" ht="12.75" hidden="1" customHeight="1" x14ac:dyDescent="0.15">
      <c r="A573" s="2"/>
      <c r="B573" s="2"/>
      <c r="C573" s="2"/>
      <c r="D573" s="2"/>
      <c r="E573" s="2"/>
      <c r="F573" s="2"/>
      <c r="G573" s="2"/>
    </row>
    <row r="574" spans="1:7" ht="12.75" hidden="1" customHeight="1" x14ac:dyDescent="0.15">
      <c r="A574" s="2"/>
      <c r="B574" s="2"/>
      <c r="C574" s="2"/>
      <c r="D574" s="2"/>
      <c r="E574" s="2"/>
      <c r="F574" s="2"/>
      <c r="G574" s="2"/>
    </row>
    <row r="575" spans="1:7" ht="12.75" hidden="1" customHeight="1" x14ac:dyDescent="0.15">
      <c r="A575" s="2"/>
      <c r="B575" s="2"/>
      <c r="C575" s="2"/>
      <c r="D575" s="2"/>
      <c r="E575" s="2"/>
      <c r="F575" s="2"/>
      <c r="G575" s="2"/>
    </row>
    <row r="576" spans="1:7" ht="12.75" hidden="1" customHeight="1" x14ac:dyDescent="0.15">
      <c r="A576" s="2"/>
      <c r="B576" s="2"/>
      <c r="C576" s="2"/>
      <c r="D576" s="2"/>
      <c r="E576" s="2"/>
      <c r="F576" s="2"/>
      <c r="G576" s="2"/>
    </row>
    <row r="577" spans="1:7" ht="12.75" hidden="1" customHeight="1" x14ac:dyDescent="0.15">
      <c r="A577" s="2"/>
      <c r="B577" s="2"/>
      <c r="C577" s="2"/>
      <c r="D577" s="2"/>
      <c r="E577" s="2"/>
      <c r="F577" s="2"/>
      <c r="G577" s="2"/>
    </row>
    <row r="578" spans="1:7" ht="12.75" hidden="1" customHeight="1" x14ac:dyDescent="0.15">
      <c r="A578" s="2"/>
      <c r="B578" s="2"/>
      <c r="C578" s="2"/>
      <c r="D578" s="2"/>
      <c r="E578" s="2"/>
      <c r="F578" s="2"/>
      <c r="G578" s="2"/>
    </row>
    <row r="579" spans="1:7" ht="12.75" hidden="1" customHeight="1" x14ac:dyDescent="0.15">
      <c r="A579" s="2"/>
      <c r="B579" s="2"/>
      <c r="C579" s="2"/>
      <c r="D579" s="2"/>
      <c r="E579" s="2"/>
      <c r="F579" s="2"/>
      <c r="G579" s="2"/>
    </row>
    <row r="580" spans="1:7" ht="12.75" hidden="1" customHeight="1" x14ac:dyDescent="0.15">
      <c r="A580" s="2"/>
      <c r="B580" s="2"/>
      <c r="C580" s="2"/>
      <c r="D580" s="2"/>
      <c r="E580" s="2"/>
      <c r="F580" s="2"/>
      <c r="G580" s="2"/>
    </row>
    <row r="581" spans="1:7" ht="12.75" hidden="1" customHeight="1" x14ac:dyDescent="0.15">
      <c r="A581" s="2"/>
      <c r="B581" s="2"/>
      <c r="C581" s="2"/>
      <c r="D581" s="2"/>
      <c r="E581" s="2"/>
      <c r="F581" s="2"/>
      <c r="G581" s="2"/>
    </row>
    <row r="582" spans="1:7" ht="12.75" hidden="1" customHeight="1" x14ac:dyDescent="0.15">
      <c r="A582" s="2"/>
      <c r="B582" s="2"/>
      <c r="C582" s="2"/>
      <c r="D582" s="2"/>
      <c r="E582" s="2"/>
      <c r="F582" s="2"/>
      <c r="G582" s="2"/>
    </row>
    <row r="583" spans="1:7" ht="12.75" hidden="1" customHeight="1" x14ac:dyDescent="0.15">
      <c r="A583" s="2"/>
      <c r="B583" s="2"/>
      <c r="C583" s="2"/>
      <c r="D583" s="2"/>
      <c r="E583" s="2"/>
      <c r="F583" s="2"/>
      <c r="G583" s="2"/>
    </row>
    <row r="584" spans="1:7" ht="12.75" hidden="1" customHeight="1" x14ac:dyDescent="0.15">
      <c r="A584" s="2"/>
      <c r="B584" s="2"/>
      <c r="C584" s="2"/>
      <c r="D584" s="2"/>
      <c r="E584" s="2"/>
      <c r="F584" s="2"/>
      <c r="G584" s="2"/>
    </row>
    <row r="585" spans="1:7" ht="12.75" hidden="1" customHeight="1" x14ac:dyDescent="0.15">
      <c r="A585" s="2"/>
      <c r="B585" s="2"/>
      <c r="C585" s="2"/>
      <c r="D585" s="2"/>
      <c r="E585" s="2"/>
      <c r="F585" s="2"/>
      <c r="G585" s="2"/>
    </row>
    <row r="586" spans="1:7" ht="12.75" hidden="1" customHeight="1" x14ac:dyDescent="0.15">
      <c r="A586" s="2"/>
      <c r="B586" s="2"/>
      <c r="C586" s="2"/>
      <c r="D586" s="2"/>
      <c r="E586" s="2"/>
      <c r="F586" s="2"/>
      <c r="G586" s="2"/>
    </row>
    <row r="587" spans="1:7" ht="12.75" hidden="1" customHeight="1" x14ac:dyDescent="0.15">
      <c r="A587" s="2"/>
      <c r="B587" s="2"/>
      <c r="C587" s="2"/>
      <c r="D587" s="2"/>
      <c r="E587" s="2"/>
      <c r="F587" s="2"/>
      <c r="G587" s="2"/>
    </row>
    <row r="588" spans="1:7" ht="12.75" hidden="1" customHeight="1" x14ac:dyDescent="0.15">
      <c r="A588" s="2"/>
      <c r="B588" s="2"/>
      <c r="C588" s="2"/>
      <c r="D588" s="2"/>
      <c r="E588" s="2"/>
      <c r="F588" s="2"/>
      <c r="G588" s="2"/>
    </row>
    <row r="589" spans="1:7" ht="12.75" hidden="1" customHeight="1" x14ac:dyDescent="0.15">
      <c r="A589" s="2"/>
      <c r="B589" s="2"/>
      <c r="C589" s="2"/>
      <c r="D589" s="2"/>
      <c r="E589" s="2"/>
      <c r="F589" s="2"/>
      <c r="G589" s="2"/>
    </row>
    <row r="590" spans="1:7" ht="12.75" hidden="1" customHeight="1" x14ac:dyDescent="0.15">
      <c r="A590" s="2"/>
      <c r="B590" s="2"/>
      <c r="C590" s="2"/>
      <c r="D590" s="2"/>
      <c r="E590" s="2"/>
      <c r="F590" s="2"/>
      <c r="G590" s="2"/>
    </row>
    <row r="591" spans="1:7" ht="12.75" hidden="1" customHeight="1" x14ac:dyDescent="0.15">
      <c r="A591" s="2"/>
      <c r="B591" s="2"/>
      <c r="C591" s="2"/>
      <c r="D591" s="2"/>
      <c r="E591" s="2"/>
      <c r="F591" s="2"/>
      <c r="G591" s="2"/>
    </row>
    <row r="592" spans="1:7" ht="12.75" customHeight="1" x14ac:dyDescent="0.15">
      <c r="A592" s="2" t="s">
        <v>389</v>
      </c>
      <c r="B592" s="2" t="s">
        <v>6</v>
      </c>
      <c r="C592" s="2" t="s">
        <v>390</v>
      </c>
      <c r="D592" s="2" t="s">
        <v>170</v>
      </c>
      <c r="E592" s="2"/>
      <c r="F592" s="2"/>
      <c r="G592" s="2"/>
    </row>
    <row r="593" spans="1:7" ht="12.75" hidden="1" customHeight="1" x14ac:dyDescent="0.15">
      <c r="A593" s="2"/>
      <c r="B593" s="2"/>
      <c r="C593" s="2"/>
      <c r="D593" s="2"/>
      <c r="E593" s="2"/>
      <c r="F593" s="2"/>
      <c r="G593" s="2"/>
    </row>
    <row r="594" spans="1:7" ht="12.75" hidden="1" customHeight="1" x14ac:dyDescent="0.15">
      <c r="A594" s="2"/>
      <c r="B594" s="2"/>
      <c r="C594" s="2"/>
      <c r="D594" s="2"/>
      <c r="E594" s="2"/>
      <c r="F594" s="2"/>
      <c r="G594" s="2"/>
    </row>
    <row r="595" spans="1:7" ht="12.75" hidden="1" customHeight="1" x14ac:dyDescent="0.15">
      <c r="A595" s="2"/>
      <c r="B595" s="2"/>
      <c r="C595" s="2"/>
      <c r="D595" s="2"/>
      <c r="E595" s="2"/>
      <c r="F595" s="2"/>
      <c r="G595" s="2"/>
    </row>
    <row r="596" spans="1:7" ht="12.75" hidden="1" customHeight="1" x14ac:dyDescent="0.15">
      <c r="A596" s="2"/>
      <c r="B596" s="2"/>
      <c r="C596" s="2"/>
      <c r="D596" s="2"/>
      <c r="E596" s="2"/>
      <c r="F596" s="2"/>
      <c r="G596" s="2"/>
    </row>
    <row r="597" spans="1:7" ht="12.75" hidden="1" customHeight="1" x14ac:dyDescent="0.15">
      <c r="A597" s="2"/>
      <c r="B597" s="2"/>
      <c r="C597" s="2"/>
      <c r="D597" s="2"/>
      <c r="E597" s="2"/>
      <c r="F597" s="2"/>
      <c r="G597" s="2"/>
    </row>
    <row r="598" spans="1:7" ht="12.75" hidden="1" customHeight="1" x14ac:dyDescent="0.15">
      <c r="A598" s="2"/>
      <c r="B598" s="2"/>
      <c r="C598" s="2"/>
      <c r="D598" s="2"/>
      <c r="E598" s="2"/>
      <c r="F598" s="2"/>
      <c r="G598" s="2"/>
    </row>
    <row r="599" spans="1:7" ht="12.75" hidden="1" customHeight="1" x14ac:dyDescent="0.15">
      <c r="A599" s="2"/>
      <c r="B599" s="2"/>
      <c r="C599" s="2"/>
      <c r="D599" s="2"/>
      <c r="E599" s="2"/>
      <c r="F599" s="2"/>
      <c r="G599" s="2"/>
    </row>
    <row r="600" spans="1:7" ht="12.75" hidden="1" customHeight="1" x14ac:dyDescent="0.15">
      <c r="A600" s="2"/>
      <c r="B600" s="2"/>
      <c r="C600" s="2"/>
      <c r="D600" s="2"/>
      <c r="E600" s="2"/>
      <c r="F600" s="2"/>
      <c r="G600" s="2"/>
    </row>
    <row r="601" spans="1:7" ht="12.75" hidden="1" customHeight="1" x14ac:dyDescent="0.15">
      <c r="A601" s="2"/>
      <c r="B601" s="2"/>
      <c r="C601" s="2"/>
      <c r="D601" s="2"/>
      <c r="E601" s="2"/>
      <c r="F601" s="2"/>
      <c r="G601" s="2"/>
    </row>
    <row r="602" spans="1:7" ht="12.75" hidden="1" customHeight="1" x14ac:dyDescent="0.15">
      <c r="A602" s="2"/>
      <c r="B602" s="2"/>
      <c r="C602" s="2"/>
      <c r="D602" s="2"/>
      <c r="E602" s="2"/>
      <c r="F602" s="2"/>
      <c r="G602" s="2"/>
    </row>
    <row r="603" spans="1:7" ht="12.75" hidden="1" customHeight="1" x14ac:dyDescent="0.15">
      <c r="A603" s="2"/>
      <c r="B603" s="2"/>
      <c r="C603" s="2"/>
      <c r="D603" s="2"/>
      <c r="E603" s="2"/>
      <c r="F603" s="2"/>
      <c r="G603" s="2"/>
    </row>
    <row r="604" spans="1:7" ht="12.75" hidden="1" customHeight="1" x14ac:dyDescent="0.15">
      <c r="A604" s="2"/>
      <c r="B604" s="2"/>
      <c r="C604" s="2"/>
      <c r="D604" s="2"/>
      <c r="E604" s="2"/>
      <c r="F604" s="2"/>
      <c r="G604" s="2"/>
    </row>
    <row r="605" spans="1:7" ht="12.75" hidden="1" customHeight="1" x14ac:dyDescent="0.15">
      <c r="A605" s="2"/>
      <c r="B605" s="2"/>
      <c r="C605" s="2"/>
      <c r="D605" s="2"/>
      <c r="E605" s="2"/>
      <c r="F605" s="2"/>
      <c r="G605" s="2"/>
    </row>
    <row r="606" spans="1:7" ht="12.75" hidden="1" customHeight="1" x14ac:dyDescent="0.15">
      <c r="A606" s="2"/>
      <c r="B606" s="2"/>
      <c r="C606" s="2"/>
      <c r="D606" s="2"/>
      <c r="E606" s="2"/>
      <c r="F606" s="2"/>
      <c r="G606" s="2"/>
    </row>
    <row r="607" spans="1:7" ht="12.75" hidden="1" customHeight="1" x14ac:dyDescent="0.15">
      <c r="A607" s="2"/>
      <c r="B607" s="2"/>
      <c r="C607" s="2"/>
      <c r="D607" s="2"/>
      <c r="E607" s="2"/>
      <c r="F607" s="2"/>
      <c r="G607" s="2"/>
    </row>
    <row r="608" spans="1:7" ht="12.75" hidden="1" customHeight="1" x14ac:dyDescent="0.15">
      <c r="A608" s="2"/>
      <c r="B608" s="2"/>
      <c r="C608" s="2"/>
      <c r="D608" s="2"/>
      <c r="E608" s="2"/>
      <c r="F608" s="2"/>
      <c r="G608" s="2"/>
    </row>
    <row r="609" spans="1:7" ht="12.75" hidden="1" customHeight="1" x14ac:dyDescent="0.15">
      <c r="A609" s="2"/>
      <c r="B609" s="2"/>
      <c r="C609" s="2"/>
      <c r="D609" s="2"/>
      <c r="E609" s="2"/>
      <c r="F609" s="2"/>
      <c r="G609" s="2"/>
    </row>
    <row r="610" spans="1:7" ht="12.75" hidden="1" customHeight="1" x14ac:dyDescent="0.15">
      <c r="A610" s="2"/>
      <c r="B610" s="2"/>
      <c r="C610" s="2"/>
      <c r="D610" s="2"/>
      <c r="E610" s="2"/>
      <c r="F610" s="2"/>
      <c r="G610" s="2"/>
    </row>
    <row r="611" spans="1:7" ht="12.75" hidden="1" customHeight="1" x14ac:dyDescent="0.15">
      <c r="A611" s="2"/>
      <c r="B611" s="2"/>
      <c r="C611" s="2"/>
      <c r="D611" s="2"/>
      <c r="E611" s="2"/>
      <c r="F611" s="2"/>
      <c r="G611" s="2"/>
    </row>
    <row r="612" spans="1:7" ht="12.75" hidden="1" customHeight="1" x14ac:dyDescent="0.15">
      <c r="A612" s="2"/>
      <c r="B612" s="2"/>
      <c r="C612" s="2"/>
      <c r="D612" s="2"/>
      <c r="E612" s="2"/>
      <c r="F612" s="2"/>
      <c r="G612" s="2"/>
    </row>
    <row r="613" spans="1:7" ht="12.75" hidden="1" customHeight="1" x14ac:dyDescent="0.15">
      <c r="A613" s="2"/>
      <c r="B613" s="2"/>
      <c r="C613" s="2"/>
      <c r="D613" s="2"/>
      <c r="E613" s="2"/>
      <c r="F613" s="2"/>
      <c r="G613" s="2"/>
    </row>
    <row r="614" spans="1:7" ht="12.75" hidden="1" customHeight="1" x14ac:dyDescent="0.15">
      <c r="A614" s="2"/>
      <c r="B614" s="2"/>
      <c r="C614" s="2"/>
      <c r="D614" s="2"/>
      <c r="E614" s="2"/>
      <c r="F614" s="2"/>
      <c r="G614" s="2"/>
    </row>
    <row r="615" spans="1:7" ht="12.75" hidden="1" customHeight="1" x14ac:dyDescent="0.15">
      <c r="A615" s="2"/>
      <c r="B615" s="2"/>
      <c r="C615" s="2"/>
      <c r="D615" s="2"/>
      <c r="E615" s="2"/>
      <c r="F615" s="2"/>
      <c r="G615" s="2"/>
    </row>
    <row r="616" spans="1:7" ht="12.75" hidden="1" customHeight="1" x14ac:dyDescent="0.15">
      <c r="A616" s="2"/>
      <c r="B616" s="2"/>
      <c r="C616" s="2"/>
      <c r="D616" s="2"/>
      <c r="E616" s="2"/>
      <c r="F616" s="2"/>
      <c r="G616" s="2"/>
    </row>
    <row r="617" spans="1:7" ht="12.75" hidden="1" customHeight="1" x14ac:dyDescent="0.15">
      <c r="A617" s="2"/>
      <c r="B617" s="2"/>
      <c r="C617" s="2"/>
      <c r="D617" s="2"/>
      <c r="E617" s="2"/>
      <c r="F617" s="2"/>
      <c r="G617" s="2"/>
    </row>
    <row r="618" spans="1:7" ht="12.75" hidden="1" customHeight="1" x14ac:dyDescent="0.15">
      <c r="A618" s="2"/>
      <c r="B618" s="2"/>
      <c r="C618" s="2"/>
      <c r="D618" s="2"/>
      <c r="E618" s="2"/>
      <c r="F618" s="2"/>
      <c r="G618" s="2"/>
    </row>
    <row r="619" spans="1:7" ht="12.75" hidden="1" customHeight="1" x14ac:dyDescent="0.15">
      <c r="A619" s="2"/>
      <c r="B619" s="2"/>
      <c r="C619" s="2"/>
      <c r="D619" s="2"/>
      <c r="E619" s="2"/>
      <c r="F619" s="2"/>
      <c r="G619" s="2"/>
    </row>
    <row r="620" spans="1:7" ht="12.75" hidden="1" customHeight="1" x14ac:dyDescent="0.15">
      <c r="A620" s="2"/>
      <c r="B620" s="2"/>
      <c r="C620" s="2"/>
      <c r="D620" s="2"/>
      <c r="E620" s="2"/>
      <c r="F620" s="2"/>
      <c r="G620" s="2"/>
    </row>
    <row r="621" spans="1:7" ht="12.75" hidden="1" customHeight="1" x14ac:dyDescent="0.15">
      <c r="A621" s="2"/>
      <c r="B621" s="2"/>
      <c r="C621" s="2"/>
      <c r="D621" s="2"/>
      <c r="E621" s="2"/>
      <c r="F621" s="2"/>
      <c r="G621" s="2"/>
    </row>
    <row r="622" spans="1:7" ht="12.75" hidden="1" customHeight="1" x14ac:dyDescent="0.15">
      <c r="A622" s="2"/>
      <c r="B622" s="2"/>
      <c r="C622" s="2"/>
      <c r="D622" s="2"/>
      <c r="E622" s="2"/>
      <c r="F622" s="2"/>
      <c r="G622" s="2"/>
    </row>
    <row r="623" spans="1:7" ht="12.75" hidden="1" customHeight="1" x14ac:dyDescent="0.15">
      <c r="A623" s="2"/>
      <c r="B623" s="2"/>
      <c r="C623" s="2"/>
      <c r="D623" s="2"/>
      <c r="E623" s="2"/>
      <c r="F623" s="2"/>
      <c r="G623" s="2"/>
    </row>
    <row r="624" spans="1:7" ht="12.75" hidden="1" customHeight="1" x14ac:dyDescent="0.15">
      <c r="A624" s="2"/>
      <c r="B624" s="2"/>
      <c r="C624" s="2"/>
      <c r="D624" s="2"/>
      <c r="E624" s="2"/>
      <c r="F624" s="2"/>
      <c r="G624" s="2"/>
    </row>
    <row r="625" spans="1:7" ht="12.75" hidden="1" customHeight="1" x14ac:dyDescent="0.15">
      <c r="A625" s="2"/>
      <c r="B625" s="2"/>
      <c r="C625" s="2"/>
      <c r="D625" s="2"/>
      <c r="E625" s="2"/>
      <c r="F625" s="2"/>
      <c r="G625" s="2"/>
    </row>
    <row r="626" spans="1:7" ht="12.75" hidden="1" customHeight="1" x14ac:dyDescent="0.15">
      <c r="A626" s="2"/>
      <c r="B626" s="2"/>
      <c r="C626" s="2"/>
      <c r="D626" s="2"/>
      <c r="E626" s="2"/>
      <c r="F626" s="2"/>
      <c r="G626" s="2"/>
    </row>
    <row r="627" spans="1:7" ht="12.75" hidden="1" customHeight="1" x14ac:dyDescent="0.15">
      <c r="A627" s="2"/>
      <c r="B627" s="2"/>
      <c r="C627" s="2"/>
      <c r="D627" s="2"/>
      <c r="E627" s="2"/>
      <c r="F627" s="2"/>
      <c r="G627" s="2"/>
    </row>
    <row r="628" spans="1:7" ht="12.75" hidden="1" customHeight="1" x14ac:dyDescent="0.15">
      <c r="A628" s="2"/>
      <c r="B628" s="2"/>
      <c r="C628" s="2"/>
      <c r="D628" s="2"/>
      <c r="E628" s="2"/>
      <c r="F628" s="2"/>
      <c r="G628" s="2"/>
    </row>
    <row r="629" spans="1:7" ht="12.75" hidden="1" customHeight="1" x14ac:dyDescent="0.15">
      <c r="A629" s="2"/>
      <c r="B629" s="2"/>
      <c r="C629" s="2"/>
      <c r="D629" s="2"/>
      <c r="E629" s="2"/>
      <c r="F629" s="2"/>
      <c r="G629" s="2"/>
    </row>
    <row r="630" spans="1:7" ht="12.75" hidden="1" customHeight="1" x14ac:dyDescent="0.15">
      <c r="A630" s="2"/>
      <c r="B630" s="2"/>
      <c r="C630" s="2"/>
      <c r="D630" s="2"/>
      <c r="E630" s="2"/>
      <c r="F630" s="2"/>
      <c r="G630" s="2"/>
    </row>
    <row r="631" spans="1:7" ht="12.75" hidden="1" customHeight="1" x14ac:dyDescent="0.15">
      <c r="A631" s="2"/>
      <c r="B631" s="2"/>
      <c r="C631" s="2"/>
      <c r="D631" s="2"/>
      <c r="E631" s="2"/>
      <c r="F631" s="2"/>
      <c r="G631" s="2"/>
    </row>
    <row r="632" spans="1:7" ht="12.75" hidden="1" customHeight="1" x14ac:dyDescent="0.15">
      <c r="A632" s="2"/>
      <c r="B632" s="2"/>
      <c r="C632" s="2"/>
      <c r="D632" s="2"/>
      <c r="E632" s="2"/>
      <c r="F632" s="2"/>
      <c r="G632" s="2"/>
    </row>
    <row r="633" spans="1:7" ht="12.75" hidden="1" customHeight="1" x14ac:dyDescent="0.15">
      <c r="A633" s="2"/>
      <c r="B633" s="2"/>
      <c r="C633" s="2"/>
      <c r="D633" s="2"/>
      <c r="E633" s="2"/>
      <c r="F633" s="2"/>
      <c r="G633" s="2"/>
    </row>
    <row r="634" spans="1:7" ht="12.75" hidden="1" customHeight="1" x14ac:dyDescent="0.15">
      <c r="A634" s="2"/>
      <c r="B634" s="2"/>
      <c r="C634" s="2"/>
      <c r="D634" s="2"/>
      <c r="E634" s="2"/>
      <c r="F634" s="2"/>
      <c r="G634" s="2"/>
    </row>
    <row r="635" spans="1:7" ht="12.75" hidden="1" customHeight="1" x14ac:dyDescent="0.15">
      <c r="A635" s="2"/>
      <c r="B635" s="2"/>
      <c r="C635" s="2"/>
      <c r="D635" s="2"/>
      <c r="E635" s="2"/>
      <c r="F635" s="2"/>
      <c r="G635" s="2"/>
    </row>
    <row r="636" spans="1:7" ht="12.75" hidden="1" customHeight="1" x14ac:dyDescent="0.15">
      <c r="A636" s="2"/>
      <c r="B636" s="2"/>
      <c r="C636" s="2"/>
      <c r="D636" s="2"/>
      <c r="E636" s="2"/>
      <c r="F636" s="2"/>
      <c r="G636" s="2"/>
    </row>
    <row r="637" spans="1:7" ht="12.75" hidden="1" customHeight="1" x14ac:dyDescent="0.15">
      <c r="A637" s="2"/>
      <c r="B637" s="2"/>
      <c r="C637" s="2"/>
      <c r="D637" s="2"/>
      <c r="E637" s="2"/>
      <c r="F637" s="2"/>
      <c r="G637" s="2"/>
    </row>
    <row r="638" spans="1:7" ht="12.75" hidden="1" customHeight="1" x14ac:dyDescent="0.15">
      <c r="A638" s="2"/>
      <c r="B638" s="2"/>
      <c r="C638" s="2"/>
      <c r="D638" s="2"/>
      <c r="E638" s="2"/>
      <c r="F638" s="2"/>
      <c r="G638" s="2"/>
    </row>
    <row r="639" spans="1:7" ht="12.75" hidden="1" customHeight="1" x14ac:dyDescent="0.15">
      <c r="A639" s="2"/>
      <c r="B639" s="2"/>
      <c r="C639" s="2"/>
      <c r="D639" s="2"/>
      <c r="E639" s="2"/>
      <c r="F639" s="2"/>
      <c r="G639" s="2"/>
    </row>
    <row r="640" spans="1:7" ht="12.75" hidden="1" customHeight="1" x14ac:dyDescent="0.15">
      <c r="A640" s="2"/>
      <c r="B640" s="2"/>
      <c r="C640" s="2"/>
      <c r="D640" s="2"/>
      <c r="E640" s="2"/>
      <c r="F640" s="2"/>
      <c r="G640" s="2"/>
    </row>
    <row r="641" spans="1:7" ht="12.75" hidden="1" customHeight="1" x14ac:dyDescent="0.15">
      <c r="A641" s="2"/>
      <c r="B641" s="2"/>
      <c r="C641" s="2"/>
      <c r="D641" s="2"/>
      <c r="E641" s="2"/>
      <c r="F641" s="2"/>
      <c r="G641" s="2"/>
    </row>
    <row r="642" spans="1:7" ht="12.75" hidden="1" customHeight="1" x14ac:dyDescent="0.15">
      <c r="A642" s="2"/>
      <c r="B642" s="2"/>
      <c r="C642" s="2"/>
      <c r="D642" s="2"/>
      <c r="E642" s="2"/>
      <c r="F642" s="2"/>
      <c r="G642" s="2"/>
    </row>
    <row r="643" spans="1:7" ht="12.75" hidden="1" customHeight="1" x14ac:dyDescent="0.15">
      <c r="A643" s="2"/>
      <c r="B643" s="2"/>
      <c r="C643" s="2"/>
      <c r="D643" s="2"/>
      <c r="E643" s="2"/>
      <c r="F643" s="2"/>
      <c r="G643" s="2"/>
    </row>
    <row r="644" spans="1:7" ht="12.75" hidden="1" customHeight="1" x14ac:dyDescent="0.15">
      <c r="A644" s="2"/>
      <c r="B644" s="2"/>
      <c r="C644" s="2"/>
      <c r="D644" s="2"/>
      <c r="E644" s="2"/>
      <c r="F644" s="2"/>
      <c r="G644" s="2"/>
    </row>
    <row r="645" spans="1:7" ht="12.75" hidden="1" customHeight="1" x14ac:dyDescent="0.15">
      <c r="A645" s="2"/>
      <c r="B645" s="2"/>
      <c r="C645" s="2"/>
      <c r="D645" s="2"/>
      <c r="E645" s="2"/>
      <c r="F645" s="2"/>
      <c r="G645" s="2"/>
    </row>
    <row r="646" spans="1:7" ht="12.75" hidden="1" customHeight="1" x14ac:dyDescent="0.15">
      <c r="A646" s="2"/>
      <c r="B646" s="2"/>
      <c r="C646" s="2"/>
      <c r="D646" s="2"/>
      <c r="E646" s="2"/>
      <c r="F646" s="2"/>
      <c r="G646" s="2"/>
    </row>
    <row r="647" spans="1:7" ht="12.75" hidden="1" customHeight="1" x14ac:dyDescent="0.15">
      <c r="A647" s="2"/>
      <c r="B647" s="2"/>
      <c r="C647" s="2"/>
      <c r="D647" s="2"/>
      <c r="E647" s="2"/>
      <c r="F647" s="2"/>
      <c r="G647" s="2"/>
    </row>
    <row r="648" spans="1:7" ht="12.75" hidden="1" customHeight="1" x14ac:dyDescent="0.15">
      <c r="A648" s="2"/>
      <c r="B648" s="2"/>
      <c r="C648" s="2"/>
      <c r="D648" s="2"/>
      <c r="E648" s="2"/>
      <c r="F648" s="2"/>
      <c r="G648" s="2"/>
    </row>
    <row r="649" spans="1:7" ht="12.75" hidden="1" customHeight="1" x14ac:dyDescent="0.15">
      <c r="A649" s="2"/>
      <c r="B649" s="2"/>
      <c r="C649" s="2"/>
      <c r="D649" s="2"/>
      <c r="E649" s="2"/>
      <c r="F649" s="2"/>
      <c r="G649" s="2"/>
    </row>
    <row r="650" spans="1:7" ht="12.75" hidden="1" customHeight="1" x14ac:dyDescent="0.15">
      <c r="A650" s="2"/>
      <c r="B650" s="2"/>
      <c r="C650" s="2"/>
      <c r="D650" s="2"/>
      <c r="E650" s="2"/>
      <c r="F650" s="2"/>
      <c r="G650" s="2"/>
    </row>
    <row r="651" spans="1:7" ht="12.75" hidden="1" customHeight="1" x14ac:dyDescent="0.15">
      <c r="A651" s="2"/>
      <c r="B651" s="2"/>
      <c r="C651" s="2"/>
      <c r="D651" s="2"/>
      <c r="E651" s="2"/>
      <c r="F651" s="2"/>
      <c r="G651" s="2"/>
    </row>
    <row r="652" spans="1:7" ht="12.75" hidden="1" customHeight="1" x14ac:dyDescent="0.15">
      <c r="A652" s="2"/>
      <c r="B652" s="2"/>
      <c r="C652" s="2"/>
      <c r="D652" s="2"/>
      <c r="E652" s="2"/>
      <c r="F652" s="2"/>
      <c r="G652" s="2"/>
    </row>
    <row r="653" spans="1:7" ht="12.75" hidden="1" customHeight="1" x14ac:dyDescent="0.15">
      <c r="A653" s="2"/>
      <c r="B653" s="2"/>
      <c r="C653" s="2"/>
      <c r="D653" s="2"/>
      <c r="E653" s="2"/>
      <c r="F653" s="2"/>
      <c r="G653" s="2"/>
    </row>
    <row r="654" spans="1:7" ht="12.75" hidden="1" customHeight="1" x14ac:dyDescent="0.15">
      <c r="A654" s="2"/>
      <c r="B654" s="2"/>
      <c r="C654" s="2"/>
      <c r="D654" s="2"/>
      <c r="E654" s="2"/>
      <c r="F654" s="2"/>
      <c r="G654" s="2"/>
    </row>
    <row r="655" spans="1:7" ht="12.75" hidden="1" customHeight="1" x14ac:dyDescent="0.15">
      <c r="A655" s="2"/>
      <c r="B655" s="2"/>
      <c r="C655" s="2"/>
      <c r="D655" s="2"/>
      <c r="E655" s="2"/>
      <c r="F655" s="2"/>
      <c r="G655" s="2"/>
    </row>
    <row r="656" spans="1:7" ht="12.75" hidden="1" customHeight="1" x14ac:dyDescent="0.15">
      <c r="A656" s="2"/>
      <c r="B656" s="2"/>
      <c r="C656" s="2"/>
      <c r="D656" s="2"/>
      <c r="E656" s="2"/>
      <c r="F656" s="2"/>
      <c r="G656" s="2"/>
    </row>
    <row r="657" spans="1:7" ht="12.75" hidden="1" customHeight="1" x14ac:dyDescent="0.15">
      <c r="A657" s="2"/>
      <c r="B657" s="2"/>
      <c r="C657" s="2"/>
      <c r="D657" s="2"/>
      <c r="E657" s="2"/>
      <c r="F657" s="2"/>
      <c r="G657" s="2"/>
    </row>
    <row r="658" spans="1:7" ht="12.75" hidden="1" customHeight="1" x14ac:dyDescent="0.15">
      <c r="A658" s="2"/>
      <c r="B658" s="2"/>
      <c r="C658" s="2"/>
      <c r="D658" s="2"/>
      <c r="E658" s="2"/>
      <c r="F658" s="2"/>
      <c r="G658" s="2"/>
    </row>
    <row r="659" spans="1:7" ht="12.75" hidden="1" customHeight="1" x14ac:dyDescent="0.15">
      <c r="A659" s="2"/>
      <c r="B659" s="2"/>
      <c r="C659" s="2"/>
      <c r="D659" s="2"/>
      <c r="E659" s="2"/>
      <c r="F659" s="2"/>
      <c r="G659" s="2"/>
    </row>
    <row r="660" spans="1:7" ht="12.75" hidden="1" customHeight="1" x14ac:dyDescent="0.15">
      <c r="A660" s="2"/>
      <c r="B660" s="2"/>
      <c r="C660" s="2"/>
      <c r="D660" s="2"/>
      <c r="E660" s="2"/>
      <c r="F660" s="2"/>
      <c r="G660" s="2"/>
    </row>
    <row r="661" spans="1:7" ht="12.75" hidden="1" customHeight="1" x14ac:dyDescent="0.15">
      <c r="A661" s="2"/>
      <c r="B661" s="2"/>
      <c r="C661" s="2"/>
      <c r="D661" s="2"/>
      <c r="E661" s="2"/>
      <c r="F661" s="2"/>
      <c r="G661" s="2"/>
    </row>
    <row r="662" spans="1:7" ht="12.75" hidden="1" customHeight="1" x14ac:dyDescent="0.15">
      <c r="A662" s="2"/>
      <c r="B662" s="2"/>
      <c r="C662" s="2"/>
      <c r="D662" s="2"/>
      <c r="E662" s="2"/>
      <c r="F662" s="2"/>
      <c r="G662" s="2"/>
    </row>
    <row r="663" spans="1:7" ht="12.75" hidden="1" customHeight="1" x14ac:dyDescent="0.15">
      <c r="A663" s="2"/>
      <c r="B663" s="2"/>
      <c r="C663" s="2"/>
      <c r="D663" s="2"/>
      <c r="E663" s="2"/>
      <c r="F663" s="2"/>
      <c r="G663" s="2"/>
    </row>
    <row r="664" spans="1:7" ht="12.75" hidden="1" customHeight="1" x14ac:dyDescent="0.15">
      <c r="A664" s="2"/>
      <c r="B664" s="2"/>
      <c r="C664" s="2"/>
      <c r="D664" s="2"/>
      <c r="E664" s="2"/>
      <c r="F664" s="2"/>
      <c r="G664" s="2"/>
    </row>
    <row r="665" spans="1:7" ht="12.75" hidden="1" customHeight="1" x14ac:dyDescent="0.15">
      <c r="A665" s="2"/>
      <c r="B665" s="2"/>
      <c r="C665" s="2"/>
      <c r="D665" s="2"/>
      <c r="E665" s="2"/>
      <c r="F665" s="2"/>
      <c r="G665" s="2"/>
    </row>
    <row r="666" spans="1:7" ht="12.75" hidden="1" customHeight="1" x14ac:dyDescent="0.15">
      <c r="A666" s="2"/>
      <c r="B666" s="2"/>
      <c r="C666" s="2"/>
      <c r="D666" s="2"/>
      <c r="E666" s="2"/>
      <c r="F666" s="2"/>
      <c r="G666" s="2"/>
    </row>
    <row r="667" spans="1:7" ht="12.75" hidden="1" customHeight="1" x14ac:dyDescent="0.15">
      <c r="A667" s="2"/>
      <c r="B667" s="2"/>
      <c r="C667" s="2"/>
      <c r="D667" s="2"/>
      <c r="E667" s="2"/>
      <c r="F667" s="2"/>
      <c r="G667" s="2"/>
    </row>
    <row r="668" spans="1:7" ht="12.75" hidden="1" customHeight="1" x14ac:dyDescent="0.15">
      <c r="A668" s="2"/>
      <c r="B668" s="2"/>
      <c r="C668" s="2"/>
      <c r="D668" s="2"/>
      <c r="E668" s="2"/>
      <c r="F668" s="2"/>
      <c r="G668" s="2"/>
    </row>
    <row r="669" spans="1:7" ht="12.75" hidden="1" customHeight="1" x14ac:dyDescent="0.15">
      <c r="A669" s="2"/>
      <c r="B669" s="2"/>
      <c r="C669" s="2"/>
      <c r="D669" s="2"/>
      <c r="E669" s="2"/>
      <c r="F669" s="2"/>
      <c r="G669" s="2"/>
    </row>
    <row r="670" spans="1:7" ht="12.75" hidden="1" customHeight="1" x14ac:dyDescent="0.15">
      <c r="A670" s="2"/>
      <c r="B670" s="2"/>
      <c r="C670" s="2"/>
      <c r="D670" s="2"/>
      <c r="E670" s="2"/>
      <c r="F670" s="2"/>
      <c r="G670" s="2"/>
    </row>
    <row r="671" spans="1:7" ht="12.75" hidden="1" customHeight="1" x14ac:dyDescent="0.15">
      <c r="A671" s="2"/>
      <c r="B671" s="2"/>
      <c r="C671" s="2"/>
      <c r="D671" s="2"/>
      <c r="E671" s="2"/>
      <c r="F671" s="2"/>
      <c r="G671" s="2"/>
    </row>
    <row r="672" spans="1:7" ht="12.75" hidden="1" customHeight="1" x14ac:dyDescent="0.15">
      <c r="A672" s="2"/>
      <c r="B672" s="2"/>
      <c r="C672" s="2"/>
      <c r="D672" s="2"/>
      <c r="E672" s="2"/>
      <c r="F672" s="2"/>
      <c r="G672" s="2"/>
    </row>
    <row r="673" spans="1:7" ht="12.75" hidden="1" customHeight="1" x14ac:dyDescent="0.15">
      <c r="A673" s="2"/>
      <c r="B673" s="2"/>
      <c r="C673" s="2"/>
      <c r="D673" s="2"/>
      <c r="E673" s="2"/>
      <c r="F673" s="2"/>
      <c r="G673" s="2"/>
    </row>
    <row r="674" spans="1:7" ht="12.75" hidden="1" customHeight="1" x14ac:dyDescent="0.15">
      <c r="A674" s="2"/>
      <c r="B674" s="2"/>
      <c r="C674" s="2"/>
      <c r="D674" s="2"/>
      <c r="E674" s="2"/>
      <c r="F674" s="2"/>
      <c r="G674" s="2"/>
    </row>
    <row r="675" spans="1:7" ht="12.75" hidden="1" customHeight="1" x14ac:dyDescent="0.15">
      <c r="A675" s="2"/>
      <c r="B675" s="2"/>
      <c r="C675" s="2"/>
      <c r="D675" s="2"/>
      <c r="E675" s="2"/>
      <c r="F675" s="2"/>
      <c r="G675" s="2"/>
    </row>
    <row r="676" spans="1:7" ht="12.75" hidden="1" customHeight="1" x14ac:dyDescent="0.15">
      <c r="A676" s="2"/>
      <c r="B676" s="2"/>
      <c r="C676" s="2"/>
      <c r="D676" s="2"/>
      <c r="E676" s="2"/>
      <c r="F676" s="2"/>
      <c r="G676" s="2"/>
    </row>
    <row r="677" spans="1:7" ht="12.75" hidden="1" customHeight="1" x14ac:dyDescent="0.15">
      <c r="A677" s="2"/>
      <c r="B677" s="2"/>
      <c r="C677" s="2"/>
      <c r="D677" s="2"/>
      <c r="E677" s="2"/>
      <c r="F677" s="2"/>
      <c r="G677" s="2"/>
    </row>
    <row r="678" spans="1:7" ht="12.75" hidden="1" customHeight="1" x14ac:dyDescent="0.15">
      <c r="A678" s="2"/>
      <c r="B678" s="2"/>
      <c r="C678" s="2"/>
      <c r="D678" s="2"/>
      <c r="E678" s="2"/>
      <c r="F678" s="2"/>
      <c r="G678" s="2"/>
    </row>
    <row r="679" spans="1:7" ht="12.75" hidden="1" customHeight="1" x14ac:dyDescent="0.15">
      <c r="A679" s="2"/>
      <c r="B679" s="2"/>
      <c r="C679" s="2"/>
      <c r="D679" s="2"/>
      <c r="E679" s="2"/>
      <c r="F679" s="2"/>
      <c r="G679" s="2"/>
    </row>
    <row r="680" spans="1:7" ht="12.75" hidden="1" customHeight="1" x14ac:dyDescent="0.15">
      <c r="A680" s="2"/>
      <c r="B680" s="2"/>
      <c r="C680" s="2"/>
      <c r="D680" s="2"/>
      <c r="E680" s="2"/>
      <c r="F680" s="2"/>
      <c r="G680" s="2"/>
    </row>
    <row r="681" spans="1:7" ht="12.75" customHeight="1" x14ac:dyDescent="0.15">
      <c r="A681" s="2" t="s">
        <v>190</v>
      </c>
      <c r="B681" s="2" t="s">
        <v>184</v>
      </c>
      <c r="C681" s="2" t="s">
        <v>391</v>
      </c>
      <c r="D681" s="2" t="s">
        <v>170</v>
      </c>
      <c r="E681" s="2"/>
      <c r="F681" s="2"/>
      <c r="G681" s="2"/>
    </row>
    <row r="682" spans="1:7" ht="12.75" hidden="1" customHeight="1" x14ac:dyDescent="0.15">
      <c r="A682" s="2"/>
      <c r="B682" s="2"/>
      <c r="C682" s="2"/>
      <c r="D682" s="2"/>
      <c r="E682" s="2"/>
      <c r="F682" s="2"/>
      <c r="G682" s="2"/>
    </row>
    <row r="683" spans="1:7" ht="12.75" hidden="1" customHeight="1" x14ac:dyDescent="0.15">
      <c r="A683" s="2"/>
      <c r="B683" s="2"/>
      <c r="C683" s="2"/>
      <c r="D683" s="2"/>
      <c r="E683" s="2"/>
      <c r="F683" s="2"/>
      <c r="G683" s="2"/>
    </row>
    <row r="684" spans="1:7" ht="12.75" hidden="1" customHeight="1" x14ac:dyDescent="0.15">
      <c r="A684" s="2"/>
      <c r="B684" s="2"/>
      <c r="C684" s="2"/>
      <c r="D684" s="2"/>
      <c r="E684" s="2"/>
      <c r="F684" s="2"/>
      <c r="G684" s="2"/>
    </row>
    <row r="685" spans="1:7" ht="12.75" hidden="1" customHeight="1" x14ac:dyDescent="0.15">
      <c r="A685" s="2"/>
      <c r="B685" s="2"/>
      <c r="C685" s="2"/>
      <c r="D685" s="2"/>
      <c r="E685" s="2"/>
      <c r="F685" s="2"/>
      <c r="G685" s="2"/>
    </row>
    <row r="686" spans="1:7" ht="12.75" hidden="1" customHeight="1" x14ac:dyDescent="0.15">
      <c r="A686" s="2"/>
      <c r="B686" s="2"/>
      <c r="C686" s="2"/>
      <c r="D686" s="2"/>
      <c r="E686" s="2"/>
      <c r="F686" s="2"/>
      <c r="G686" s="2"/>
    </row>
    <row r="687" spans="1:7" ht="12.75" hidden="1" customHeight="1" x14ac:dyDescent="0.15">
      <c r="A687" s="2"/>
      <c r="B687" s="2"/>
      <c r="C687" s="2"/>
      <c r="D687" s="2"/>
      <c r="E687" s="2"/>
      <c r="F687" s="2"/>
      <c r="G687" s="2"/>
    </row>
    <row r="688" spans="1:7" ht="12.75" hidden="1" customHeight="1" x14ac:dyDescent="0.15">
      <c r="A688" s="2"/>
      <c r="B688" s="2"/>
      <c r="C688" s="2"/>
      <c r="D688" s="2"/>
      <c r="E688" s="2"/>
      <c r="F688" s="2"/>
      <c r="G688" s="2"/>
    </row>
    <row r="689" spans="1:7" ht="12.75" hidden="1" customHeight="1" x14ac:dyDescent="0.15">
      <c r="A689" s="2"/>
      <c r="B689" s="2"/>
      <c r="C689" s="2"/>
      <c r="D689" s="2"/>
      <c r="E689" s="2"/>
      <c r="F689" s="2"/>
      <c r="G689" s="2"/>
    </row>
    <row r="690" spans="1:7" ht="12.75" hidden="1" customHeight="1" x14ac:dyDescent="0.15">
      <c r="A690" s="2"/>
      <c r="B690" s="2"/>
      <c r="C690" s="2"/>
      <c r="D690" s="2"/>
      <c r="E690" s="2"/>
      <c r="F690" s="2"/>
      <c r="G690" s="2"/>
    </row>
    <row r="691" spans="1:7" ht="12.75" hidden="1" customHeight="1" x14ac:dyDescent="0.15">
      <c r="A691" s="2"/>
      <c r="B691" s="2"/>
      <c r="C691" s="2"/>
      <c r="D691" s="2"/>
      <c r="E691" s="2"/>
      <c r="F691" s="2"/>
      <c r="G691" s="2"/>
    </row>
    <row r="692" spans="1:7" ht="12.75" hidden="1" customHeight="1" x14ac:dyDescent="0.15">
      <c r="A692" s="2"/>
      <c r="B692" s="2"/>
      <c r="C692" s="2"/>
      <c r="D692" s="2"/>
      <c r="E692" s="2"/>
      <c r="F692" s="2"/>
      <c r="G692" s="2"/>
    </row>
    <row r="693" spans="1:7" ht="12.75" customHeight="1" x14ac:dyDescent="0.15">
      <c r="A693" s="2" t="s">
        <v>235</v>
      </c>
      <c r="B693" s="2" t="s">
        <v>134</v>
      </c>
      <c r="C693" s="2" t="s">
        <v>394</v>
      </c>
      <c r="D693" s="2" t="s">
        <v>170</v>
      </c>
      <c r="E693" s="2"/>
      <c r="F693" s="2"/>
      <c r="G693" s="2"/>
    </row>
    <row r="694" spans="1:7" ht="12.75" hidden="1" customHeight="1" x14ac:dyDescent="0.15">
      <c r="A694" s="2"/>
      <c r="B694" s="2"/>
      <c r="C694" s="2"/>
      <c r="D694" s="2"/>
      <c r="E694" s="2"/>
      <c r="F694" s="2"/>
      <c r="G694" s="2"/>
    </row>
    <row r="695" spans="1:7" ht="12.75" hidden="1" customHeight="1" x14ac:dyDescent="0.15">
      <c r="A695" s="2"/>
      <c r="B695" s="2"/>
      <c r="C695" s="2"/>
      <c r="D695" s="2"/>
      <c r="E695" s="2"/>
      <c r="F695" s="2"/>
      <c r="G695" s="2"/>
    </row>
    <row r="696" spans="1:7" ht="12.75" hidden="1" customHeight="1" x14ac:dyDescent="0.15">
      <c r="A696" s="2"/>
      <c r="B696" s="2"/>
      <c r="C696" s="2"/>
      <c r="D696" s="2"/>
      <c r="E696" s="2"/>
      <c r="F696" s="2"/>
      <c r="G696" s="2"/>
    </row>
    <row r="697" spans="1:7" ht="12.75" hidden="1" customHeight="1" x14ac:dyDescent="0.15">
      <c r="A697" s="2"/>
      <c r="B697" s="2"/>
      <c r="C697" s="2"/>
      <c r="D697" s="2"/>
      <c r="E697" s="2"/>
      <c r="F697" s="2"/>
      <c r="G697" s="2"/>
    </row>
    <row r="698" spans="1:7" ht="12.75" hidden="1" customHeight="1" x14ac:dyDescent="0.15">
      <c r="A698" s="2"/>
      <c r="B698" s="2"/>
      <c r="C698" s="2"/>
      <c r="D698" s="2"/>
      <c r="E698" s="2"/>
      <c r="F698" s="2"/>
      <c r="G698" s="2"/>
    </row>
    <row r="699" spans="1:7" ht="12.75" hidden="1" customHeight="1" x14ac:dyDescent="0.15">
      <c r="A699" s="2"/>
      <c r="B699" s="2"/>
      <c r="C699" s="2"/>
      <c r="D699" s="2"/>
      <c r="E699" s="2"/>
      <c r="F699" s="2"/>
      <c r="G699" s="2"/>
    </row>
    <row r="700" spans="1:7" ht="12.75" hidden="1" customHeight="1" x14ac:dyDescent="0.15">
      <c r="A700" s="2"/>
      <c r="B700" s="2"/>
      <c r="C700" s="2"/>
      <c r="D700" s="2"/>
      <c r="E700" s="2"/>
      <c r="F700" s="2"/>
      <c r="G700" s="2"/>
    </row>
    <row r="701" spans="1:7" ht="12.75" hidden="1" customHeight="1" x14ac:dyDescent="0.15">
      <c r="A701" s="2"/>
      <c r="B701" s="2"/>
      <c r="C701" s="2"/>
      <c r="D701" s="2"/>
      <c r="E701" s="2"/>
      <c r="F701" s="2"/>
      <c r="G701" s="2"/>
    </row>
    <row r="702" spans="1:7" ht="12.75" hidden="1" customHeight="1" x14ac:dyDescent="0.15">
      <c r="A702" s="2"/>
      <c r="B702" s="2"/>
      <c r="C702" s="2"/>
      <c r="D702" s="2"/>
      <c r="E702" s="2"/>
      <c r="F702" s="2"/>
      <c r="G702" s="2"/>
    </row>
    <row r="703" spans="1:7" ht="12.75" hidden="1" customHeight="1" x14ac:dyDescent="0.15">
      <c r="A703" s="2"/>
      <c r="B703" s="2"/>
      <c r="C703" s="2"/>
      <c r="D703" s="2"/>
      <c r="E703" s="2"/>
      <c r="F703" s="2"/>
      <c r="G703" s="2"/>
    </row>
    <row r="704" spans="1:7" ht="12.75" hidden="1" customHeight="1" x14ac:dyDescent="0.15">
      <c r="A704" s="2"/>
      <c r="B704" s="2"/>
      <c r="C704" s="2"/>
      <c r="D704" s="2"/>
      <c r="E704" s="2"/>
      <c r="F704" s="2"/>
      <c r="G704" s="2"/>
    </row>
    <row r="705" spans="1:7" ht="12.75" customHeight="1" x14ac:dyDescent="0.15">
      <c r="A705" s="2" t="s">
        <v>395</v>
      </c>
      <c r="B705" s="2"/>
      <c r="C705" s="2" t="s">
        <v>396</v>
      </c>
      <c r="D705" s="2" t="s">
        <v>170</v>
      </c>
      <c r="E705" s="2"/>
      <c r="F705" s="2"/>
      <c r="G705" s="2"/>
    </row>
    <row r="706" spans="1:7" ht="12.75" hidden="1" customHeight="1" x14ac:dyDescent="0.15">
      <c r="A706" s="2"/>
      <c r="B706" s="2"/>
      <c r="C706" s="2"/>
      <c r="D706" s="2"/>
      <c r="E706" s="2"/>
      <c r="F706" s="2"/>
      <c r="G706" s="2"/>
    </row>
    <row r="707" spans="1:7" ht="12.75" hidden="1" customHeight="1" x14ac:dyDescent="0.15">
      <c r="A707" s="2"/>
      <c r="B707" s="2"/>
      <c r="C707" s="2"/>
      <c r="D707" s="2"/>
      <c r="E707" s="2"/>
      <c r="F707" s="2"/>
      <c r="G707" s="2"/>
    </row>
    <row r="708" spans="1:7" ht="12.75" hidden="1" customHeight="1" x14ac:dyDescent="0.15">
      <c r="A708" s="2"/>
      <c r="B708" s="2"/>
      <c r="C708" s="2"/>
      <c r="D708" s="2"/>
      <c r="E708" s="2"/>
      <c r="F708" s="2"/>
      <c r="G708" s="2"/>
    </row>
    <row r="709" spans="1:7" ht="12.75" hidden="1" customHeight="1" x14ac:dyDescent="0.15">
      <c r="A709" s="2"/>
      <c r="B709" s="2"/>
      <c r="C709" s="2"/>
      <c r="D709" s="2"/>
      <c r="E709" s="2"/>
      <c r="F709" s="2"/>
      <c r="G709" s="2"/>
    </row>
    <row r="710" spans="1:7" ht="12.75" hidden="1" customHeight="1" x14ac:dyDescent="0.15">
      <c r="A710" s="2"/>
      <c r="B710" s="2"/>
      <c r="C710" s="2"/>
      <c r="D710" s="2"/>
      <c r="E710" s="2"/>
      <c r="F710" s="2"/>
      <c r="G710" s="2"/>
    </row>
    <row r="711" spans="1:7" ht="12.75" hidden="1" customHeight="1" x14ac:dyDescent="0.15">
      <c r="A711" s="2"/>
      <c r="B711" s="2"/>
      <c r="C711" s="2"/>
      <c r="D711" s="2"/>
      <c r="E711" s="2"/>
      <c r="F711" s="2"/>
      <c r="G711" s="2"/>
    </row>
    <row r="712" spans="1:7" ht="12.75" hidden="1" customHeight="1" x14ac:dyDescent="0.15">
      <c r="A712" s="2"/>
      <c r="B712" s="2"/>
      <c r="C712" s="2"/>
      <c r="D712" s="2"/>
      <c r="E712" s="2"/>
      <c r="F712" s="2"/>
      <c r="G712" s="2"/>
    </row>
    <row r="713" spans="1:7" ht="12.75" hidden="1" customHeight="1" x14ac:dyDescent="0.15">
      <c r="A713" s="2"/>
      <c r="B713" s="2"/>
      <c r="C713" s="2"/>
      <c r="D713" s="2"/>
      <c r="E713" s="2"/>
      <c r="F713" s="2"/>
      <c r="G713" s="2"/>
    </row>
    <row r="714" spans="1:7" ht="12.75" customHeight="1" x14ac:dyDescent="0.15">
      <c r="A714" s="2" t="s">
        <v>397</v>
      </c>
      <c r="B714" s="2" t="s">
        <v>1</v>
      </c>
      <c r="C714" s="2" t="s">
        <v>398</v>
      </c>
      <c r="D714" s="2" t="s">
        <v>170</v>
      </c>
      <c r="E714" s="2"/>
      <c r="F714" s="2"/>
      <c r="G714" s="2"/>
    </row>
    <row r="715" spans="1:7" ht="12.75" hidden="1" customHeight="1" x14ac:dyDescent="0.15">
      <c r="A715" s="2"/>
      <c r="B715" s="2"/>
      <c r="C715" s="2"/>
      <c r="D715" s="2"/>
      <c r="E715" s="2"/>
      <c r="F715" s="2"/>
      <c r="G715" s="2"/>
    </row>
    <row r="716" spans="1:7" ht="12.75" hidden="1" customHeight="1" x14ac:dyDescent="0.15">
      <c r="A716" s="2"/>
      <c r="B716" s="2"/>
      <c r="C716" s="2"/>
      <c r="D716" s="2"/>
      <c r="E716" s="2"/>
      <c r="F716" s="2"/>
      <c r="G716" s="2"/>
    </row>
    <row r="717" spans="1:7" ht="12.75" hidden="1" customHeight="1" x14ac:dyDescent="0.15">
      <c r="A717" s="2"/>
      <c r="B717" s="2"/>
      <c r="C717" s="2"/>
      <c r="D717" s="2"/>
      <c r="E717" s="2"/>
      <c r="F717" s="2"/>
      <c r="G717" s="2"/>
    </row>
    <row r="718" spans="1:7" ht="12.75" hidden="1" customHeight="1" x14ac:dyDescent="0.15">
      <c r="A718" s="2"/>
      <c r="B718" s="2"/>
      <c r="C718" s="2"/>
      <c r="D718" s="2"/>
      <c r="E718" s="2"/>
      <c r="F718" s="2"/>
      <c r="G718" s="2"/>
    </row>
    <row r="719" spans="1:7" ht="12.75" hidden="1" customHeight="1" x14ac:dyDescent="0.15">
      <c r="A719" s="2"/>
      <c r="B719" s="2"/>
      <c r="C719" s="2"/>
      <c r="D719" s="2"/>
      <c r="E719" s="2"/>
      <c r="F719" s="2"/>
      <c r="G719" s="2"/>
    </row>
    <row r="720" spans="1:7" ht="12.75" hidden="1" customHeight="1" x14ac:dyDescent="0.15">
      <c r="A720" s="2"/>
      <c r="B720" s="2"/>
      <c r="C720" s="2"/>
      <c r="D720" s="2"/>
      <c r="E720" s="2"/>
      <c r="F720" s="2"/>
      <c r="G720" s="2"/>
    </row>
    <row r="721" spans="1:7" ht="12.75" hidden="1" customHeight="1" x14ac:dyDescent="0.15">
      <c r="A721" s="2"/>
      <c r="B721" s="2"/>
      <c r="C721" s="2"/>
      <c r="D721" s="2"/>
      <c r="E721" s="2"/>
      <c r="F721" s="2"/>
      <c r="G721" s="2"/>
    </row>
    <row r="722" spans="1:7" ht="12.75" hidden="1" customHeight="1" x14ac:dyDescent="0.15">
      <c r="A722" s="2"/>
      <c r="B722" s="2"/>
      <c r="C722" s="2"/>
      <c r="D722" s="2"/>
      <c r="E722" s="2"/>
      <c r="F722" s="2"/>
      <c r="G722" s="2"/>
    </row>
    <row r="723" spans="1:7" ht="12.75" hidden="1" customHeight="1" x14ac:dyDescent="0.15">
      <c r="A723" s="2"/>
      <c r="B723" s="2"/>
      <c r="C723" s="2"/>
      <c r="D723" s="2"/>
      <c r="E723" s="2"/>
      <c r="F723" s="2"/>
      <c r="G723" s="2"/>
    </row>
    <row r="724" spans="1:7" ht="12.75" hidden="1" customHeight="1" x14ac:dyDescent="0.15">
      <c r="A724" s="2"/>
      <c r="B724" s="2"/>
      <c r="C724" s="2"/>
      <c r="D724" s="2"/>
      <c r="E724" s="2"/>
      <c r="F724" s="2"/>
      <c r="G724" s="2"/>
    </row>
    <row r="725" spans="1:7" ht="12.75" hidden="1" customHeight="1" x14ac:dyDescent="0.15">
      <c r="A725" s="2"/>
      <c r="B725" s="2"/>
      <c r="C725" s="2"/>
      <c r="D725" s="2"/>
      <c r="E725" s="2"/>
      <c r="F725" s="2"/>
      <c r="G725" s="2"/>
    </row>
    <row r="726" spans="1:7" ht="12.75" hidden="1" customHeight="1" x14ac:dyDescent="0.15">
      <c r="A726" s="2"/>
      <c r="B726" s="2"/>
      <c r="C726" s="2"/>
      <c r="D726" s="2"/>
      <c r="E726" s="2"/>
      <c r="F726" s="2"/>
      <c r="G726" s="2"/>
    </row>
    <row r="727" spans="1:7" ht="12.75" hidden="1" customHeight="1" x14ac:dyDescent="0.15">
      <c r="A727" s="2"/>
      <c r="B727" s="2"/>
      <c r="C727" s="2"/>
      <c r="D727" s="2"/>
      <c r="E727" s="2"/>
      <c r="F727" s="2"/>
      <c r="G727" s="2"/>
    </row>
    <row r="728" spans="1:7" ht="12.75" hidden="1" customHeight="1" x14ac:dyDescent="0.15">
      <c r="A728" s="2"/>
      <c r="B728" s="2"/>
      <c r="C728" s="2"/>
      <c r="D728" s="2"/>
      <c r="E728" s="2"/>
      <c r="F728" s="2"/>
      <c r="G728" s="2"/>
    </row>
    <row r="729" spans="1:7" ht="12.75" hidden="1" customHeight="1" x14ac:dyDescent="0.15">
      <c r="A729" s="2"/>
      <c r="B729" s="2"/>
      <c r="C729" s="2"/>
      <c r="D729" s="2"/>
      <c r="E729" s="2"/>
      <c r="F729" s="2"/>
      <c r="G729" s="2"/>
    </row>
    <row r="730" spans="1:7" ht="12.75" hidden="1" customHeight="1" x14ac:dyDescent="0.15">
      <c r="A730" s="2"/>
      <c r="B730" s="2"/>
      <c r="C730" s="2"/>
      <c r="D730" s="2"/>
      <c r="E730" s="2"/>
      <c r="F730" s="2"/>
      <c r="G730" s="2"/>
    </row>
    <row r="731" spans="1:7" ht="12.75" hidden="1" customHeight="1" x14ac:dyDescent="0.15">
      <c r="A731" s="2"/>
      <c r="B731" s="2"/>
      <c r="C731" s="2"/>
      <c r="D731" s="2"/>
      <c r="E731" s="2"/>
      <c r="F731" s="2"/>
      <c r="G731" s="2"/>
    </row>
    <row r="732" spans="1:7" ht="12.75" hidden="1" customHeight="1" x14ac:dyDescent="0.15">
      <c r="A732" s="2"/>
      <c r="B732" s="2"/>
      <c r="C732" s="2"/>
      <c r="D732" s="2"/>
      <c r="E732" s="2"/>
      <c r="F732" s="2"/>
      <c r="G732" s="2"/>
    </row>
    <row r="733" spans="1:7" ht="12.75" hidden="1" customHeight="1" x14ac:dyDescent="0.15">
      <c r="A733" s="2"/>
      <c r="B733" s="2"/>
      <c r="C733" s="2"/>
      <c r="D733" s="2"/>
      <c r="E733" s="2"/>
      <c r="F733" s="2"/>
      <c r="G733" s="2"/>
    </row>
    <row r="734" spans="1:7" ht="12.75" hidden="1" customHeight="1" x14ac:dyDescent="0.15">
      <c r="A734" s="2"/>
      <c r="B734" s="2"/>
      <c r="C734" s="2"/>
      <c r="D734" s="2"/>
      <c r="E734" s="2"/>
      <c r="F734" s="2"/>
      <c r="G734" s="2"/>
    </row>
    <row r="735" spans="1:7" ht="12.75" hidden="1" customHeight="1" x14ac:dyDescent="0.15">
      <c r="A735" s="2"/>
      <c r="B735" s="2"/>
      <c r="C735" s="2"/>
      <c r="D735" s="2"/>
      <c r="E735" s="2"/>
      <c r="F735" s="2"/>
      <c r="G735" s="2"/>
    </row>
    <row r="736" spans="1:7" ht="12.75" hidden="1" customHeight="1" x14ac:dyDescent="0.15">
      <c r="A736" s="2"/>
      <c r="B736" s="2"/>
      <c r="C736" s="2"/>
      <c r="D736" s="2"/>
      <c r="E736" s="2"/>
      <c r="F736" s="2"/>
      <c r="G736" s="2"/>
    </row>
    <row r="737" spans="1:7" ht="12.75" hidden="1" customHeight="1" x14ac:dyDescent="0.15">
      <c r="A737" s="2"/>
      <c r="B737" s="2"/>
      <c r="C737" s="2"/>
      <c r="D737" s="2"/>
      <c r="E737" s="2"/>
      <c r="F737" s="2"/>
      <c r="G737" s="2"/>
    </row>
    <row r="738" spans="1:7" ht="12.75" hidden="1" customHeight="1" x14ac:dyDescent="0.15">
      <c r="A738" s="2"/>
      <c r="B738" s="2"/>
      <c r="C738" s="2"/>
      <c r="D738" s="2"/>
      <c r="E738" s="2"/>
      <c r="F738" s="2"/>
      <c r="G738" s="2"/>
    </row>
    <row r="739" spans="1:7" ht="12.75" hidden="1" customHeight="1" x14ac:dyDescent="0.15">
      <c r="A739" s="2"/>
      <c r="B739" s="2"/>
      <c r="C739" s="2"/>
      <c r="D739" s="2"/>
      <c r="E739" s="2"/>
      <c r="F739" s="2"/>
      <c r="G739" s="2"/>
    </row>
    <row r="740" spans="1:7" ht="12.75" hidden="1" customHeight="1" x14ac:dyDescent="0.15">
      <c r="A740" s="2"/>
      <c r="B740" s="2"/>
      <c r="C740" s="2"/>
      <c r="D740" s="2"/>
      <c r="E740" s="2"/>
      <c r="F740" s="2"/>
      <c r="G740" s="2"/>
    </row>
    <row r="741" spans="1:7" ht="12.75" hidden="1" customHeight="1" x14ac:dyDescent="0.15">
      <c r="A741" s="2"/>
      <c r="B741" s="2"/>
      <c r="C741" s="2"/>
      <c r="D741" s="2"/>
      <c r="E741" s="2"/>
      <c r="F741" s="2"/>
      <c r="G741" s="2"/>
    </row>
    <row r="742" spans="1:7" ht="12.75" hidden="1" customHeight="1" x14ac:dyDescent="0.15">
      <c r="A742" s="2"/>
      <c r="B742" s="2"/>
      <c r="C742" s="2"/>
      <c r="D742" s="2"/>
      <c r="E742" s="2"/>
      <c r="F742" s="2"/>
      <c r="G742" s="2"/>
    </row>
    <row r="743" spans="1:7" ht="12.75" customHeight="1" x14ac:dyDescent="0.15">
      <c r="A743" s="2" t="s">
        <v>401</v>
      </c>
      <c r="B743" s="2"/>
      <c r="C743" s="2" t="s">
        <v>402</v>
      </c>
      <c r="D743" s="2" t="s">
        <v>170</v>
      </c>
      <c r="E743" s="2"/>
      <c r="F743" s="2"/>
      <c r="G743" s="2"/>
    </row>
    <row r="744" spans="1:7" ht="12.75" hidden="1" customHeight="1" x14ac:dyDescent="0.15">
      <c r="A744" s="2"/>
      <c r="B744" s="2"/>
      <c r="C744" s="2"/>
      <c r="D744" s="2"/>
      <c r="E744" s="2"/>
      <c r="F744" s="2"/>
      <c r="G744" s="2"/>
    </row>
    <row r="745" spans="1:7" ht="12.75" customHeight="1" x14ac:dyDescent="0.15">
      <c r="A745" s="2" t="s">
        <v>10</v>
      </c>
      <c r="B745" s="2" t="s">
        <v>6</v>
      </c>
      <c r="C745" s="2" t="s">
        <v>403</v>
      </c>
      <c r="D745" s="2" t="s">
        <v>170</v>
      </c>
      <c r="E745" s="2"/>
      <c r="F745" s="2">
        <v>12485953225</v>
      </c>
      <c r="G745" s="2"/>
    </row>
    <row r="746" spans="1:7" ht="12.75" customHeight="1" x14ac:dyDescent="0.15">
      <c r="A746" s="2" t="s">
        <v>246</v>
      </c>
      <c r="B746" s="2" t="s">
        <v>176</v>
      </c>
      <c r="C746" s="169" t="s">
        <v>404</v>
      </c>
      <c r="D746" s="2"/>
      <c r="E746" s="2"/>
      <c r="F746" s="2"/>
      <c r="G746" s="2"/>
    </row>
    <row r="747" spans="1:7" ht="12.75" customHeight="1" x14ac:dyDescent="0.15"/>
    <row r="748" spans="1:7" ht="12.75" customHeight="1" x14ac:dyDescent="0.15"/>
    <row r="749" spans="1:7" ht="12.75" customHeight="1" x14ac:dyDescent="0.15"/>
    <row r="750" spans="1:7" ht="12.75" customHeight="1" x14ac:dyDescent="0.15"/>
    <row r="751" spans="1:7" ht="12.75" customHeight="1" x14ac:dyDescent="0.15"/>
    <row r="752" spans="1:7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hyperlinks>
    <hyperlink ref="C746" r:id="rId1" xr:uid="{00000000-0004-0000-0400-000000000000}"/>
  </hyperlinks>
  <pageMargins left="0.7" right="0.7" top="0.75" bottom="0.75" header="0" footer="0"/>
  <pageSetup orientation="landscape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E991"/>
  <sheetViews>
    <sheetView workbookViewId="0">
      <pane ySplit="1" topLeftCell="A2" activePane="bottomLeft" state="frozen"/>
      <selection pane="bottomLeft" activeCell="B3" sqref="B3"/>
    </sheetView>
  </sheetViews>
  <sheetFormatPr defaultColWidth="12.67578125" defaultRowHeight="15" customHeight="1" x14ac:dyDescent="0.15"/>
  <cols>
    <col min="1" max="1" width="17.52734375" customWidth="1"/>
    <col min="2" max="2" width="11.0546875" customWidth="1"/>
    <col min="3" max="3" width="7.55078125" hidden="1" customWidth="1"/>
    <col min="4" max="4" width="8.22265625" customWidth="1"/>
    <col min="5" max="5" width="37.21875" customWidth="1"/>
    <col min="6" max="6" width="11.73046875" customWidth="1"/>
    <col min="7" max="7" width="9.03515625" customWidth="1"/>
    <col min="8" max="8" width="10.11328125" customWidth="1"/>
    <col min="9" max="9" width="12.13671875" hidden="1" customWidth="1"/>
    <col min="10" max="10" width="10.515625" hidden="1" customWidth="1"/>
    <col min="11" max="11" width="8.8984375" hidden="1" customWidth="1"/>
    <col min="12" max="12" width="12.9453125" customWidth="1"/>
    <col min="13" max="31" width="8.62890625" customWidth="1"/>
  </cols>
  <sheetData>
    <row r="1" spans="1:12" ht="12.75" customHeight="1" x14ac:dyDescent="0.2">
      <c r="A1" s="170" t="s">
        <v>7</v>
      </c>
      <c r="B1" s="170" t="s">
        <v>5</v>
      </c>
      <c r="C1" s="171" t="s">
        <v>408</v>
      </c>
      <c r="D1" s="171" t="s">
        <v>409</v>
      </c>
      <c r="E1" s="170" t="s">
        <v>410</v>
      </c>
      <c r="F1" s="170" t="s">
        <v>411</v>
      </c>
      <c r="G1" s="170" t="s">
        <v>38</v>
      </c>
      <c r="H1" s="170" t="s">
        <v>412</v>
      </c>
      <c r="I1" s="170" t="s">
        <v>413</v>
      </c>
      <c r="J1" s="170" t="s">
        <v>414</v>
      </c>
      <c r="K1" s="172" t="s">
        <v>415</v>
      </c>
      <c r="L1" s="173" t="s">
        <v>416</v>
      </c>
    </row>
    <row r="2" spans="1:12" ht="12.75" customHeight="1" x14ac:dyDescent="0.15">
      <c r="A2" s="12" t="s">
        <v>417</v>
      </c>
      <c r="B2" s="12" t="s">
        <v>418</v>
      </c>
      <c r="C2" s="88"/>
      <c r="D2" s="174" t="s">
        <v>108</v>
      </c>
      <c r="E2" s="12" t="s">
        <v>61</v>
      </c>
      <c r="H2" s="175">
        <f>SUM(H3:H58)</f>
        <v>1146.1399999999999</v>
      </c>
      <c r="K2" s="176"/>
    </row>
    <row r="3" spans="1:12" ht="12.75" customHeight="1" x14ac:dyDescent="0.15">
      <c r="A3" s="69" t="s">
        <v>417</v>
      </c>
      <c r="B3" s="69" t="s">
        <v>420</v>
      </c>
      <c r="C3" s="88"/>
      <c r="D3" s="88"/>
      <c r="H3" s="177">
        <f>3.98+7.98+7.98+1.2</f>
        <v>21.14</v>
      </c>
      <c r="K3" s="176"/>
    </row>
    <row r="4" spans="1:12" ht="12.75" customHeight="1" x14ac:dyDescent="0.15">
      <c r="A4" s="69" t="s">
        <v>421</v>
      </c>
      <c r="B4" s="69" t="s">
        <v>422</v>
      </c>
      <c r="C4" s="88"/>
      <c r="D4" s="88"/>
      <c r="H4" s="177">
        <f>11*25</f>
        <v>275</v>
      </c>
      <c r="K4" s="176"/>
    </row>
    <row r="5" spans="1:12" ht="12.75" customHeight="1" x14ac:dyDescent="0.15">
      <c r="A5" s="178" t="s">
        <v>423</v>
      </c>
      <c r="B5" s="178" t="s">
        <v>139</v>
      </c>
      <c r="C5" s="165"/>
      <c r="D5" s="167"/>
      <c r="E5" s="179"/>
      <c r="F5" s="179"/>
      <c r="G5" s="179"/>
      <c r="H5" s="180">
        <v>25</v>
      </c>
      <c r="I5" s="179"/>
      <c r="J5" s="179"/>
      <c r="K5" s="181"/>
      <c r="L5" s="155"/>
    </row>
    <row r="6" spans="1:12" ht="12.75" customHeight="1" x14ac:dyDescent="0.15">
      <c r="A6" s="178" t="s">
        <v>424</v>
      </c>
      <c r="B6" s="178" t="s">
        <v>47</v>
      </c>
      <c r="C6" s="165"/>
      <c r="D6" s="167"/>
      <c r="E6" s="179"/>
      <c r="F6" s="179"/>
      <c r="G6" s="179"/>
      <c r="H6" s="180">
        <v>25</v>
      </c>
      <c r="I6" s="179"/>
      <c r="J6" s="179"/>
      <c r="K6" s="181"/>
      <c r="L6" s="155"/>
    </row>
    <row r="7" spans="1:12" ht="12.75" customHeight="1" x14ac:dyDescent="0.15">
      <c r="A7" s="178" t="s">
        <v>425</v>
      </c>
      <c r="B7" s="178" t="s">
        <v>47</v>
      </c>
      <c r="C7" s="165"/>
      <c r="D7" s="167"/>
      <c r="E7" s="179"/>
      <c r="F7" s="179"/>
      <c r="G7" s="179"/>
      <c r="H7" s="180">
        <v>25</v>
      </c>
      <c r="I7" s="179"/>
      <c r="J7" s="179"/>
      <c r="K7" s="181"/>
      <c r="L7" s="155"/>
    </row>
    <row r="8" spans="1:12" ht="12.75" customHeight="1" x14ac:dyDescent="0.15">
      <c r="A8" s="182" t="s">
        <v>426</v>
      </c>
      <c r="B8" s="182" t="s">
        <v>6</v>
      </c>
      <c r="C8" s="183">
        <v>10</v>
      </c>
      <c r="D8" s="184">
        <v>14</v>
      </c>
      <c r="E8" s="182" t="s">
        <v>427</v>
      </c>
      <c r="F8" s="182"/>
      <c r="G8" s="182"/>
      <c r="H8" s="180">
        <v>25</v>
      </c>
      <c r="I8" s="182"/>
      <c r="J8" s="182"/>
      <c r="K8" s="185"/>
      <c r="L8" s="155" t="str">
        <f ca="1">Member_Status!AQ45</f>
        <v>No</v>
      </c>
    </row>
    <row r="9" spans="1:12" ht="12.75" customHeight="1" x14ac:dyDescent="0.15">
      <c r="A9" s="182" t="s">
        <v>428</v>
      </c>
      <c r="B9" s="182" t="s">
        <v>6</v>
      </c>
      <c r="C9" s="183">
        <v>9</v>
      </c>
      <c r="D9" s="184">
        <v>13</v>
      </c>
      <c r="E9" s="182" t="s">
        <v>427</v>
      </c>
      <c r="F9" s="182"/>
      <c r="G9" s="182"/>
      <c r="H9" s="180">
        <v>25</v>
      </c>
      <c r="I9" s="182"/>
      <c r="J9" s="182"/>
      <c r="K9" s="185"/>
      <c r="L9" s="155" t="str">
        <f ca="1">Member_Status!AQ45</f>
        <v>No</v>
      </c>
    </row>
    <row r="10" spans="1:12" ht="12.75" customHeight="1" x14ac:dyDescent="0.15">
      <c r="A10" s="182" t="s">
        <v>429</v>
      </c>
      <c r="B10" s="182" t="s">
        <v>6</v>
      </c>
      <c r="C10" s="183">
        <v>2</v>
      </c>
      <c r="D10" s="184">
        <v>6</v>
      </c>
      <c r="E10" s="182" t="s">
        <v>427</v>
      </c>
      <c r="F10" s="182"/>
      <c r="G10" s="182"/>
      <c r="H10" s="180">
        <v>25</v>
      </c>
      <c r="I10" s="182"/>
      <c r="J10" s="182"/>
      <c r="K10" s="185"/>
      <c r="L10" s="155" t="str">
        <f ca="1">Member_Status!AQ46</f>
        <v>Yes</v>
      </c>
    </row>
    <row r="11" spans="1:12" ht="12.75" customHeight="1" x14ac:dyDescent="0.15">
      <c r="A11" s="182" t="s">
        <v>430</v>
      </c>
      <c r="B11" s="182" t="s">
        <v>202</v>
      </c>
      <c r="C11" s="183">
        <v>9</v>
      </c>
      <c r="D11" s="184">
        <v>13</v>
      </c>
      <c r="E11" s="182" t="s">
        <v>431</v>
      </c>
      <c r="F11" s="182"/>
      <c r="G11" s="182"/>
      <c r="H11" s="180">
        <v>25</v>
      </c>
      <c r="I11" s="182"/>
      <c r="J11" s="182"/>
      <c r="K11" s="185"/>
      <c r="L11" s="155" t="str">
        <f ca="1">Member_Status!AQ55</f>
        <v>Yes</v>
      </c>
    </row>
    <row r="12" spans="1:12" ht="12.75" customHeight="1" x14ac:dyDescent="0.15">
      <c r="A12" s="182" t="s">
        <v>432</v>
      </c>
      <c r="B12" s="182" t="s">
        <v>202</v>
      </c>
      <c r="C12" s="183">
        <v>5</v>
      </c>
      <c r="D12" s="184">
        <v>9</v>
      </c>
      <c r="E12" s="182" t="s">
        <v>431</v>
      </c>
      <c r="F12" s="182"/>
      <c r="G12" s="182"/>
      <c r="H12" s="180">
        <v>25</v>
      </c>
      <c r="I12" s="182"/>
      <c r="J12" s="182"/>
      <c r="K12" s="185"/>
      <c r="L12" s="155" t="str">
        <f ca="1">Member_Status!AQ55</f>
        <v>Yes</v>
      </c>
    </row>
    <row r="13" spans="1:12" ht="12.75" customHeight="1" x14ac:dyDescent="0.15">
      <c r="A13" s="182" t="s">
        <v>424</v>
      </c>
      <c r="B13" s="182" t="s">
        <v>128</v>
      </c>
      <c r="C13" s="183">
        <v>14</v>
      </c>
      <c r="D13" s="184">
        <v>18</v>
      </c>
      <c r="E13" s="182" t="s">
        <v>433</v>
      </c>
      <c r="F13" s="182"/>
      <c r="G13" s="182"/>
      <c r="H13" s="180">
        <v>25</v>
      </c>
      <c r="I13" s="182"/>
      <c r="J13" s="182"/>
      <c r="K13" s="185"/>
      <c r="L13" s="155" t="str">
        <f ca="1">Member_Status!AQ18</f>
        <v>No</v>
      </c>
    </row>
    <row r="14" spans="1:12" ht="12.75" customHeight="1" x14ac:dyDescent="0.15">
      <c r="A14" s="182" t="s">
        <v>434</v>
      </c>
      <c r="B14" s="182" t="s">
        <v>128</v>
      </c>
      <c r="C14" s="183">
        <v>3</v>
      </c>
      <c r="D14" s="184">
        <v>7</v>
      </c>
      <c r="E14" s="182" t="s">
        <v>433</v>
      </c>
      <c r="F14" s="182"/>
      <c r="G14" s="182"/>
      <c r="H14" s="180">
        <v>25</v>
      </c>
      <c r="I14" s="182"/>
      <c r="J14" s="182"/>
      <c r="K14" s="185">
        <v>43436</v>
      </c>
      <c r="L14" s="155" t="str">
        <f ca="1">Member_Status!AQ21</f>
        <v>Yes</v>
      </c>
    </row>
    <row r="15" spans="1:12" ht="12.75" customHeight="1" x14ac:dyDescent="0.15">
      <c r="A15" s="182" t="s">
        <v>435</v>
      </c>
      <c r="B15" s="182" t="s">
        <v>202</v>
      </c>
      <c r="C15" s="183">
        <v>11</v>
      </c>
      <c r="D15" s="184">
        <v>15</v>
      </c>
      <c r="E15" s="182" t="s">
        <v>436</v>
      </c>
      <c r="F15" s="182"/>
      <c r="G15" s="182"/>
      <c r="H15" s="180">
        <v>25</v>
      </c>
      <c r="I15" s="182"/>
      <c r="J15" s="182"/>
      <c r="K15" s="185"/>
      <c r="L15" s="155" t="str">
        <f ca="1">Member_Status!AQ56</f>
        <v>No</v>
      </c>
    </row>
    <row r="16" spans="1:12" ht="12.75" customHeight="1" x14ac:dyDescent="0.15">
      <c r="A16" s="182" t="s">
        <v>437</v>
      </c>
      <c r="B16" s="182" t="s">
        <v>202</v>
      </c>
      <c r="C16" s="183">
        <v>8</v>
      </c>
      <c r="D16" s="184">
        <v>12</v>
      </c>
      <c r="E16" s="182" t="s">
        <v>436</v>
      </c>
      <c r="F16" s="182"/>
      <c r="G16" s="182"/>
      <c r="H16" s="180">
        <v>25</v>
      </c>
      <c r="I16" s="182"/>
      <c r="J16" s="182"/>
      <c r="K16" s="185"/>
      <c r="L16" s="155" t="str">
        <f ca="1">Member_Status!AQ55</f>
        <v>Yes</v>
      </c>
    </row>
    <row r="17" spans="1:12" ht="12.75" customHeight="1" x14ac:dyDescent="0.15">
      <c r="A17" s="182" t="s">
        <v>438</v>
      </c>
      <c r="B17" s="182" t="s">
        <v>82</v>
      </c>
      <c r="C17" s="183">
        <v>12</v>
      </c>
      <c r="D17" s="184">
        <v>16</v>
      </c>
      <c r="E17" s="182" t="s">
        <v>439</v>
      </c>
      <c r="F17" s="182"/>
      <c r="G17" s="182"/>
      <c r="H17" s="186">
        <v>25</v>
      </c>
      <c r="I17" s="182"/>
      <c r="J17" s="182"/>
      <c r="K17" s="185"/>
      <c r="L17" s="155" t="str">
        <f ca="1">Member_Status!AQ4</f>
        <v>Yes</v>
      </c>
    </row>
    <row r="18" spans="1:12" ht="12.75" customHeight="1" x14ac:dyDescent="0.15">
      <c r="A18" s="182" t="s">
        <v>440</v>
      </c>
      <c r="B18" s="182" t="s">
        <v>6</v>
      </c>
      <c r="C18" s="183">
        <v>9</v>
      </c>
      <c r="D18" s="184">
        <v>13</v>
      </c>
      <c r="E18" s="182" t="s">
        <v>441</v>
      </c>
      <c r="F18" s="182"/>
      <c r="G18" s="182"/>
      <c r="H18" s="180">
        <v>25</v>
      </c>
      <c r="I18" s="182"/>
      <c r="J18" s="182"/>
      <c r="K18" s="185"/>
      <c r="L18" s="160" t="str">
        <f ca="1">Member_Status!AQ46</f>
        <v>Yes</v>
      </c>
    </row>
    <row r="19" spans="1:12" ht="12.75" customHeight="1" x14ac:dyDescent="0.15">
      <c r="A19" s="187" t="s">
        <v>442</v>
      </c>
      <c r="B19" s="188" t="s">
        <v>233</v>
      </c>
      <c r="C19" s="187">
        <v>8</v>
      </c>
      <c r="D19" s="189">
        <v>12</v>
      </c>
      <c r="E19" s="188" t="s">
        <v>443</v>
      </c>
      <c r="F19" s="188"/>
      <c r="G19" s="188"/>
      <c r="H19" s="190">
        <v>25</v>
      </c>
      <c r="I19" s="188"/>
      <c r="J19" s="188"/>
      <c r="K19" s="191"/>
      <c r="L19" s="192" t="str">
        <f ca="1">Member_Status!AQ43</f>
        <v>Yes</v>
      </c>
    </row>
    <row r="20" spans="1:12" ht="12.75" customHeight="1" x14ac:dyDescent="0.15">
      <c r="A20" s="187" t="s">
        <v>444</v>
      </c>
      <c r="B20" s="188" t="s">
        <v>233</v>
      </c>
      <c r="C20" s="187">
        <v>3</v>
      </c>
      <c r="D20" s="189">
        <v>7</v>
      </c>
      <c r="E20" s="188" t="s">
        <v>443</v>
      </c>
      <c r="F20" s="188"/>
      <c r="G20" s="188"/>
      <c r="H20" s="190">
        <v>25</v>
      </c>
      <c r="I20" s="188"/>
      <c r="J20" s="188"/>
      <c r="K20" s="191"/>
      <c r="L20" s="192" t="str">
        <f ca="1">Member_Status!AQ43</f>
        <v>Yes</v>
      </c>
    </row>
    <row r="21" spans="1:12" ht="12.75" customHeight="1" x14ac:dyDescent="0.15">
      <c r="A21" s="184" t="s">
        <v>445</v>
      </c>
      <c r="B21" s="182" t="s">
        <v>200</v>
      </c>
      <c r="C21" s="183">
        <v>9</v>
      </c>
      <c r="D21" s="184">
        <v>13</v>
      </c>
      <c r="E21" s="182" t="s">
        <v>446</v>
      </c>
      <c r="F21" s="182"/>
      <c r="G21" s="182"/>
      <c r="H21" s="180">
        <v>25</v>
      </c>
      <c r="I21" s="180"/>
      <c r="J21" s="180"/>
      <c r="K21" s="180"/>
      <c r="L21" s="180" t="str">
        <f ca="1">Member_Status!AQ37</f>
        <v>Yes</v>
      </c>
    </row>
    <row r="22" spans="1:12" ht="12.75" customHeight="1" x14ac:dyDescent="0.15">
      <c r="A22" s="184" t="s">
        <v>447</v>
      </c>
      <c r="B22" s="182" t="s">
        <v>124</v>
      </c>
      <c r="C22" s="183">
        <v>14</v>
      </c>
      <c r="D22" s="184">
        <v>18</v>
      </c>
      <c r="E22" s="182" t="s">
        <v>448</v>
      </c>
      <c r="F22" s="182"/>
      <c r="G22" s="182"/>
      <c r="H22" s="180">
        <v>25</v>
      </c>
      <c r="I22" s="180"/>
      <c r="J22" s="180"/>
      <c r="K22" s="180"/>
      <c r="L22" s="180" t="str">
        <f ca="1">Member_Status!AQ17</f>
        <v>No</v>
      </c>
    </row>
    <row r="23" spans="1:12" ht="12.75" customHeight="1" x14ac:dyDescent="0.15">
      <c r="A23" s="183" t="s">
        <v>449</v>
      </c>
      <c r="B23" s="182" t="s">
        <v>124</v>
      </c>
      <c r="C23" s="183">
        <v>9</v>
      </c>
      <c r="D23" s="184">
        <v>13</v>
      </c>
      <c r="E23" s="182" t="s">
        <v>448</v>
      </c>
      <c r="F23" s="182"/>
      <c r="G23" s="182"/>
      <c r="H23" s="180">
        <v>25</v>
      </c>
      <c r="I23" s="180"/>
      <c r="J23" s="180"/>
      <c r="K23" s="180"/>
      <c r="L23" s="180" t="str">
        <f ca="1">Member_Status!AQ17</f>
        <v>No</v>
      </c>
    </row>
    <row r="24" spans="1:12" ht="12.75" customHeight="1" x14ac:dyDescent="0.15">
      <c r="A24" s="183" t="s">
        <v>450</v>
      </c>
      <c r="B24" s="182" t="s">
        <v>124</v>
      </c>
      <c r="C24" s="183">
        <v>8</v>
      </c>
      <c r="D24" s="184">
        <v>12</v>
      </c>
      <c r="E24" s="182" t="s">
        <v>448</v>
      </c>
      <c r="F24" s="182"/>
      <c r="G24" s="182"/>
      <c r="H24" s="180">
        <v>25</v>
      </c>
      <c r="I24" s="180"/>
      <c r="J24" s="180"/>
      <c r="K24" s="180"/>
      <c r="L24" s="180" t="str">
        <f ca="1">Member_Status!AQ17</f>
        <v>No</v>
      </c>
    </row>
    <row r="25" spans="1:12" ht="12.75" customHeight="1" x14ac:dyDescent="0.15">
      <c r="A25" s="184" t="s">
        <v>451</v>
      </c>
      <c r="B25" s="182" t="s">
        <v>115</v>
      </c>
      <c r="C25" s="183">
        <v>8</v>
      </c>
      <c r="D25" s="184">
        <v>12</v>
      </c>
      <c r="E25" s="182" t="s">
        <v>452</v>
      </c>
      <c r="F25" s="182"/>
      <c r="G25" s="182"/>
      <c r="H25" s="180">
        <v>25</v>
      </c>
      <c r="I25" s="180"/>
      <c r="J25" s="180"/>
      <c r="K25" s="180"/>
      <c r="L25" s="180" t="str">
        <f ca="1">Member_Status!AQ13</f>
        <v>No</v>
      </c>
    </row>
    <row r="26" spans="1:12" ht="12.75" customHeight="1" x14ac:dyDescent="0.15">
      <c r="A26" s="183" t="s">
        <v>453</v>
      </c>
      <c r="B26" s="182" t="s">
        <v>115</v>
      </c>
      <c r="C26" s="183">
        <v>2</v>
      </c>
      <c r="D26" s="184">
        <v>6</v>
      </c>
      <c r="E26" s="182" t="s">
        <v>452</v>
      </c>
      <c r="F26" s="182"/>
      <c r="G26" s="182"/>
      <c r="H26" s="180">
        <v>25</v>
      </c>
      <c r="I26" s="180"/>
      <c r="J26" s="180"/>
      <c r="K26" s="180"/>
      <c r="L26" s="180" t="str">
        <f ca="1">Member_Status!AQ13</f>
        <v>No</v>
      </c>
    </row>
    <row r="27" spans="1:12" ht="12.75" customHeight="1" x14ac:dyDescent="0.15">
      <c r="A27" s="183" t="s">
        <v>454</v>
      </c>
      <c r="B27" s="182" t="s">
        <v>115</v>
      </c>
      <c r="C27" s="183">
        <v>6</v>
      </c>
      <c r="D27" s="184">
        <v>10</v>
      </c>
      <c r="E27" s="182" t="s">
        <v>452</v>
      </c>
      <c r="F27" s="182"/>
      <c r="G27" s="182"/>
      <c r="H27" s="180">
        <v>25</v>
      </c>
      <c r="I27" s="180"/>
      <c r="J27" s="180"/>
      <c r="K27" s="180"/>
      <c r="L27" s="180" t="str">
        <f ca="1">Member_Status!AQ13</f>
        <v>No</v>
      </c>
    </row>
    <row r="28" spans="1:12" ht="12.75" customHeight="1" x14ac:dyDescent="0.15">
      <c r="A28" s="183" t="s">
        <v>455</v>
      </c>
      <c r="B28" s="182" t="s">
        <v>106</v>
      </c>
      <c r="C28" s="183">
        <v>5</v>
      </c>
      <c r="D28" s="184">
        <v>9</v>
      </c>
      <c r="E28" s="182" t="s">
        <v>456</v>
      </c>
      <c r="F28" s="182"/>
      <c r="G28" s="182"/>
      <c r="H28" s="180">
        <v>25</v>
      </c>
      <c r="I28" s="180"/>
      <c r="J28" s="180"/>
      <c r="K28" s="180"/>
      <c r="L28" s="180" t="str">
        <f ca="1">Member_Status!AQ10</f>
        <v>Yes</v>
      </c>
    </row>
    <row r="29" spans="1:12" ht="15" customHeight="1" x14ac:dyDescent="0.15">
      <c r="A29" s="188" t="s">
        <v>457</v>
      </c>
      <c r="B29" s="188" t="s">
        <v>237</v>
      </c>
      <c r="C29" s="187">
        <v>13</v>
      </c>
      <c r="D29" s="189">
        <v>17</v>
      </c>
      <c r="E29" s="188" t="s">
        <v>458</v>
      </c>
      <c r="F29" s="188"/>
      <c r="G29" s="188"/>
      <c r="H29" s="190">
        <v>25</v>
      </c>
      <c r="I29" s="188"/>
      <c r="J29" s="188"/>
      <c r="K29" s="191"/>
      <c r="L29" s="192" t="str">
        <f ca="1">Member_Status!AQ48</f>
        <v>Yes</v>
      </c>
    </row>
    <row r="30" spans="1:12" ht="12.75" customHeight="1" x14ac:dyDescent="0.15">
      <c r="A30" s="188" t="s">
        <v>459</v>
      </c>
      <c r="B30" s="188" t="s">
        <v>237</v>
      </c>
      <c r="C30" s="187">
        <v>12</v>
      </c>
      <c r="D30" s="189">
        <v>16</v>
      </c>
      <c r="E30" s="188" t="s">
        <v>458</v>
      </c>
      <c r="F30" s="188"/>
      <c r="G30" s="188"/>
      <c r="H30" s="190">
        <v>25</v>
      </c>
      <c r="I30" s="188"/>
      <c r="J30" s="188"/>
      <c r="K30" s="191"/>
      <c r="L30" s="192" t="str">
        <f ca="1">Member_Status!AQ48</f>
        <v>Yes</v>
      </c>
    </row>
    <row r="31" spans="1:12" ht="12.75" customHeight="1" x14ac:dyDescent="0.15">
      <c r="A31" s="193" t="s">
        <v>460</v>
      </c>
      <c r="B31" s="188" t="s">
        <v>237</v>
      </c>
      <c r="C31" s="187">
        <v>10</v>
      </c>
      <c r="D31" s="189">
        <v>14</v>
      </c>
      <c r="E31" s="188" t="s">
        <v>458</v>
      </c>
      <c r="F31" s="188"/>
      <c r="G31" s="188"/>
      <c r="H31" s="190">
        <v>25</v>
      </c>
      <c r="I31" s="188"/>
      <c r="J31" s="188"/>
      <c r="K31" s="191"/>
      <c r="L31" s="192" t="str">
        <f ca="1">Member_Status!AQ48</f>
        <v>Yes</v>
      </c>
    </row>
    <row r="32" spans="1:12" ht="12.75" customHeight="1" x14ac:dyDescent="0.15">
      <c r="A32" s="183" t="s">
        <v>424</v>
      </c>
      <c r="B32" s="182" t="s">
        <v>307</v>
      </c>
      <c r="C32" s="183">
        <v>11</v>
      </c>
      <c r="D32" s="184">
        <v>15</v>
      </c>
      <c r="E32" s="182" t="s">
        <v>462</v>
      </c>
      <c r="F32" s="182"/>
      <c r="G32" s="182"/>
      <c r="H32" s="186">
        <v>25</v>
      </c>
      <c r="I32" s="182"/>
      <c r="J32" s="182"/>
      <c r="K32" s="185"/>
      <c r="L32" s="155" t="str">
        <f ca="1">Member_Status!AQ52</f>
        <v>No</v>
      </c>
    </row>
    <row r="33" spans="1:31" ht="12.75" customHeight="1" x14ac:dyDescent="0.15">
      <c r="A33" s="183" t="s">
        <v>463</v>
      </c>
      <c r="B33" s="182" t="s">
        <v>307</v>
      </c>
      <c r="C33" s="183">
        <v>9</v>
      </c>
      <c r="D33" s="184">
        <v>13</v>
      </c>
      <c r="E33" s="182" t="s">
        <v>462</v>
      </c>
      <c r="F33" s="182"/>
      <c r="G33" s="182"/>
      <c r="H33" s="186">
        <v>25</v>
      </c>
      <c r="I33" s="182"/>
      <c r="J33" s="182"/>
      <c r="K33" s="185"/>
      <c r="L33" s="155" t="str">
        <f ca="1">Member_Status!AQ52</f>
        <v>No</v>
      </c>
    </row>
    <row r="34" spans="1:31" ht="12.75" customHeight="1" x14ac:dyDescent="0.15">
      <c r="A34" s="183" t="s">
        <v>464</v>
      </c>
      <c r="B34" s="182" t="s">
        <v>307</v>
      </c>
      <c r="C34" s="183">
        <v>7</v>
      </c>
      <c r="D34" s="184">
        <v>11</v>
      </c>
      <c r="E34" s="182" t="s">
        <v>462</v>
      </c>
      <c r="F34" s="182"/>
      <c r="G34" s="182"/>
      <c r="H34" s="186">
        <v>25</v>
      </c>
      <c r="I34" s="182"/>
      <c r="J34" s="182"/>
      <c r="K34" s="185"/>
      <c r="L34" s="155" t="str">
        <f ca="1">Member_Status!AQ52</f>
        <v>No</v>
      </c>
    </row>
    <row r="35" spans="1:31" ht="12.75" customHeight="1" x14ac:dyDescent="0.15">
      <c r="A35" s="183" t="s">
        <v>465</v>
      </c>
      <c r="B35" s="182" t="s">
        <v>307</v>
      </c>
      <c r="C35" s="183">
        <v>5</v>
      </c>
      <c r="D35" s="184">
        <v>9</v>
      </c>
      <c r="E35" s="182" t="s">
        <v>462</v>
      </c>
      <c r="F35" s="182"/>
      <c r="G35" s="182"/>
      <c r="H35" s="186">
        <v>25</v>
      </c>
      <c r="I35" s="182"/>
      <c r="J35" s="182"/>
      <c r="K35" s="185"/>
      <c r="L35" s="155" t="str">
        <f ca="1">Member_Status!AQ52</f>
        <v>No</v>
      </c>
    </row>
    <row r="36" spans="1:31" ht="12.75" customHeight="1" x14ac:dyDescent="0.15">
      <c r="A36" s="183" t="s">
        <v>447</v>
      </c>
      <c r="B36" s="182" t="s">
        <v>307</v>
      </c>
      <c r="C36" s="183">
        <v>2</v>
      </c>
      <c r="D36" s="184">
        <v>6</v>
      </c>
      <c r="E36" s="182" t="s">
        <v>462</v>
      </c>
      <c r="F36" s="182"/>
      <c r="G36" s="182"/>
      <c r="H36" s="186">
        <v>25</v>
      </c>
      <c r="I36" s="182"/>
      <c r="J36" s="182"/>
      <c r="K36" s="185"/>
      <c r="L36" s="155" t="str">
        <f ca="1">Member_Status!AQ52</f>
        <v>No</v>
      </c>
    </row>
    <row r="37" spans="1:31" ht="12.75" customHeight="1" x14ac:dyDescent="0.15">
      <c r="A37" s="182" t="s">
        <v>466</v>
      </c>
      <c r="B37" s="182" t="s">
        <v>6</v>
      </c>
      <c r="C37" s="183">
        <v>14</v>
      </c>
      <c r="D37" s="184">
        <v>18</v>
      </c>
      <c r="E37" s="194" t="s">
        <v>467</v>
      </c>
      <c r="F37" s="182"/>
      <c r="G37" s="182"/>
      <c r="H37" s="186">
        <v>25</v>
      </c>
      <c r="I37" s="182"/>
      <c r="J37" s="182"/>
      <c r="K37" s="185"/>
      <c r="L37" s="155" t="str">
        <f ca="1">Member_Status!AQ44</f>
        <v>Yes</v>
      </c>
    </row>
    <row r="38" spans="1:31" ht="12.75" customHeight="1" x14ac:dyDescent="0.15">
      <c r="A38" s="182" t="s">
        <v>307</v>
      </c>
      <c r="B38" s="182" t="s">
        <v>6</v>
      </c>
      <c r="C38" s="183">
        <v>10</v>
      </c>
      <c r="D38" s="184">
        <v>14</v>
      </c>
      <c r="E38" s="194" t="s">
        <v>467</v>
      </c>
      <c r="F38" s="182"/>
      <c r="G38" s="182"/>
      <c r="H38" s="186">
        <v>25</v>
      </c>
      <c r="I38" s="182"/>
      <c r="J38" s="182"/>
      <c r="K38" s="185"/>
      <c r="L38" s="155" t="str">
        <f ca="1">Member_Status!AQ44</f>
        <v>Yes</v>
      </c>
    </row>
    <row r="39" spans="1:31" ht="12.75" customHeight="1" x14ac:dyDescent="0.15">
      <c r="A39" s="195" t="s">
        <v>468</v>
      </c>
      <c r="B39" s="195" t="s">
        <v>202</v>
      </c>
      <c r="C39" s="195">
        <v>17</v>
      </c>
      <c r="D39" s="196">
        <v>21</v>
      </c>
      <c r="E39" s="195" t="s">
        <v>436</v>
      </c>
      <c r="F39" s="195"/>
      <c r="G39" s="195"/>
      <c r="H39" s="197">
        <v>0</v>
      </c>
      <c r="I39" s="198"/>
      <c r="J39" s="198"/>
      <c r="K39" s="199"/>
      <c r="L39" s="69" t="s">
        <v>469</v>
      </c>
    </row>
    <row r="40" spans="1:31" ht="12.75" customHeight="1" x14ac:dyDescent="0.15">
      <c r="A40" s="195" t="s">
        <v>470</v>
      </c>
      <c r="B40" s="195" t="s">
        <v>82</v>
      </c>
      <c r="C40" s="195">
        <v>17</v>
      </c>
      <c r="D40" s="196">
        <v>21</v>
      </c>
      <c r="E40" s="195" t="s">
        <v>439</v>
      </c>
      <c r="F40" s="195"/>
      <c r="G40" s="195"/>
      <c r="H40" s="197">
        <v>0</v>
      </c>
      <c r="I40" s="198"/>
      <c r="J40" s="198"/>
      <c r="K40" s="199"/>
      <c r="L40" s="69" t="s">
        <v>469</v>
      </c>
    </row>
    <row r="41" spans="1:31" ht="12.75" customHeight="1" x14ac:dyDescent="0.15">
      <c r="A41" s="195" t="s">
        <v>471</v>
      </c>
      <c r="B41" s="195" t="s">
        <v>472</v>
      </c>
      <c r="C41" s="195">
        <v>18</v>
      </c>
      <c r="D41" s="196">
        <v>22</v>
      </c>
      <c r="E41" s="195" t="s">
        <v>473</v>
      </c>
      <c r="F41" s="195"/>
      <c r="G41" s="195"/>
      <c r="H41" s="197">
        <v>0</v>
      </c>
      <c r="I41" s="198"/>
      <c r="J41" s="198"/>
      <c r="K41" s="199"/>
      <c r="L41" s="69" t="s">
        <v>469</v>
      </c>
    </row>
    <row r="42" spans="1:31" ht="12.75" customHeight="1" x14ac:dyDescent="0.15">
      <c r="A42" s="187" t="s">
        <v>474</v>
      </c>
      <c r="B42" s="188" t="s">
        <v>351</v>
      </c>
      <c r="C42" s="187">
        <v>15</v>
      </c>
      <c r="D42" s="189">
        <v>19</v>
      </c>
      <c r="E42" s="188" t="s">
        <v>475</v>
      </c>
      <c r="F42" s="188"/>
      <c r="G42" s="188"/>
      <c r="H42" s="190">
        <v>0</v>
      </c>
      <c r="I42" s="188"/>
      <c r="J42" s="188"/>
      <c r="K42" s="191"/>
      <c r="L42" s="200" t="s">
        <v>476</v>
      </c>
      <c r="M42" s="75"/>
      <c r="N42" s="75"/>
      <c r="O42" s="75"/>
      <c r="P42" s="75"/>
      <c r="Q42" s="75"/>
      <c r="R42" s="75"/>
      <c r="S42" s="75"/>
      <c r="T42" s="75"/>
      <c r="U42" s="75"/>
      <c r="V42" s="176"/>
      <c r="W42" s="75"/>
      <c r="X42" s="75"/>
      <c r="Y42" s="75"/>
      <c r="Z42" s="75"/>
      <c r="AA42" s="75"/>
      <c r="AB42" s="75"/>
      <c r="AC42" s="75"/>
      <c r="AD42" s="75"/>
      <c r="AE42" s="75"/>
    </row>
    <row r="43" spans="1:31" ht="12.75" customHeight="1" x14ac:dyDescent="0.15">
      <c r="A43" s="187" t="s">
        <v>477</v>
      </c>
      <c r="B43" s="188" t="s">
        <v>351</v>
      </c>
      <c r="C43" s="187">
        <v>13</v>
      </c>
      <c r="D43" s="189">
        <v>17</v>
      </c>
      <c r="E43" s="188" t="s">
        <v>475</v>
      </c>
      <c r="F43" s="188"/>
      <c r="G43" s="188"/>
      <c r="H43" s="190">
        <v>0</v>
      </c>
      <c r="I43" s="188"/>
      <c r="J43" s="188"/>
      <c r="K43" s="191"/>
      <c r="L43" s="200" t="s">
        <v>476</v>
      </c>
      <c r="M43" s="75"/>
      <c r="N43" s="75"/>
      <c r="O43" s="75"/>
      <c r="P43" s="75"/>
      <c r="Q43" s="75"/>
      <c r="R43" s="75"/>
      <c r="S43" s="75"/>
      <c r="T43" s="75"/>
      <c r="U43" s="75"/>
      <c r="V43" s="176"/>
      <c r="W43" s="75"/>
      <c r="X43" s="75"/>
      <c r="Y43" s="75"/>
      <c r="Z43" s="75"/>
      <c r="AA43" s="75"/>
      <c r="AB43" s="75"/>
      <c r="AC43" s="75"/>
      <c r="AD43" s="75"/>
      <c r="AE43" s="75"/>
    </row>
    <row r="44" spans="1:31" ht="12.75" customHeight="1" x14ac:dyDescent="0.15">
      <c r="A44" s="187" t="s">
        <v>478</v>
      </c>
      <c r="B44" s="188" t="s">
        <v>351</v>
      </c>
      <c r="C44" s="187">
        <v>9</v>
      </c>
      <c r="D44" s="189">
        <v>13</v>
      </c>
      <c r="E44" s="188" t="s">
        <v>475</v>
      </c>
      <c r="F44" s="188"/>
      <c r="G44" s="188"/>
      <c r="H44" s="190">
        <v>0</v>
      </c>
      <c r="I44" s="188"/>
      <c r="J44" s="188"/>
      <c r="K44" s="191"/>
      <c r="L44" s="200" t="s">
        <v>476</v>
      </c>
      <c r="M44" s="75"/>
      <c r="N44" s="75"/>
      <c r="O44" s="75"/>
      <c r="P44" s="75"/>
      <c r="Q44" s="75"/>
      <c r="R44" s="75"/>
      <c r="S44" s="75"/>
      <c r="T44" s="75"/>
      <c r="U44" s="75"/>
      <c r="V44" s="176"/>
      <c r="W44" s="75"/>
      <c r="X44" s="75"/>
      <c r="Y44" s="75"/>
      <c r="Z44" s="75"/>
      <c r="AA44" s="75"/>
      <c r="AB44" s="75"/>
      <c r="AC44" s="75"/>
      <c r="AD44" s="75"/>
      <c r="AE44" s="75"/>
    </row>
    <row r="45" spans="1:31" ht="12.75" customHeight="1" x14ac:dyDescent="0.15">
      <c r="A45" s="187" t="s">
        <v>479</v>
      </c>
      <c r="B45" s="188" t="s">
        <v>351</v>
      </c>
      <c r="C45" s="187">
        <v>5</v>
      </c>
      <c r="D45" s="189">
        <v>9</v>
      </c>
      <c r="E45" s="188" t="s">
        <v>475</v>
      </c>
      <c r="F45" s="188"/>
      <c r="G45" s="188"/>
      <c r="H45" s="190">
        <v>0</v>
      </c>
      <c r="I45" s="188"/>
      <c r="J45" s="188"/>
      <c r="K45" s="191"/>
      <c r="L45" s="200" t="s">
        <v>476</v>
      </c>
      <c r="M45" s="75"/>
      <c r="N45" s="75"/>
      <c r="O45" s="75"/>
      <c r="P45" s="75"/>
      <c r="Q45" s="75"/>
      <c r="R45" s="75"/>
      <c r="S45" s="75"/>
      <c r="T45" s="75"/>
      <c r="U45" s="75"/>
      <c r="V45" s="176"/>
      <c r="W45" s="75"/>
      <c r="X45" s="75"/>
      <c r="Y45" s="75"/>
      <c r="Z45" s="75"/>
      <c r="AA45" s="75"/>
      <c r="AB45" s="75"/>
      <c r="AC45" s="75"/>
      <c r="AD45" s="75"/>
      <c r="AE45" s="75"/>
    </row>
    <row r="46" spans="1:31" ht="12.75" customHeight="1" x14ac:dyDescent="0.15">
      <c r="A46" s="195" t="s">
        <v>480</v>
      </c>
      <c r="B46" s="198" t="s">
        <v>6</v>
      </c>
      <c r="C46" s="195">
        <v>18</v>
      </c>
      <c r="D46" s="196">
        <v>22</v>
      </c>
      <c r="E46" s="198" t="s">
        <v>481</v>
      </c>
      <c r="F46" s="198"/>
      <c r="G46" s="198"/>
      <c r="H46" s="197">
        <v>0</v>
      </c>
      <c r="I46" s="198"/>
      <c r="J46" s="198"/>
      <c r="K46" s="199"/>
      <c r="L46" s="69" t="s">
        <v>469</v>
      </c>
      <c r="M46" s="75"/>
      <c r="N46" s="75"/>
      <c r="O46" s="75"/>
      <c r="P46" s="75"/>
      <c r="Q46" s="75"/>
      <c r="R46" s="75"/>
      <c r="S46" s="75"/>
      <c r="T46" s="75"/>
      <c r="U46" s="75"/>
      <c r="V46" s="176"/>
      <c r="W46" s="75"/>
      <c r="X46" s="75"/>
      <c r="Y46" s="75"/>
      <c r="Z46" s="75"/>
      <c r="AA46" s="75"/>
      <c r="AB46" s="75"/>
      <c r="AC46" s="75"/>
      <c r="AD46" s="75"/>
      <c r="AE46" s="75"/>
    </row>
    <row r="47" spans="1:31" ht="12.75" customHeight="1" x14ac:dyDescent="0.15">
      <c r="A47" s="195" t="s">
        <v>277</v>
      </c>
      <c r="B47" s="198" t="s">
        <v>482</v>
      </c>
      <c r="C47" s="195">
        <v>18</v>
      </c>
      <c r="D47" s="196">
        <v>22</v>
      </c>
      <c r="E47" s="198" t="s">
        <v>483</v>
      </c>
      <c r="F47" s="198"/>
      <c r="G47" s="198"/>
      <c r="H47" s="197">
        <v>0</v>
      </c>
      <c r="I47" s="198"/>
      <c r="J47" s="198"/>
      <c r="K47" s="199"/>
      <c r="L47" s="69" t="s">
        <v>469</v>
      </c>
      <c r="M47" s="75"/>
      <c r="N47" s="75"/>
      <c r="O47" s="75"/>
      <c r="P47" s="75"/>
      <c r="Q47" s="75"/>
      <c r="R47" s="75"/>
      <c r="S47" s="75"/>
      <c r="T47" s="75"/>
      <c r="U47" s="75"/>
      <c r="V47" s="176"/>
      <c r="W47" s="75"/>
      <c r="X47" s="75"/>
      <c r="Y47" s="75"/>
      <c r="Z47" s="75"/>
      <c r="AA47" s="75"/>
      <c r="AB47" s="75"/>
      <c r="AC47" s="75"/>
      <c r="AD47" s="75"/>
      <c r="AE47" s="75"/>
    </row>
    <row r="48" spans="1:31" ht="12.75" customHeight="1" x14ac:dyDescent="0.15">
      <c r="A48" s="195" t="s">
        <v>484</v>
      </c>
      <c r="B48" s="198" t="s">
        <v>200</v>
      </c>
      <c r="C48" s="195">
        <v>18</v>
      </c>
      <c r="D48" s="196">
        <v>22</v>
      </c>
      <c r="E48" s="198" t="s">
        <v>446</v>
      </c>
      <c r="F48" s="198"/>
      <c r="G48" s="198"/>
      <c r="H48" s="197">
        <v>0</v>
      </c>
      <c r="I48" s="198"/>
      <c r="J48" s="198"/>
      <c r="K48" s="199"/>
      <c r="L48" s="69" t="s">
        <v>469</v>
      </c>
      <c r="M48" s="75"/>
      <c r="N48" s="75"/>
      <c r="O48" s="75"/>
      <c r="P48" s="75"/>
      <c r="Q48" s="75"/>
      <c r="R48" s="75"/>
      <c r="S48" s="75"/>
      <c r="T48" s="75"/>
      <c r="U48" s="75"/>
      <c r="V48" s="176"/>
      <c r="W48" s="75"/>
      <c r="X48" s="75"/>
      <c r="Y48" s="75"/>
      <c r="Z48" s="75"/>
      <c r="AA48" s="75"/>
      <c r="AB48" s="75"/>
      <c r="AC48" s="75"/>
      <c r="AD48" s="75"/>
      <c r="AE48" s="75"/>
    </row>
    <row r="49" spans="1:31" ht="12.75" customHeight="1" x14ac:dyDescent="0.15">
      <c r="A49" s="198" t="s">
        <v>485</v>
      </c>
      <c r="B49" s="198" t="s">
        <v>241</v>
      </c>
      <c r="C49" s="195">
        <v>18</v>
      </c>
      <c r="D49" s="196">
        <v>22</v>
      </c>
      <c r="E49" s="198" t="s">
        <v>486</v>
      </c>
      <c r="F49" s="198"/>
      <c r="G49" s="198"/>
      <c r="H49" s="197">
        <v>0</v>
      </c>
      <c r="I49" s="198"/>
      <c r="J49" s="198"/>
      <c r="K49" s="199"/>
      <c r="L49" s="69" t="s">
        <v>469</v>
      </c>
    </row>
    <row r="50" spans="1:31" ht="12.75" customHeight="1" x14ac:dyDescent="0.15">
      <c r="A50" s="201" t="s">
        <v>487</v>
      </c>
      <c r="B50" s="201" t="s">
        <v>128</v>
      </c>
      <c r="C50" s="201">
        <v>16</v>
      </c>
      <c r="D50" s="202">
        <v>21</v>
      </c>
      <c r="E50" s="201" t="s">
        <v>433</v>
      </c>
      <c r="F50" s="201"/>
      <c r="G50" s="201"/>
      <c r="H50" s="197">
        <v>0</v>
      </c>
      <c r="I50" s="198"/>
      <c r="J50" s="198"/>
      <c r="K50" s="199"/>
      <c r="L50" s="69" t="s">
        <v>469</v>
      </c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</row>
    <row r="51" spans="1:31" ht="12.75" customHeight="1" x14ac:dyDescent="0.15">
      <c r="A51" s="201" t="s">
        <v>488</v>
      </c>
      <c r="B51" s="201" t="s">
        <v>269</v>
      </c>
      <c r="C51" s="201">
        <v>15</v>
      </c>
      <c r="D51" s="202">
        <v>20</v>
      </c>
      <c r="E51" s="201" t="s">
        <v>489</v>
      </c>
      <c r="F51" s="201"/>
      <c r="G51" s="201"/>
      <c r="H51" s="197">
        <v>0</v>
      </c>
      <c r="I51" s="198"/>
      <c r="J51" s="198"/>
      <c r="K51" s="199"/>
      <c r="L51" s="69" t="s">
        <v>469</v>
      </c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</row>
    <row r="52" spans="1:31" ht="12.75" customHeight="1" x14ac:dyDescent="0.15">
      <c r="A52" s="204" t="s">
        <v>490</v>
      </c>
      <c r="B52" s="201" t="s">
        <v>202</v>
      </c>
      <c r="C52" s="201">
        <v>15</v>
      </c>
      <c r="D52" s="202">
        <v>20</v>
      </c>
      <c r="E52" s="201" t="s">
        <v>436</v>
      </c>
      <c r="F52" s="201"/>
      <c r="G52" s="201"/>
      <c r="H52" s="197">
        <v>0</v>
      </c>
      <c r="I52" s="198"/>
      <c r="J52" s="198"/>
      <c r="K52" s="199"/>
      <c r="L52" s="69" t="s">
        <v>469</v>
      </c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</row>
    <row r="53" spans="1:31" ht="12.75" customHeight="1" x14ac:dyDescent="0.15">
      <c r="A53" s="201" t="s">
        <v>491</v>
      </c>
      <c r="B53" s="201" t="s">
        <v>200</v>
      </c>
      <c r="C53" s="201">
        <v>15</v>
      </c>
      <c r="D53" s="202">
        <v>20</v>
      </c>
      <c r="E53" s="201" t="s">
        <v>446</v>
      </c>
      <c r="F53" s="201"/>
      <c r="G53" s="201"/>
      <c r="H53" s="197">
        <v>0</v>
      </c>
      <c r="I53" s="198"/>
      <c r="J53" s="198"/>
      <c r="K53" s="199"/>
      <c r="L53" s="69" t="s">
        <v>469</v>
      </c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</row>
    <row r="54" spans="1:31" ht="12.75" customHeight="1" x14ac:dyDescent="0.15">
      <c r="A54" s="201" t="s">
        <v>492</v>
      </c>
      <c r="B54" s="201" t="s">
        <v>6</v>
      </c>
      <c r="C54" s="201">
        <v>16</v>
      </c>
      <c r="D54" s="202">
        <v>20</v>
      </c>
      <c r="E54" s="201" t="s">
        <v>481</v>
      </c>
      <c r="F54" s="201"/>
      <c r="G54" s="201"/>
      <c r="H54" s="197">
        <v>0</v>
      </c>
      <c r="I54" s="198"/>
      <c r="J54" s="198"/>
      <c r="K54" s="199"/>
      <c r="L54" s="69" t="s">
        <v>469</v>
      </c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</row>
    <row r="55" spans="1:31" ht="12.75" customHeight="1" x14ac:dyDescent="0.15">
      <c r="A55" s="201" t="s">
        <v>432</v>
      </c>
      <c r="B55" s="201" t="s">
        <v>225</v>
      </c>
      <c r="C55" s="201">
        <v>17</v>
      </c>
      <c r="D55" s="202">
        <v>21</v>
      </c>
      <c r="E55" s="201" t="s">
        <v>493</v>
      </c>
      <c r="F55" s="201"/>
      <c r="G55" s="201"/>
      <c r="H55" s="197">
        <v>0</v>
      </c>
      <c r="I55" s="198"/>
      <c r="J55" s="198"/>
      <c r="K55" s="199"/>
      <c r="L55" s="69" t="s">
        <v>469</v>
      </c>
    </row>
    <row r="56" spans="1:31" ht="12.75" customHeight="1" x14ac:dyDescent="0.15">
      <c r="C56" s="88"/>
      <c r="D56" s="88"/>
      <c r="K56" s="176"/>
    </row>
    <row r="57" spans="1:31" ht="12.75" customHeight="1" x14ac:dyDescent="0.15">
      <c r="C57" s="88"/>
      <c r="D57" s="88"/>
      <c r="K57" s="176"/>
    </row>
    <row r="58" spans="1:31" ht="12.75" customHeight="1" x14ac:dyDescent="0.15">
      <c r="C58" s="88"/>
      <c r="D58" s="88"/>
      <c r="K58" s="176"/>
    </row>
    <row r="59" spans="1:31" ht="12.75" customHeight="1" x14ac:dyDescent="0.15">
      <c r="C59" s="88"/>
      <c r="D59" s="88"/>
      <c r="K59" s="176"/>
    </row>
    <row r="60" spans="1:31" ht="12.75" customHeight="1" x14ac:dyDescent="0.15">
      <c r="C60" s="88"/>
      <c r="D60" s="88"/>
      <c r="K60" s="176"/>
    </row>
    <row r="61" spans="1:31" ht="12.75" customHeight="1" x14ac:dyDescent="0.15">
      <c r="C61" s="88"/>
      <c r="D61" s="88"/>
      <c r="K61" s="176"/>
    </row>
    <row r="62" spans="1:31" ht="12.75" customHeight="1" x14ac:dyDescent="0.15">
      <c r="C62" s="88"/>
      <c r="D62" s="88"/>
      <c r="K62" s="176"/>
    </row>
    <row r="63" spans="1:31" ht="12.75" customHeight="1" x14ac:dyDescent="0.15">
      <c r="C63" s="88"/>
      <c r="D63" s="88"/>
      <c r="K63" s="176"/>
    </row>
    <row r="64" spans="1:31" ht="12.75" customHeight="1" x14ac:dyDescent="0.15">
      <c r="C64" s="88"/>
      <c r="D64" s="88"/>
      <c r="K64" s="176"/>
    </row>
    <row r="65" spans="3:11" ht="12.75" customHeight="1" x14ac:dyDescent="0.15">
      <c r="C65" s="88"/>
      <c r="D65" s="88"/>
      <c r="K65" s="176"/>
    </row>
    <row r="66" spans="3:11" ht="12.75" customHeight="1" x14ac:dyDescent="0.15">
      <c r="C66" s="88"/>
      <c r="D66" s="88"/>
      <c r="K66" s="176"/>
    </row>
    <row r="67" spans="3:11" ht="12.75" customHeight="1" x14ac:dyDescent="0.15">
      <c r="C67" s="88"/>
      <c r="D67" s="88"/>
      <c r="K67" s="176"/>
    </row>
    <row r="68" spans="3:11" ht="12.75" customHeight="1" x14ac:dyDescent="0.15">
      <c r="C68" s="88"/>
      <c r="D68" s="88"/>
      <c r="K68" s="176"/>
    </row>
    <row r="69" spans="3:11" ht="12.75" customHeight="1" x14ac:dyDescent="0.15">
      <c r="C69" s="88"/>
      <c r="D69" s="88"/>
      <c r="K69" s="176"/>
    </row>
    <row r="70" spans="3:11" ht="12.75" customHeight="1" x14ac:dyDescent="0.15">
      <c r="C70" s="88"/>
      <c r="D70" s="88"/>
      <c r="K70" s="176"/>
    </row>
    <row r="71" spans="3:11" ht="12.75" customHeight="1" x14ac:dyDescent="0.15">
      <c r="C71" s="88"/>
      <c r="D71" s="88"/>
      <c r="K71" s="176"/>
    </row>
    <row r="72" spans="3:11" ht="12.75" customHeight="1" x14ac:dyDescent="0.15">
      <c r="C72" s="88"/>
      <c r="D72" s="88"/>
      <c r="K72" s="176"/>
    </row>
    <row r="73" spans="3:11" ht="12.75" customHeight="1" x14ac:dyDescent="0.15">
      <c r="C73" s="88"/>
      <c r="D73" s="88"/>
      <c r="K73" s="176"/>
    </row>
    <row r="74" spans="3:11" ht="12.75" customHeight="1" x14ac:dyDescent="0.15">
      <c r="C74" s="88"/>
      <c r="D74" s="88"/>
      <c r="K74" s="176"/>
    </row>
    <row r="75" spans="3:11" ht="12.75" customHeight="1" x14ac:dyDescent="0.15">
      <c r="C75" s="88"/>
      <c r="D75" s="88"/>
      <c r="K75" s="176"/>
    </row>
    <row r="76" spans="3:11" ht="12.75" customHeight="1" x14ac:dyDescent="0.15">
      <c r="C76" s="88"/>
      <c r="D76" s="88"/>
      <c r="K76" s="176"/>
    </row>
    <row r="77" spans="3:11" ht="12.75" customHeight="1" x14ac:dyDescent="0.15">
      <c r="C77" s="88"/>
      <c r="D77" s="88"/>
      <c r="K77" s="176"/>
    </row>
    <row r="78" spans="3:11" ht="12.75" customHeight="1" x14ac:dyDescent="0.15">
      <c r="C78" s="88"/>
      <c r="D78" s="88"/>
      <c r="K78" s="176"/>
    </row>
    <row r="79" spans="3:11" ht="12.75" customHeight="1" x14ac:dyDescent="0.15">
      <c r="C79" s="88"/>
      <c r="D79" s="88"/>
      <c r="K79" s="176"/>
    </row>
    <row r="80" spans="3:11" ht="12.75" customHeight="1" x14ac:dyDescent="0.15">
      <c r="C80" s="88"/>
      <c r="D80" s="88"/>
      <c r="K80" s="176"/>
    </row>
    <row r="81" spans="3:11" ht="12.75" customHeight="1" x14ac:dyDescent="0.15">
      <c r="C81" s="88"/>
      <c r="D81" s="88"/>
      <c r="K81" s="176"/>
    </row>
    <row r="82" spans="3:11" ht="12.75" customHeight="1" x14ac:dyDescent="0.15">
      <c r="C82" s="88"/>
      <c r="D82" s="88"/>
      <c r="K82" s="176"/>
    </row>
    <row r="83" spans="3:11" ht="12.75" customHeight="1" x14ac:dyDescent="0.15">
      <c r="C83" s="88"/>
      <c r="D83" s="88"/>
      <c r="K83" s="176"/>
    </row>
    <row r="84" spans="3:11" ht="12.75" customHeight="1" x14ac:dyDescent="0.15">
      <c r="C84" s="88"/>
      <c r="D84" s="88"/>
      <c r="K84" s="176"/>
    </row>
    <row r="85" spans="3:11" ht="12.75" customHeight="1" x14ac:dyDescent="0.15">
      <c r="C85" s="88"/>
      <c r="D85" s="88"/>
      <c r="K85" s="176"/>
    </row>
    <row r="86" spans="3:11" ht="12.75" customHeight="1" x14ac:dyDescent="0.15">
      <c r="C86" s="88"/>
      <c r="D86" s="88"/>
      <c r="K86" s="176"/>
    </row>
    <row r="87" spans="3:11" ht="12.75" customHeight="1" x14ac:dyDescent="0.15">
      <c r="C87" s="88"/>
      <c r="D87" s="88"/>
      <c r="K87" s="176"/>
    </row>
    <row r="88" spans="3:11" ht="12.75" customHeight="1" x14ac:dyDescent="0.15">
      <c r="C88" s="88"/>
      <c r="D88" s="88"/>
      <c r="K88" s="176"/>
    </row>
    <row r="89" spans="3:11" ht="12.75" customHeight="1" x14ac:dyDescent="0.15">
      <c r="C89" s="88"/>
      <c r="D89" s="88"/>
      <c r="K89" s="176"/>
    </row>
    <row r="90" spans="3:11" ht="12.75" customHeight="1" x14ac:dyDescent="0.15">
      <c r="C90" s="88"/>
      <c r="D90" s="88"/>
      <c r="K90" s="176"/>
    </row>
    <row r="91" spans="3:11" ht="12.75" customHeight="1" x14ac:dyDescent="0.15">
      <c r="C91" s="88"/>
      <c r="D91" s="88"/>
      <c r="K91" s="176"/>
    </row>
    <row r="92" spans="3:11" ht="12.75" customHeight="1" x14ac:dyDescent="0.15">
      <c r="C92" s="88"/>
      <c r="D92" s="88"/>
      <c r="K92" s="176"/>
    </row>
    <row r="93" spans="3:11" ht="12.75" customHeight="1" x14ac:dyDescent="0.15">
      <c r="C93" s="88"/>
      <c r="D93" s="88"/>
      <c r="K93" s="176"/>
    </row>
    <row r="94" spans="3:11" ht="12.75" customHeight="1" x14ac:dyDescent="0.15">
      <c r="C94" s="88"/>
      <c r="D94" s="88"/>
      <c r="K94" s="176"/>
    </row>
    <row r="95" spans="3:11" ht="12.75" customHeight="1" x14ac:dyDescent="0.15">
      <c r="C95" s="88"/>
      <c r="D95" s="88"/>
      <c r="K95" s="176"/>
    </row>
    <row r="96" spans="3:11" ht="12.75" customHeight="1" x14ac:dyDescent="0.15">
      <c r="C96" s="88"/>
      <c r="D96" s="88"/>
      <c r="K96" s="176"/>
    </row>
    <row r="97" spans="3:11" ht="12.75" customHeight="1" x14ac:dyDescent="0.15">
      <c r="C97" s="88"/>
      <c r="D97" s="88"/>
      <c r="K97" s="176"/>
    </row>
    <row r="98" spans="3:11" ht="12.75" customHeight="1" x14ac:dyDescent="0.15">
      <c r="C98" s="88"/>
      <c r="D98" s="88"/>
      <c r="K98" s="176"/>
    </row>
    <row r="99" spans="3:11" ht="12.75" customHeight="1" x14ac:dyDescent="0.15">
      <c r="C99" s="88"/>
      <c r="D99" s="88"/>
      <c r="K99" s="176"/>
    </row>
    <row r="100" spans="3:11" ht="12.75" customHeight="1" x14ac:dyDescent="0.15">
      <c r="C100" s="88"/>
      <c r="D100" s="88"/>
      <c r="K100" s="176"/>
    </row>
    <row r="101" spans="3:11" ht="12.75" customHeight="1" x14ac:dyDescent="0.15">
      <c r="C101" s="88"/>
      <c r="D101" s="88"/>
      <c r="K101" s="176"/>
    </row>
    <row r="102" spans="3:11" ht="12.75" customHeight="1" x14ac:dyDescent="0.15">
      <c r="C102" s="88"/>
      <c r="D102" s="88"/>
      <c r="K102" s="176"/>
    </row>
    <row r="103" spans="3:11" ht="12.75" customHeight="1" x14ac:dyDescent="0.15">
      <c r="C103" s="88"/>
      <c r="D103" s="88"/>
      <c r="K103" s="176"/>
    </row>
    <row r="104" spans="3:11" ht="12.75" customHeight="1" x14ac:dyDescent="0.15">
      <c r="C104" s="88"/>
      <c r="D104" s="88"/>
      <c r="K104" s="176"/>
    </row>
    <row r="105" spans="3:11" ht="12.75" customHeight="1" x14ac:dyDescent="0.15">
      <c r="C105" s="88"/>
      <c r="D105" s="88"/>
      <c r="K105" s="176"/>
    </row>
    <row r="106" spans="3:11" ht="12.75" customHeight="1" x14ac:dyDescent="0.15">
      <c r="C106" s="88"/>
      <c r="D106" s="88"/>
      <c r="K106" s="176"/>
    </row>
    <row r="107" spans="3:11" ht="12.75" customHeight="1" x14ac:dyDescent="0.15">
      <c r="C107" s="88"/>
      <c r="D107" s="88"/>
      <c r="K107" s="176"/>
    </row>
    <row r="108" spans="3:11" ht="12.75" customHeight="1" x14ac:dyDescent="0.15">
      <c r="C108" s="88"/>
      <c r="D108" s="88"/>
      <c r="K108" s="176"/>
    </row>
    <row r="109" spans="3:11" ht="12.75" customHeight="1" x14ac:dyDescent="0.15">
      <c r="C109" s="88"/>
      <c r="D109" s="88"/>
      <c r="K109" s="176"/>
    </row>
    <row r="110" spans="3:11" ht="12.75" customHeight="1" x14ac:dyDescent="0.15">
      <c r="C110" s="88"/>
      <c r="D110" s="88"/>
      <c r="K110" s="176"/>
    </row>
    <row r="111" spans="3:11" ht="12.75" customHeight="1" x14ac:dyDescent="0.15">
      <c r="C111" s="88"/>
      <c r="D111" s="88"/>
      <c r="K111" s="176"/>
    </row>
    <row r="112" spans="3:11" ht="12.75" customHeight="1" x14ac:dyDescent="0.15">
      <c r="C112" s="88"/>
      <c r="D112" s="88"/>
      <c r="K112" s="176"/>
    </row>
    <row r="113" spans="3:11" ht="12.75" customHeight="1" x14ac:dyDescent="0.15">
      <c r="C113" s="88"/>
      <c r="D113" s="88"/>
      <c r="K113" s="176"/>
    </row>
    <row r="114" spans="3:11" ht="12.75" customHeight="1" x14ac:dyDescent="0.15">
      <c r="C114" s="88"/>
      <c r="D114" s="88"/>
      <c r="K114" s="176"/>
    </row>
    <row r="115" spans="3:11" ht="12.75" customHeight="1" x14ac:dyDescent="0.15">
      <c r="C115" s="88"/>
      <c r="D115" s="88"/>
      <c r="K115" s="176"/>
    </row>
    <row r="116" spans="3:11" ht="12.75" customHeight="1" x14ac:dyDescent="0.15">
      <c r="C116" s="88"/>
      <c r="D116" s="88"/>
      <c r="K116" s="176"/>
    </row>
    <row r="117" spans="3:11" ht="12.75" customHeight="1" x14ac:dyDescent="0.15">
      <c r="C117" s="88"/>
      <c r="D117" s="88"/>
      <c r="K117" s="176"/>
    </row>
    <row r="118" spans="3:11" ht="12.75" customHeight="1" x14ac:dyDescent="0.15">
      <c r="C118" s="88"/>
      <c r="D118" s="88"/>
      <c r="K118" s="176"/>
    </row>
    <row r="119" spans="3:11" ht="12.75" customHeight="1" x14ac:dyDescent="0.15">
      <c r="C119" s="88"/>
      <c r="D119" s="88"/>
      <c r="K119" s="176"/>
    </row>
    <row r="120" spans="3:11" ht="12.75" customHeight="1" x14ac:dyDescent="0.15">
      <c r="C120" s="88"/>
      <c r="D120" s="88"/>
      <c r="K120" s="176"/>
    </row>
    <row r="121" spans="3:11" ht="12.75" customHeight="1" x14ac:dyDescent="0.15">
      <c r="C121" s="88"/>
      <c r="D121" s="88"/>
      <c r="K121" s="176"/>
    </row>
    <row r="122" spans="3:11" ht="12.75" customHeight="1" x14ac:dyDescent="0.15">
      <c r="C122" s="88"/>
      <c r="D122" s="88"/>
      <c r="K122" s="176"/>
    </row>
    <row r="123" spans="3:11" ht="12.75" customHeight="1" x14ac:dyDescent="0.15">
      <c r="C123" s="88"/>
      <c r="D123" s="88"/>
      <c r="K123" s="176"/>
    </row>
    <row r="124" spans="3:11" ht="12.75" customHeight="1" x14ac:dyDescent="0.15">
      <c r="C124" s="88"/>
      <c r="D124" s="88"/>
      <c r="K124" s="176"/>
    </row>
    <row r="125" spans="3:11" ht="12.75" customHeight="1" x14ac:dyDescent="0.15">
      <c r="C125" s="88"/>
      <c r="D125" s="88"/>
      <c r="K125" s="176"/>
    </row>
    <row r="126" spans="3:11" ht="12.75" customHeight="1" x14ac:dyDescent="0.15">
      <c r="C126" s="88"/>
      <c r="D126" s="88"/>
      <c r="K126" s="176"/>
    </row>
    <row r="127" spans="3:11" ht="12.75" customHeight="1" x14ac:dyDescent="0.15">
      <c r="C127" s="88"/>
      <c r="D127" s="88"/>
      <c r="K127" s="176"/>
    </row>
    <row r="128" spans="3:11" ht="12.75" customHeight="1" x14ac:dyDescent="0.15">
      <c r="C128" s="88"/>
      <c r="D128" s="88"/>
      <c r="K128" s="176"/>
    </row>
    <row r="129" spans="3:11" ht="12.75" customHeight="1" x14ac:dyDescent="0.15">
      <c r="C129" s="88"/>
      <c r="D129" s="88"/>
      <c r="K129" s="176"/>
    </row>
    <row r="130" spans="3:11" ht="12.75" customHeight="1" x14ac:dyDescent="0.15">
      <c r="C130" s="88"/>
      <c r="D130" s="88"/>
      <c r="K130" s="176"/>
    </row>
    <row r="131" spans="3:11" ht="12.75" customHeight="1" x14ac:dyDescent="0.15">
      <c r="C131" s="88"/>
      <c r="D131" s="88"/>
      <c r="K131" s="176"/>
    </row>
    <row r="132" spans="3:11" ht="12.75" customHeight="1" x14ac:dyDescent="0.15">
      <c r="C132" s="88"/>
      <c r="D132" s="88"/>
      <c r="K132" s="176"/>
    </row>
    <row r="133" spans="3:11" ht="12.75" customHeight="1" x14ac:dyDescent="0.15">
      <c r="C133" s="88"/>
      <c r="D133" s="88"/>
      <c r="K133" s="176"/>
    </row>
    <row r="134" spans="3:11" ht="12.75" customHeight="1" x14ac:dyDescent="0.15">
      <c r="C134" s="88"/>
      <c r="D134" s="88"/>
      <c r="K134" s="176"/>
    </row>
    <row r="135" spans="3:11" ht="12.75" customHeight="1" x14ac:dyDescent="0.15">
      <c r="C135" s="88"/>
      <c r="D135" s="88"/>
      <c r="K135" s="176"/>
    </row>
    <row r="136" spans="3:11" ht="12.75" customHeight="1" x14ac:dyDescent="0.15">
      <c r="C136" s="88"/>
      <c r="D136" s="88"/>
      <c r="K136" s="176"/>
    </row>
    <row r="137" spans="3:11" ht="12.75" customHeight="1" x14ac:dyDescent="0.15">
      <c r="C137" s="88"/>
      <c r="D137" s="88"/>
      <c r="K137" s="176"/>
    </row>
    <row r="138" spans="3:11" ht="12.75" customHeight="1" x14ac:dyDescent="0.15">
      <c r="C138" s="88"/>
      <c r="D138" s="88"/>
      <c r="K138" s="176"/>
    </row>
    <row r="139" spans="3:11" ht="12.75" customHeight="1" x14ac:dyDescent="0.15">
      <c r="C139" s="88"/>
      <c r="D139" s="88"/>
      <c r="K139" s="176"/>
    </row>
    <row r="140" spans="3:11" ht="12.75" customHeight="1" x14ac:dyDescent="0.15">
      <c r="C140" s="88"/>
      <c r="D140" s="88"/>
      <c r="K140" s="176"/>
    </row>
    <row r="141" spans="3:11" ht="12.75" customHeight="1" x14ac:dyDescent="0.15">
      <c r="C141" s="88"/>
      <c r="D141" s="88"/>
      <c r="K141" s="176"/>
    </row>
    <row r="142" spans="3:11" ht="12.75" customHeight="1" x14ac:dyDescent="0.15">
      <c r="C142" s="88"/>
      <c r="D142" s="88"/>
      <c r="K142" s="176"/>
    </row>
    <row r="143" spans="3:11" ht="12.75" customHeight="1" x14ac:dyDescent="0.15">
      <c r="C143" s="88"/>
      <c r="D143" s="88"/>
      <c r="K143" s="176"/>
    </row>
    <row r="144" spans="3:11" ht="12.75" customHeight="1" x14ac:dyDescent="0.15">
      <c r="C144" s="88"/>
      <c r="D144" s="88"/>
      <c r="K144" s="176"/>
    </row>
    <row r="145" spans="3:11" ht="12.75" customHeight="1" x14ac:dyDescent="0.15">
      <c r="C145" s="88"/>
      <c r="D145" s="88"/>
      <c r="K145" s="176"/>
    </row>
    <row r="146" spans="3:11" ht="12.75" customHeight="1" x14ac:dyDescent="0.15">
      <c r="C146" s="88"/>
      <c r="D146" s="88"/>
      <c r="K146" s="176"/>
    </row>
    <row r="147" spans="3:11" ht="12.75" customHeight="1" x14ac:dyDescent="0.15">
      <c r="C147" s="88"/>
      <c r="D147" s="88"/>
      <c r="K147" s="176"/>
    </row>
    <row r="148" spans="3:11" ht="12.75" customHeight="1" x14ac:dyDescent="0.15">
      <c r="C148" s="88"/>
      <c r="D148" s="88"/>
      <c r="K148" s="176"/>
    </row>
    <row r="149" spans="3:11" ht="12.75" customHeight="1" x14ac:dyDescent="0.15">
      <c r="C149" s="88"/>
      <c r="D149" s="88"/>
      <c r="K149" s="176"/>
    </row>
    <row r="150" spans="3:11" ht="12.75" customHeight="1" x14ac:dyDescent="0.15">
      <c r="C150" s="88"/>
      <c r="D150" s="88"/>
      <c r="K150" s="176"/>
    </row>
    <row r="151" spans="3:11" ht="12.75" customHeight="1" x14ac:dyDescent="0.15">
      <c r="C151" s="88"/>
      <c r="D151" s="88"/>
      <c r="K151" s="176"/>
    </row>
    <row r="152" spans="3:11" ht="12.75" customHeight="1" x14ac:dyDescent="0.15">
      <c r="C152" s="88"/>
      <c r="D152" s="88"/>
      <c r="K152" s="176"/>
    </row>
    <row r="153" spans="3:11" ht="12.75" customHeight="1" x14ac:dyDescent="0.15">
      <c r="C153" s="88"/>
      <c r="D153" s="88"/>
      <c r="K153" s="176"/>
    </row>
    <row r="154" spans="3:11" ht="12.75" customHeight="1" x14ac:dyDescent="0.15">
      <c r="C154" s="88"/>
      <c r="D154" s="88"/>
      <c r="K154" s="176"/>
    </row>
    <row r="155" spans="3:11" ht="12.75" customHeight="1" x14ac:dyDescent="0.15">
      <c r="C155" s="88"/>
      <c r="D155" s="88"/>
      <c r="K155" s="176"/>
    </row>
    <row r="156" spans="3:11" ht="12.75" customHeight="1" x14ac:dyDescent="0.15">
      <c r="C156" s="88"/>
      <c r="D156" s="88"/>
      <c r="K156" s="176"/>
    </row>
    <row r="157" spans="3:11" ht="12.75" customHeight="1" x14ac:dyDescent="0.15">
      <c r="C157" s="88"/>
      <c r="D157" s="88"/>
      <c r="K157" s="176"/>
    </row>
    <row r="158" spans="3:11" ht="12.75" customHeight="1" x14ac:dyDescent="0.15">
      <c r="C158" s="88"/>
      <c r="D158" s="88"/>
      <c r="K158" s="176"/>
    </row>
    <row r="159" spans="3:11" ht="12.75" customHeight="1" x14ac:dyDescent="0.15">
      <c r="C159" s="88"/>
      <c r="D159" s="88"/>
      <c r="K159" s="176"/>
    </row>
    <row r="160" spans="3:11" ht="12.75" customHeight="1" x14ac:dyDescent="0.15">
      <c r="C160" s="88"/>
      <c r="D160" s="88"/>
      <c r="K160" s="176"/>
    </row>
    <row r="161" spans="3:11" ht="12.75" customHeight="1" x14ac:dyDescent="0.15">
      <c r="C161" s="88"/>
      <c r="D161" s="88"/>
      <c r="K161" s="176"/>
    </row>
    <row r="162" spans="3:11" ht="12.75" customHeight="1" x14ac:dyDescent="0.15">
      <c r="C162" s="88"/>
      <c r="D162" s="88"/>
      <c r="K162" s="176"/>
    </row>
    <row r="163" spans="3:11" ht="12.75" customHeight="1" x14ac:dyDescent="0.15">
      <c r="C163" s="88"/>
      <c r="D163" s="88"/>
      <c r="K163" s="176"/>
    </row>
    <row r="164" spans="3:11" ht="12.75" customHeight="1" x14ac:dyDescent="0.15">
      <c r="C164" s="88"/>
      <c r="D164" s="88"/>
      <c r="K164" s="176"/>
    </row>
    <row r="165" spans="3:11" ht="12.75" customHeight="1" x14ac:dyDescent="0.15">
      <c r="C165" s="88"/>
      <c r="D165" s="88"/>
      <c r="K165" s="176"/>
    </row>
    <row r="166" spans="3:11" ht="12.75" customHeight="1" x14ac:dyDescent="0.15">
      <c r="C166" s="88"/>
      <c r="D166" s="88"/>
      <c r="K166" s="176"/>
    </row>
    <row r="167" spans="3:11" ht="12.75" customHeight="1" x14ac:dyDescent="0.15">
      <c r="C167" s="88"/>
      <c r="D167" s="88"/>
      <c r="K167" s="176"/>
    </row>
    <row r="168" spans="3:11" ht="12.75" customHeight="1" x14ac:dyDescent="0.15">
      <c r="C168" s="88"/>
      <c r="D168" s="88"/>
      <c r="K168" s="176"/>
    </row>
    <row r="169" spans="3:11" ht="12.75" customHeight="1" x14ac:dyDescent="0.15">
      <c r="C169" s="88"/>
      <c r="D169" s="88"/>
      <c r="K169" s="176"/>
    </row>
    <row r="170" spans="3:11" ht="12.75" customHeight="1" x14ac:dyDescent="0.15">
      <c r="C170" s="88"/>
      <c r="D170" s="88"/>
      <c r="K170" s="176"/>
    </row>
    <row r="171" spans="3:11" ht="12.75" customHeight="1" x14ac:dyDescent="0.15">
      <c r="C171" s="88"/>
      <c r="D171" s="88"/>
      <c r="K171" s="176"/>
    </row>
    <row r="172" spans="3:11" ht="12.75" customHeight="1" x14ac:dyDescent="0.15">
      <c r="C172" s="88"/>
      <c r="D172" s="88"/>
      <c r="K172" s="176"/>
    </row>
    <row r="173" spans="3:11" ht="12.75" customHeight="1" x14ac:dyDescent="0.15">
      <c r="C173" s="88"/>
      <c r="D173" s="88"/>
      <c r="K173" s="176"/>
    </row>
    <row r="174" spans="3:11" ht="12.75" customHeight="1" x14ac:dyDescent="0.15">
      <c r="C174" s="88"/>
      <c r="D174" s="88"/>
      <c r="K174" s="176"/>
    </row>
    <row r="175" spans="3:11" ht="12.75" customHeight="1" x14ac:dyDescent="0.15">
      <c r="C175" s="88"/>
      <c r="D175" s="88"/>
      <c r="K175" s="176"/>
    </row>
    <row r="176" spans="3:11" ht="12.75" customHeight="1" x14ac:dyDescent="0.15">
      <c r="C176" s="88"/>
      <c r="D176" s="88"/>
      <c r="K176" s="176"/>
    </row>
    <row r="177" spans="3:11" ht="12.75" customHeight="1" x14ac:dyDescent="0.15">
      <c r="C177" s="88"/>
      <c r="D177" s="88"/>
      <c r="K177" s="176"/>
    </row>
    <row r="178" spans="3:11" ht="12.75" customHeight="1" x14ac:dyDescent="0.15">
      <c r="C178" s="88"/>
      <c r="D178" s="88"/>
      <c r="K178" s="176"/>
    </row>
    <row r="179" spans="3:11" ht="12.75" customHeight="1" x14ac:dyDescent="0.15">
      <c r="C179" s="88"/>
      <c r="D179" s="88"/>
      <c r="K179" s="176"/>
    </row>
    <row r="180" spans="3:11" ht="12.75" customHeight="1" x14ac:dyDescent="0.15">
      <c r="C180" s="88"/>
      <c r="D180" s="88"/>
      <c r="K180" s="176"/>
    </row>
    <row r="181" spans="3:11" ht="12.75" customHeight="1" x14ac:dyDescent="0.15">
      <c r="C181" s="88"/>
      <c r="D181" s="88"/>
      <c r="K181" s="176"/>
    </row>
    <row r="182" spans="3:11" ht="12.75" customHeight="1" x14ac:dyDescent="0.15">
      <c r="C182" s="88"/>
      <c r="D182" s="88"/>
      <c r="K182" s="176"/>
    </row>
    <row r="183" spans="3:11" ht="12.75" customHeight="1" x14ac:dyDescent="0.15">
      <c r="C183" s="88"/>
      <c r="D183" s="88"/>
      <c r="K183" s="176"/>
    </row>
    <row r="184" spans="3:11" ht="12.75" customHeight="1" x14ac:dyDescent="0.15">
      <c r="C184" s="88"/>
      <c r="D184" s="88"/>
      <c r="K184" s="176"/>
    </row>
    <row r="185" spans="3:11" ht="12.75" customHeight="1" x14ac:dyDescent="0.15">
      <c r="C185" s="88"/>
      <c r="D185" s="88"/>
      <c r="K185" s="176"/>
    </row>
    <row r="186" spans="3:11" ht="12.75" customHeight="1" x14ac:dyDescent="0.15">
      <c r="C186" s="88"/>
      <c r="D186" s="88"/>
      <c r="K186" s="176"/>
    </row>
    <row r="187" spans="3:11" ht="12.75" customHeight="1" x14ac:dyDescent="0.15">
      <c r="C187" s="88"/>
      <c r="D187" s="88"/>
      <c r="K187" s="176"/>
    </row>
    <row r="188" spans="3:11" ht="12.75" customHeight="1" x14ac:dyDescent="0.15">
      <c r="C188" s="88"/>
      <c r="D188" s="88"/>
      <c r="K188" s="176"/>
    </row>
    <row r="189" spans="3:11" ht="12.75" customHeight="1" x14ac:dyDescent="0.15">
      <c r="C189" s="88"/>
      <c r="D189" s="88"/>
      <c r="K189" s="176"/>
    </row>
    <row r="190" spans="3:11" ht="12.75" customHeight="1" x14ac:dyDescent="0.15">
      <c r="C190" s="88"/>
      <c r="D190" s="88"/>
      <c r="K190" s="176"/>
    </row>
    <row r="191" spans="3:11" ht="12.75" customHeight="1" x14ac:dyDescent="0.15">
      <c r="C191" s="88"/>
      <c r="D191" s="88"/>
      <c r="K191" s="176"/>
    </row>
    <row r="192" spans="3:11" ht="12.75" customHeight="1" x14ac:dyDescent="0.15">
      <c r="C192" s="88"/>
      <c r="D192" s="88"/>
      <c r="K192" s="176"/>
    </row>
    <row r="193" spans="3:11" ht="12.75" customHeight="1" x14ac:dyDescent="0.15">
      <c r="C193" s="88"/>
      <c r="D193" s="88"/>
      <c r="K193" s="176"/>
    </row>
    <row r="194" spans="3:11" ht="12.75" customHeight="1" x14ac:dyDescent="0.15">
      <c r="C194" s="88"/>
      <c r="D194" s="88"/>
      <c r="K194" s="176"/>
    </row>
    <row r="195" spans="3:11" ht="12.75" customHeight="1" x14ac:dyDescent="0.15">
      <c r="C195" s="88"/>
      <c r="D195" s="88"/>
      <c r="K195" s="176"/>
    </row>
    <row r="196" spans="3:11" ht="12.75" customHeight="1" x14ac:dyDescent="0.15">
      <c r="C196" s="88"/>
      <c r="D196" s="88"/>
      <c r="K196" s="176"/>
    </row>
    <row r="197" spans="3:11" ht="12.75" customHeight="1" x14ac:dyDescent="0.15">
      <c r="C197" s="88"/>
      <c r="D197" s="88"/>
      <c r="K197" s="176"/>
    </row>
    <row r="198" spans="3:11" ht="12.75" customHeight="1" x14ac:dyDescent="0.15">
      <c r="C198" s="88"/>
      <c r="D198" s="88"/>
      <c r="K198" s="176"/>
    </row>
    <row r="199" spans="3:11" ht="12.75" customHeight="1" x14ac:dyDescent="0.15">
      <c r="C199" s="88"/>
      <c r="D199" s="88"/>
      <c r="K199" s="176"/>
    </row>
    <row r="200" spans="3:11" ht="12.75" customHeight="1" x14ac:dyDescent="0.15">
      <c r="C200" s="88"/>
      <c r="D200" s="88"/>
      <c r="K200" s="176"/>
    </row>
    <row r="201" spans="3:11" ht="12.75" customHeight="1" x14ac:dyDescent="0.15">
      <c r="C201" s="88"/>
      <c r="D201" s="88"/>
      <c r="K201" s="176"/>
    </row>
    <row r="202" spans="3:11" ht="12.75" customHeight="1" x14ac:dyDescent="0.15">
      <c r="C202" s="88"/>
      <c r="D202" s="88"/>
      <c r="K202" s="176"/>
    </row>
    <row r="203" spans="3:11" ht="12.75" customHeight="1" x14ac:dyDescent="0.15">
      <c r="C203" s="88"/>
      <c r="D203" s="88"/>
      <c r="K203" s="176"/>
    </row>
    <row r="204" spans="3:11" ht="12.75" customHeight="1" x14ac:dyDescent="0.15">
      <c r="C204" s="88"/>
      <c r="D204" s="88"/>
      <c r="K204" s="176"/>
    </row>
    <row r="205" spans="3:11" ht="12.75" customHeight="1" x14ac:dyDescent="0.15">
      <c r="C205" s="88"/>
      <c r="D205" s="88"/>
      <c r="K205" s="176"/>
    </row>
    <row r="206" spans="3:11" ht="12.75" customHeight="1" x14ac:dyDescent="0.15">
      <c r="C206" s="88"/>
      <c r="D206" s="88"/>
      <c r="K206" s="176"/>
    </row>
    <row r="207" spans="3:11" ht="12.75" customHeight="1" x14ac:dyDescent="0.15">
      <c r="C207" s="88"/>
      <c r="D207" s="88"/>
      <c r="K207" s="176"/>
    </row>
    <row r="208" spans="3:11" ht="12.75" customHeight="1" x14ac:dyDescent="0.15">
      <c r="C208" s="88"/>
      <c r="D208" s="88"/>
      <c r="K208" s="176"/>
    </row>
    <row r="209" spans="3:11" ht="12.75" customHeight="1" x14ac:dyDescent="0.15">
      <c r="C209" s="88"/>
      <c r="D209" s="88"/>
      <c r="K209" s="176"/>
    </row>
    <row r="210" spans="3:11" ht="12.75" customHeight="1" x14ac:dyDescent="0.15">
      <c r="C210" s="88"/>
      <c r="D210" s="88"/>
      <c r="K210" s="176"/>
    </row>
    <row r="211" spans="3:11" ht="12.75" customHeight="1" x14ac:dyDescent="0.15">
      <c r="C211" s="88"/>
      <c r="D211" s="88"/>
      <c r="K211" s="176"/>
    </row>
    <row r="212" spans="3:11" ht="12.75" customHeight="1" x14ac:dyDescent="0.15">
      <c r="C212" s="88"/>
      <c r="D212" s="88"/>
      <c r="K212" s="176"/>
    </row>
    <row r="213" spans="3:11" ht="12.75" customHeight="1" x14ac:dyDescent="0.15">
      <c r="C213" s="88"/>
      <c r="D213" s="88"/>
      <c r="K213" s="176"/>
    </row>
    <row r="214" spans="3:11" ht="12.75" customHeight="1" x14ac:dyDescent="0.15">
      <c r="C214" s="88"/>
      <c r="D214" s="88"/>
      <c r="K214" s="176"/>
    </row>
    <row r="215" spans="3:11" ht="12.75" customHeight="1" x14ac:dyDescent="0.15">
      <c r="C215" s="88"/>
      <c r="D215" s="88"/>
      <c r="K215" s="176"/>
    </row>
    <row r="216" spans="3:11" ht="12.75" customHeight="1" x14ac:dyDescent="0.15">
      <c r="C216" s="88"/>
      <c r="D216" s="88"/>
      <c r="K216" s="176"/>
    </row>
    <row r="217" spans="3:11" ht="12.75" customHeight="1" x14ac:dyDescent="0.15">
      <c r="C217" s="88"/>
      <c r="D217" s="88"/>
      <c r="K217" s="176"/>
    </row>
    <row r="218" spans="3:11" ht="12.75" customHeight="1" x14ac:dyDescent="0.15">
      <c r="C218" s="88"/>
      <c r="D218" s="88"/>
      <c r="K218" s="176"/>
    </row>
    <row r="219" spans="3:11" ht="12.75" customHeight="1" x14ac:dyDescent="0.15">
      <c r="C219" s="88"/>
      <c r="D219" s="88"/>
      <c r="K219" s="176"/>
    </row>
    <row r="220" spans="3:11" ht="12.75" customHeight="1" x14ac:dyDescent="0.15">
      <c r="C220" s="88"/>
      <c r="D220" s="88"/>
      <c r="K220" s="176"/>
    </row>
    <row r="221" spans="3:11" ht="12.75" customHeight="1" x14ac:dyDescent="0.15">
      <c r="C221" s="88"/>
      <c r="D221" s="88"/>
      <c r="K221" s="176"/>
    </row>
    <row r="222" spans="3:11" ht="12.75" customHeight="1" x14ac:dyDescent="0.15">
      <c r="C222" s="88"/>
      <c r="D222" s="88"/>
      <c r="K222" s="176"/>
    </row>
    <row r="223" spans="3:11" ht="12.75" customHeight="1" x14ac:dyDescent="0.15">
      <c r="C223" s="88"/>
      <c r="D223" s="88"/>
      <c r="K223" s="176"/>
    </row>
    <row r="224" spans="3:11" ht="12.75" customHeight="1" x14ac:dyDescent="0.15">
      <c r="C224" s="88"/>
      <c r="D224" s="88"/>
      <c r="K224" s="176"/>
    </row>
    <row r="225" spans="3:11" ht="12.75" customHeight="1" x14ac:dyDescent="0.15">
      <c r="C225" s="88"/>
      <c r="D225" s="88"/>
      <c r="K225" s="176"/>
    </row>
    <row r="226" spans="3:11" ht="12.75" customHeight="1" x14ac:dyDescent="0.15">
      <c r="C226" s="88"/>
      <c r="D226" s="88"/>
      <c r="K226" s="176"/>
    </row>
    <row r="227" spans="3:11" ht="12.75" customHeight="1" x14ac:dyDescent="0.15">
      <c r="C227" s="88"/>
      <c r="D227" s="88"/>
      <c r="K227" s="176"/>
    </row>
    <row r="228" spans="3:11" ht="12.75" customHeight="1" x14ac:dyDescent="0.15">
      <c r="C228" s="88"/>
      <c r="D228" s="88"/>
      <c r="K228" s="176"/>
    </row>
    <row r="229" spans="3:11" ht="12.75" customHeight="1" x14ac:dyDescent="0.15">
      <c r="C229" s="88"/>
      <c r="D229" s="88"/>
      <c r="K229" s="176"/>
    </row>
    <row r="230" spans="3:11" ht="12.75" customHeight="1" x14ac:dyDescent="0.15">
      <c r="C230" s="88"/>
      <c r="D230" s="88"/>
      <c r="K230" s="176"/>
    </row>
    <row r="231" spans="3:11" ht="12.75" customHeight="1" x14ac:dyDescent="0.15">
      <c r="C231" s="88"/>
      <c r="D231" s="88"/>
      <c r="K231" s="176"/>
    </row>
    <row r="232" spans="3:11" ht="12.75" customHeight="1" x14ac:dyDescent="0.15">
      <c r="C232" s="88"/>
      <c r="D232" s="88"/>
      <c r="K232" s="176"/>
    </row>
    <row r="233" spans="3:11" ht="12.75" customHeight="1" x14ac:dyDescent="0.15">
      <c r="C233" s="88"/>
      <c r="D233" s="88"/>
      <c r="K233" s="176"/>
    </row>
    <row r="234" spans="3:11" ht="12.75" customHeight="1" x14ac:dyDescent="0.15">
      <c r="C234" s="88"/>
      <c r="D234" s="88"/>
      <c r="K234" s="176"/>
    </row>
    <row r="235" spans="3:11" ht="12.75" customHeight="1" x14ac:dyDescent="0.15">
      <c r="C235" s="88"/>
      <c r="D235" s="88"/>
      <c r="K235" s="176"/>
    </row>
    <row r="236" spans="3:11" ht="12.75" customHeight="1" x14ac:dyDescent="0.15">
      <c r="C236" s="88"/>
      <c r="D236" s="88"/>
      <c r="K236" s="176"/>
    </row>
    <row r="237" spans="3:11" ht="12.75" customHeight="1" x14ac:dyDescent="0.15">
      <c r="C237" s="88"/>
      <c r="D237" s="88"/>
      <c r="K237" s="176"/>
    </row>
    <row r="238" spans="3:11" ht="12.75" customHeight="1" x14ac:dyDescent="0.15">
      <c r="C238" s="88"/>
      <c r="D238" s="88"/>
      <c r="K238" s="176"/>
    </row>
    <row r="239" spans="3:11" ht="12.75" customHeight="1" x14ac:dyDescent="0.15">
      <c r="C239" s="88"/>
      <c r="D239" s="88"/>
      <c r="K239" s="176"/>
    </row>
    <row r="240" spans="3:11" ht="12.75" customHeight="1" x14ac:dyDescent="0.15">
      <c r="C240" s="88"/>
      <c r="D240" s="88"/>
      <c r="K240" s="176"/>
    </row>
    <row r="241" spans="3:11" ht="12.75" customHeight="1" x14ac:dyDescent="0.15">
      <c r="C241" s="88"/>
      <c r="D241" s="88"/>
      <c r="K241" s="176"/>
    </row>
    <row r="242" spans="3:11" ht="12.75" customHeight="1" x14ac:dyDescent="0.15">
      <c r="C242" s="88"/>
      <c r="D242" s="88"/>
      <c r="K242" s="176"/>
    </row>
    <row r="243" spans="3:11" ht="12.75" customHeight="1" x14ac:dyDescent="0.15">
      <c r="C243" s="88"/>
      <c r="D243" s="88"/>
      <c r="K243" s="176"/>
    </row>
    <row r="244" spans="3:11" ht="12.75" customHeight="1" x14ac:dyDescent="0.15">
      <c r="C244" s="88"/>
      <c r="D244" s="88"/>
      <c r="K244" s="176"/>
    </row>
    <row r="245" spans="3:11" ht="12.75" customHeight="1" x14ac:dyDescent="0.15">
      <c r="C245" s="88"/>
      <c r="D245" s="88"/>
      <c r="K245" s="176"/>
    </row>
    <row r="246" spans="3:11" ht="12.75" customHeight="1" x14ac:dyDescent="0.15">
      <c r="C246" s="88"/>
      <c r="D246" s="88"/>
      <c r="K246" s="176"/>
    </row>
    <row r="247" spans="3:11" ht="12.75" customHeight="1" x14ac:dyDescent="0.15">
      <c r="C247" s="88"/>
      <c r="D247" s="88"/>
      <c r="K247" s="176"/>
    </row>
    <row r="248" spans="3:11" ht="12.75" customHeight="1" x14ac:dyDescent="0.15">
      <c r="C248" s="88"/>
      <c r="D248" s="88"/>
      <c r="K248" s="176"/>
    </row>
    <row r="249" spans="3:11" ht="12.75" customHeight="1" x14ac:dyDescent="0.15">
      <c r="C249" s="88"/>
      <c r="D249" s="88"/>
      <c r="K249" s="176"/>
    </row>
    <row r="250" spans="3:11" ht="12.75" customHeight="1" x14ac:dyDescent="0.15">
      <c r="C250" s="88"/>
      <c r="D250" s="88"/>
      <c r="K250" s="176"/>
    </row>
    <row r="251" spans="3:11" ht="12.75" customHeight="1" x14ac:dyDescent="0.15">
      <c r="C251" s="88"/>
      <c r="D251" s="88"/>
      <c r="K251" s="176"/>
    </row>
    <row r="252" spans="3:11" ht="12.75" customHeight="1" x14ac:dyDescent="0.15">
      <c r="C252" s="88"/>
      <c r="D252" s="88"/>
      <c r="K252" s="176"/>
    </row>
    <row r="253" spans="3:11" ht="12.75" customHeight="1" x14ac:dyDescent="0.15">
      <c r="C253" s="88"/>
      <c r="D253" s="88"/>
      <c r="K253" s="176"/>
    </row>
    <row r="254" spans="3:11" ht="12.75" customHeight="1" x14ac:dyDescent="0.15">
      <c r="C254" s="88"/>
      <c r="D254" s="88"/>
      <c r="K254" s="176"/>
    </row>
    <row r="255" spans="3:11" ht="12.75" customHeight="1" x14ac:dyDescent="0.15">
      <c r="C255" s="88"/>
      <c r="D255" s="88"/>
      <c r="K255" s="176"/>
    </row>
    <row r="256" spans="3:11" ht="12.75" customHeight="1" x14ac:dyDescent="0.15">
      <c r="C256" s="88"/>
      <c r="D256" s="88"/>
      <c r="K256" s="176"/>
    </row>
    <row r="257" spans="3:11" ht="12.75" customHeight="1" x14ac:dyDescent="0.15">
      <c r="C257" s="88"/>
      <c r="D257" s="88"/>
      <c r="K257" s="176"/>
    </row>
    <row r="258" spans="3:11" ht="12.75" customHeight="1" x14ac:dyDescent="0.15">
      <c r="C258" s="88"/>
      <c r="D258" s="88"/>
      <c r="K258" s="176"/>
    </row>
    <row r="259" spans="3:11" ht="12.75" customHeight="1" x14ac:dyDescent="0.15">
      <c r="C259" s="88"/>
      <c r="D259" s="88"/>
      <c r="K259" s="176"/>
    </row>
    <row r="260" spans="3:11" ht="12.75" customHeight="1" x14ac:dyDescent="0.15">
      <c r="C260" s="88"/>
      <c r="D260" s="88"/>
      <c r="K260" s="176"/>
    </row>
    <row r="261" spans="3:11" ht="12.75" customHeight="1" x14ac:dyDescent="0.15">
      <c r="C261" s="88"/>
      <c r="D261" s="88"/>
      <c r="K261" s="176"/>
    </row>
    <row r="262" spans="3:11" ht="12.75" customHeight="1" x14ac:dyDescent="0.15">
      <c r="C262" s="88"/>
      <c r="D262" s="88"/>
      <c r="K262" s="176"/>
    </row>
    <row r="263" spans="3:11" ht="12.75" customHeight="1" x14ac:dyDescent="0.15">
      <c r="C263" s="88"/>
      <c r="D263" s="88"/>
      <c r="K263" s="176"/>
    </row>
    <row r="264" spans="3:11" ht="12.75" customHeight="1" x14ac:dyDescent="0.15">
      <c r="C264" s="88"/>
      <c r="D264" s="88"/>
      <c r="K264" s="176"/>
    </row>
    <row r="265" spans="3:11" ht="12.75" customHeight="1" x14ac:dyDescent="0.15">
      <c r="C265" s="88"/>
      <c r="D265" s="88"/>
      <c r="K265" s="176"/>
    </row>
    <row r="266" spans="3:11" ht="12.75" customHeight="1" x14ac:dyDescent="0.15">
      <c r="C266" s="88"/>
      <c r="D266" s="88"/>
      <c r="K266" s="176"/>
    </row>
    <row r="267" spans="3:11" ht="12.75" customHeight="1" x14ac:dyDescent="0.15">
      <c r="C267" s="88"/>
      <c r="D267" s="88"/>
      <c r="K267" s="176"/>
    </row>
    <row r="268" spans="3:11" ht="12.75" customHeight="1" x14ac:dyDescent="0.15">
      <c r="C268" s="88"/>
      <c r="D268" s="88"/>
      <c r="K268" s="176"/>
    </row>
    <row r="269" spans="3:11" ht="12.75" customHeight="1" x14ac:dyDescent="0.15">
      <c r="C269" s="88"/>
      <c r="D269" s="88"/>
      <c r="K269" s="176"/>
    </row>
    <row r="270" spans="3:11" ht="12.75" customHeight="1" x14ac:dyDescent="0.15">
      <c r="C270" s="88"/>
      <c r="D270" s="88"/>
      <c r="K270" s="176"/>
    </row>
    <row r="271" spans="3:11" ht="12.75" customHeight="1" x14ac:dyDescent="0.15">
      <c r="C271" s="88"/>
      <c r="D271" s="88"/>
      <c r="K271" s="176"/>
    </row>
    <row r="272" spans="3:11" ht="12.75" customHeight="1" x14ac:dyDescent="0.15">
      <c r="C272" s="88"/>
      <c r="D272" s="88"/>
      <c r="K272" s="176"/>
    </row>
    <row r="273" spans="3:11" ht="12.75" customHeight="1" x14ac:dyDescent="0.15">
      <c r="C273" s="88"/>
      <c r="D273" s="88"/>
      <c r="K273" s="176"/>
    </row>
    <row r="274" spans="3:11" ht="12.75" customHeight="1" x14ac:dyDescent="0.15">
      <c r="C274" s="88"/>
      <c r="D274" s="88"/>
      <c r="K274" s="176"/>
    </row>
    <row r="275" spans="3:11" ht="12.75" customHeight="1" x14ac:dyDescent="0.15">
      <c r="C275" s="88"/>
      <c r="D275" s="88"/>
      <c r="K275" s="176"/>
    </row>
    <row r="276" spans="3:11" ht="12.75" customHeight="1" x14ac:dyDescent="0.15">
      <c r="C276" s="88"/>
      <c r="D276" s="88"/>
      <c r="K276" s="176"/>
    </row>
    <row r="277" spans="3:11" ht="12.75" customHeight="1" x14ac:dyDescent="0.15">
      <c r="C277" s="88"/>
      <c r="D277" s="88"/>
      <c r="K277" s="176"/>
    </row>
    <row r="278" spans="3:11" ht="12.75" customHeight="1" x14ac:dyDescent="0.15">
      <c r="C278" s="88"/>
      <c r="D278" s="88"/>
      <c r="K278" s="176"/>
    </row>
    <row r="279" spans="3:11" ht="12.75" customHeight="1" x14ac:dyDescent="0.15">
      <c r="C279" s="88"/>
      <c r="D279" s="88"/>
      <c r="K279" s="176"/>
    </row>
    <row r="280" spans="3:11" ht="12.75" customHeight="1" x14ac:dyDescent="0.15">
      <c r="C280" s="88"/>
      <c r="D280" s="88"/>
      <c r="K280" s="176"/>
    </row>
    <row r="281" spans="3:11" ht="12.75" customHeight="1" x14ac:dyDescent="0.15">
      <c r="C281" s="88"/>
      <c r="D281" s="88"/>
      <c r="K281" s="176"/>
    </row>
    <row r="282" spans="3:11" ht="12.75" customHeight="1" x14ac:dyDescent="0.15">
      <c r="C282" s="88"/>
      <c r="D282" s="88"/>
      <c r="K282" s="176"/>
    </row>
    <row r="283" spans="3:11" ht="12.75" customHeight="1" x14ac:dyDescent="0.15">
      <c r="C283" s="88"/>
      <c r="D283" s="88"/>
      <c r="K283" s="176"/>
    </row>
    <row r="284" spans="3:11" ht="12.75" customHeight="1" x14ac:dyDescent="0.15">
      <c r="C284" s="88"/>
      <c r="D284" s="88"/>
      <c r="K284" s="176"/>
    </row>
    <row r="285" spans="3:11" ht="12.75" customHeight="1" x14ac:dyDescent="0.15">
      <c r="C285" s="88"/>
      <c r="D285" s="88"/>
      <c r="K285" s="176"/>
    </row>
    <row r="286" spans="3:11" ht="12.75" customHeight="1" x14ac:dyDescent="0.15">
      <c r="C286" s="88"/>
      <c r="D286" s="88"/>
      <c r="K286" s="176"/>
    </row>
    <row r="287" spans="3:11" ht="12.75" customHeight="1" x14ac:dyDescent="0.15">
      <c r="C287" s="88"/>
      <c r="D287" s="88"/>
      <c r="K287" s="176"/>
    </row>
    <row r="288" spans="3:11" ht="12.75" customHeight="1" x14ac:dyDescent="0.15">
      <c r="C288" s="88"/>
      <c r="D288" s="88"/>
      <c r="K288" s="176"/>
    </row>
    <row r="289" spans="3:11" ht="12.75" customHeight="1" x14ac:dyDescent="0.15">
      <c r="C289" s="88"/>
      <c r="D289" s="88"/>
      <c r="K289" s="176"/>
    </row>
    <row r="290" spans="3:11" ht="12.75" customHeight="1" x14ac:dyDescent="0.15">
      <c r="C290" s="88"/>
      <c r="D290" s="88"/>
      <c r="K290" s="176"/>
    </row>
    <row r="291" spans="3:11" ht="12.75" customHeight="1" x14ac:dyDescent="0.15">
      <c r="C291" s="88"/>
      <c r="D291" s="88"/>
      <c r="K291" s="176"/>
    </row>
    <row r="292" spans="3:11" ht="12.75" customHeight="1" x14ac:dyDescent="0.15">
      <c r="C292" s="88"/>
      <c r="D292" s="88"/>
      <c r="K292" s="176"/>
    </row>
    <row r="293" spans="3:11" ht="12.75" customHeight="1" x14ac:dyDescent="0.15">
      <c r="C293" s="88"/>
      <c r="D293" s="88"/>
      <c r="K293" s="176"/>
    </row>
    <row r="294" spans="3:11" ht="12.75" customHeight="1" x14ac:dyDescent="0.15">
      <c r="C294" s="88"/>
      <c r="D294" s="88"/>
      <c r="K294" s="176"/>
    </row>
    <row r="295" spans="3:11" ht="12.75" customHeight="1" x14ac:dyDescent="0.15">
      <c r="C295" s="88"/>
      <c r="D295" s="88"/>
      <c r="K295" s="176"/>
    </row>
    <row r="296" spans="3:11" ht="12.75" customHeight="1" x14ac:dyDescent="0.15">
      <c r="C296" s="88"/>
      <c r="D296" s="88"/>
      <c r="K296" s="176"/>
    </row>
    <row r="297" spans="3:11" ht="12.75" customHeight="1" x14ac:dyDescent="0.15">
      <c r="C297" s="88"/>
      <c r="D297" s="88"/>
      <c r="K297" s="176"/>
    </row>
    <row r="298" spans="3:11" ht="12.75" customHeight="1" x14ac:dyDescent="0.15">
      <c r="C298" s="88"/>
      <c r="D298" s="88"/>
      <c r="K298" s="176"/>
    </row>
    <row r="299" spans="3:11" ht="12.75" customHeight="1" x14ac:dyDescent="0.15">
      <c r="C299" s="88"/>
      <c r="D299" s="88"/>
      <c r="K299" s="176"/>
    </row>
    <row r="300" spans="3:11" ht="12.75" customHeight="1" x14ac:dyDescent="0.15">
      <c r="C300" s="88"/>
      <c r="D300" s="88"/>
      <c r="K300" s="176"/>
    </row>
    <row r="301" spans="3:11" ht="12.75" customHeight="1" x14ac:dyDescent="0.15">
      <c r="C301" s="88"/>
      <c r="D301" s="88"/>
      <c r="K301" s="176"/>
    </row>
    <row r="302" spans="3:11" ht="12.75" customHeight="1" x14ac:dyDescent="0.15">
      <c r="C302" s="88"/>
      <c r="D302" s="88"/>
      <c r="K302" s="176"/>
    </row>
    <row r="303" spans="3:11" ht="12.75" customHeight="1" x14ac:dyDescent="0.15">
      <c r="C303" s="88"/>
      <c r="D303" s="88"/>
      <c r="K303" s="176"/>
    </row>
    <row r="304" spans="3:11" ht="12.75" customHeight="1" x14ac:dyDescent="0.15">
      <c r="C304" s="88"/>
      <c r="D304" s="88"/>
      <c r="K304" s="176"/>
    </row>
    <row r="305" spans="3:11" ht="12.75" customHeight="1" x14ac:dyDescent="0.15">
      <c r="C305" s="88"/>
      <c r="D305" s="88"/>
      <c r="K305" s="176"/>
    </row>
    <row r="306" spans="3:11" ht="12.75" customHeight="1" x14ac:dyDescent="0.15">
      <c r="C306" s="88"/>
      <c r="D306" s="88"/>
      <c r="K306" s="176"/>
    </row>
    <row r="307" spans="3:11" ht="12.75" customHeight="1" x14ac:dyDescent="0.15">
      <c r="C307" s="88"/>
      <c r="D307" s="88"/>
      <c r="K307" s="176"/>
    </row>
    <row r="308" spans="3:11" ht="12.75" customHeight="1" x14ac:dyDescent="0.15">
      <c r="C308" s="88"/>
      <c r="D308" s="88"/>
      <c r="K308" s="176"/>
    </row>
    <row r="309" spans="3:11" ht="12.75" customHeight="1" x14ac:dyDescent="0.15">
      <c r="C309" s="88"/>
      <c r="D309" s="88"/>
      <c r="K309" s="176"/>
    </row>
    <row r="310" spans="3:11" ht="12.75" customHeight="1" x14ac:dyDescent="0.15">
      <c r="C310" s="88"/>
      <c r="D310" s="88"/>
      <c r="K310" s="176"/>
    </row>
    <row r="311" spans="3:11" ht="12.75" customHeight="1" x14ac:dyDescent="0.15">
      <c r="C311" s="88"/>
      <c r="D311" s="88"/>
      <c r="K311" s="176"/>
    </row>
    <row r="312" spans="3:11" ht="12.75" customHeight="1" x14ac:dyDescent="0.15">
      <c r="C312" s="88"/>
      <c r="D312" s="88"/>
      <c r="K312" s="176"/>
    </row>
    <row r="313" spans="3:11" ht="12.75" customHeight="1" x14ac:dyDescent="0.15">
      <c r="C313" s="88"/>
      <c r="D313" s="88"/>
      <c r="K313" s="176"/>
    </row>
    <row r="314" spans="3:11" ht="12.75" customHeight="1" x14ac:dyDescent="0.15">
      <c r="C314" s="88"/>
      <c r="D314" s="88"/>
      <c r="K314" s="176"/>
    </row>
    <row r="315" spans="3:11" ht="12.75" customHeight="1" x14ac:dyDescent="0.15">
      <c r="C315" s="88"/>
      <c r="D315" s="88"/>
      <c r="K315" s="176"/>
    </row>
    <row r="316" spans="3:11" ht="12.75" customHeight="1" x14ac:dyDescent="0.15">
      <c r="C316" s="88"/>
      <c r="D316" s="88"/>
      <c r="K316" s="176"/>
    </row>
    <row r="317" spans="3:11" ht="12.75" customHeight="1" x14ac:dyDescent="0.15">
      <c r="C317" s="88"/>
      <c r="D317" s="88"/>
      <c r="K317" s="176"/>
    </row>
    <row r="318" spans="3:11" ht="12.75" customHeight="1" x14ac:dyDescent="0.15">
      <c r="C318" s="88"/>
      <c r="D318" s="88"/>
      <c r="K318" s="176"/>
    </row>
    <row r="319" spans="3:11" ht="12.75" customHeight="1" x14ac:dyDescent="0.15">
      <c r="C319" s="88"/>
      <c r="D319" s="88"/>
      <c r="K319" s="176"/>
    </row>
    <row r="320" spans="3:11" ht="12.75" customHeight="1" x14ac:dyDescent="0.15">
      <c r="C320" s="88"/>
      <c r="D320" s="88"/>
      <c r="K320" s="176"/>
    </row>
    <row r="321" spans="3:11" ht="12.75" customHeight="1" x14ac:dyDescent="0.15">
      <c r="C321" s="88"/>
      <c r="D321" s="88"/>
      <c r="K321" s="176"/>
    </row>
    <row r="322" spans="3:11" ht="12.75" customHeight="1" x14ac:dyDescent="0.15">
      <c r="C322" s="88"/>
      <c r="D322" s="88"/>
      <c r="K322" s="176"/>
    </row>
    <row r="323" spans="3:11" ht="12.75" customHeight="1" x14ac:dyDescent="0.15">
      <c r="C323" s="88"/>
      <c r="D323" s="88"/>
      <c r="K323" s="176"/>
    </row>
    <row r="324" spans="3:11" ht="12.75" customHeight="1" x14ac:dyDescent="0.15">
      <c r="C324" s="88"/>
      <c r="D324" s="88"/>
      <c r="K324" s="176"/>
    </row>
    <row r="325" spans="3:11" ht="12.75" customHeight="1" x14ac:dyDescent="0.15">
      <c r="C325" s="88"/>
      <c r="D325" s="88"/>
      <c r="K325" s="176"/>
    </row>
    <row r="326" spans="3:11" ht="12.75" customHeight="1" x14ac:dyDescent="0.15">
      <c r="C326" s="88"/>
      <c r="D326" s="88"/>
      <c r="K326" s="176"/>
    </row>
    <row r="327" spans="3:11" ht="12.75" customHeight="1" x14ac:dyDescent="0.15">
      <c r="C327" s="88"/>
      <c r="D327" s="88"/>
      <c r="K327" s="176"/>
    </row>
    <row r="328" spans="3:11" ht="12.75" customHeight="1" x14ac:dyDescent="0.15">
      <c r="C328" s="88"/>
      <c r="D328" s="88"/>
      <c r="K328" s="176"/>
    </row>
    <row r="329" spans="3:11" ht="12.75" customHeight="1" x14ac:dyDescent="0.15">
      <c r="C329" s="88"/>
      <c r="D329" s="88"/>
      <c r="K329" s="176"/>
    </row>
    <row r="330" spans="3:11" ht="12.75" customHeight="1" x14ac:dyDescent="0.15">
      <c r="C330" s="88"/>
      <c r="D330" s="88"/>
      <c r="K330" s="176"/>
    </row>
    <row r="331" spans="3:11" ht="12.75" customHeight="1" x14ac:dyDescent="0.15">
      <c r="C331" s="88"/>
      <c r="D331" s="88"/>
      <c r="K331" s="176"/>
    </row>
    <row r="332" spans="3:11" ht="12.75" customHeight="1" x14ac:dyDescent="0.15">
      <c r="C332" s="88"/>
      <c r="D332" s="88"/>
      <c r="K332" s="176"/>
    </row>
    <row r="333" spans="3:11" ht="12.75" customHeight="1" x14ac:dyDescent="0.15">
      <c r="C333" s="88"/>
      <c r="D333" s="88"/>
      <c r="K333" s="176"/>
    </row>
    <row r="334" spans="3:11" ht="12.75" customHeight="1" x14ac:dyDescent="0.15">
      <c r="C334" s="88"/>
      <c r="D334" s="88"/>
      <c r="K334" s="176"/>
    </row>
    <row r="335" spans="3:11" ht="12.75" customHeight="1" x14ac:dyDescent="0.15">
      <c r="C335" s="88"/>
      <c r="D335" s="88"/>
      <c r="K335" s="176"/>
    </row>
    <row r="336" spans="3:11" ht="12.75" customHeight="1" x14ac:dyDescent="0.15">
      <c r="C336" s="88"/>
      <c r="D336" s="88"/>
      <c r="K336" s="176"/>
    </row>
    <row r="337" spans="3:11" ht="12.75" customHeight="1" x14ac:dyDescent="0.15">
      <c r="C337" s="88"/>
      <c r="D337" s="88"/>
      <c r="K337" s="176"/>
    </row>
    <row r="338" spans="3:11" ht="12.75" customHeight="1" x14ac:dyDescent="0.15">
      <c r="C338" s="88"/>
      <c r="D338" s="88"/>
      <c r="K338" s="176"/>
    </row>
    <row r="339" spans="3:11" ht="12.75" customHeight="1" x14ac:dyDescent="0.15">
      <c r="C339" s="88"/>
      <c r="D339" s="88"/>
      <c r="K339" s="176"/>
    </row>
    <row r="340" spans="3:11" ht="12.75" customHeight="1" x14ac:dyDescent="0.15">
      <c r="C340" s="88"/>
      <c r="D340" s="88"/>
      <c r="K340" s="176"/>
    </row>
    <row r="341" spans="3:11" ht="12.75" customHeight="1" x14ac:dyDescent="0.15">
      <c r="C341" s="88"/>
      <c r="D341" s="88"/>
      <c r="K341" s="176"/>
    </row>
    <row r="342" spans="3:11" ht="12.75" customHeight="1" x14ac:dyDescent="0.15">
      <c r="C342" s="88"/>
      <c r="D342" s="88"/>
      <c r="K342" s="176"/>
    </row>
    <row r="343" spans="3:11" ht="12.75" customHeight="1" x14ac:dyDescent="0.15">
      <c r="C343" s="88"/>
      <c r="D343" s="88"/>
      <c r="K343" s="176"/>
    </row>
    <row r="344" spans="3:11" ht="12.75" customHeight="1" x14ac:dyDescent="0.15">
      <c r="C344" s="88"/>
      <c r="D344" s="88"/>
      <c r="K344" s="176"/>
    </row>
    <row r="345" spans="3:11" ht="12.75" customHeight="1" x14ac:dyDescent="0.15">
      <c r="C345" s="88"/>
      <c r="D345" s="88"/>
      <c r="K345" s="176"/>
    </row>
    <row r="346" spans="3:11" ht="12.75" customHeight="1" x14ac:dyDescent="0.15">
      <c r="C346" s="88"/>
      <c r="D346" s="88"/>
      <c r="K346" s="176"/>
    </row>
    <row r="347" spans="3:11" ht="12.75" customHeight="1" x14ac:dyDescent="0.15">
      <c r="C347" s="88"/>
      <c r="D347" s="88"/>
      <c r="K347" s="176"/>
    </row>
    <row r="348" spans="3:11" ht="12.75" customHeight="1" x14ac:dyDescent="0.15">
      <c r="C348" s="88"/>
      <c r="D348" s="88"/>
      <c r="K348" s="176"/>
    </row>
    <row r="349" spans="3:11" ht="12.75" customHeight="1" x14ac:dyDescent="0.15">
      <c r="C349" s="88"/>
      <c r="D349" s="88"/>
      <c r="K349" s="176"/>
    </row>
    <row r="350" spans="3:11" ht="12.75" customHeight="1" x14ac:dyDescent="0.15">
      <c r="C350" s="88"/>
      <c r="D350" s="88"/>
      <c r="K350" s="176"/>
    </row>
    <row r="351" spans="3:11" ht="12.75" customHeight="1" x14ac:dyDescent="0.15">
      <c r="C351" s="88"/>
      <c r="D351" s="88"/>
      <c r="K351" s="176"/>
    </row>
    <row r="352" spans="3:11" ht="12.75" customHeight="1" x14ac:dyDescent="0.15">
      <c r="C352" s="88"/>
      <c r="D352" s="88"/>
      <c r="K352" s="176"/>
    </row>
    <row r="353" spans="3:11" ht="12.75" customHeight="1" x14ac:dyDescent="0.15">
      <c r="C353" s="88"/>
      <c r="D353" s="88"/>
      <c r="K353" s="176"/>
    </row>
    <row r="354" spans="3:11" ht="12.75" customHeight="1" x14ac:dyDescent="0.15">
      <c r="C354" s="88"/>
      <c r="D354" s="88"/>
      <c r="K354" s="176"/>
    </row>
    <row r="355" spans="3:11" ht="12.75" customHeight="1" x14ac:dyDescent="0.15">
      <c r="C355" s="88"/>
      <c r="D355" s="88"/>
      <c r="K355" s="176"/>
    </row>
    <row r="356" spans="3:11" ht="12.75" customHeight="1" x14ac:dyDescent="0.15">
      <c r="C356" s="88"/>
      <c r="D356" s="88"/>
      <c r="K356" s="176"/>
    </row>
    <row r="357" spans="3:11" ht="12.75" customHeight="1" x14ac:dyDescent="0.15">
      <c r="C357" s="88"/>
      <c r="D357" s="88"/>
      <c r="K357" s="176"/>
    </row>
    <row r="358" spans="3:11" ht="12.75" customHeight="1" x14ac:dyDescent="0.15">
      <c r="C358" s="88"/>
      <c r="D358" s="88"/>
      <c r="K358" s="176"/>
    </row>
    <row r="359" spans="3:11" ht="12.75" customHeight="1" x14ac:dyDescent="0.15">
      <c r="C359" s="88"/>
      <c r="D359" s="88"/>
      <c r="K359" s="176"/>
    </row>
    <row r="360" spans="3:11" ht="12.75" customHeight="1" x14ac:dyDescent="0.15">
      <c r="C360" s="88"/>
      <c r="D360" s="88"/>
      <c r="K360" s="176"/>
    </row>
    <row r="361" spans="3:11" ht="12.75" customHeight="1" x14ac:dyDescent="0.15">
      <c r="C361" s="88"/>
      <c r="D361" s="88"/>
      <c r="K361" s="176"/>
    </row>
    <row r="362" spans="3:11" ht="12.75" customHeight="1" x14ac:dyDescent="0.15">
      <c r="C362" s="88"/>
      <c r="D362" s="88"/>
      <c r="K362" s="176"/>
    </row>
    <row r="363" spans="3:11" ht="12.75" customHeight="1" x14ac:dyDescent="0.15">
      <c r="C363" s="88"/>
      <c r="D363" s="88"/>
      <c r="K363" s="176"/>
    </row>
    <row r="364" spans="3:11" ht="12.75" customHeight="1" x14ac:dyDescent="0.15">
      <c r="C364" s="88"/>
      <c r="D364" s="88"/>
      <c r="K364" s="176"/>
    </row>
    <row r="365" spans="3:11" ht="12.75" customHeight="1" x14ac:dyDescent="0.15">
      <c r="C365" s="88"/>
      <c r="D365" s="88"/>
      <c r="K365" s="176"/>
    </row>
    <row r="366" spans="3:11" ht="12.75" customHeight="1" x14ac:dyDescent="0.15">
      <c r="C366" s="88"/>
      <c r="D366" s="88"/>
      <c r="K366" s="176"/>
    </row>
    <row r="367" spans="3:11" ht="12.75" customHeight="1" x14ac:dyDescent="0.15">
      <c r="C367" s="88"/>
      <c r="D367" s="88"/>
      <c r="K367" s="176"/>
    </row>
    <row r="368" spans="3:11" ht="12.75" customHeight="1" x14ac:dyDescent="0.15">
      <c r="C368" s="88"/>
      <c r="D368" s="88"/>
      <c r="K368" s="176"/>
    </row>
    <row r="369" spans="3:11" ht="12.75" customHeight="1" x14ac:dyDescent="0.15">
      <c r="C369" s="88"/>
      <c r="D369" s="88"/>
      <c r="K369" s="176"/>
    </row>
    <row r="370" spans="3:11" ht="12.75" customHeight="1" x14ac:dyDescent="0.15">
      <c r="C370" s="88"/>
      <c r="D370" s="88"/>
      <c r="K370" s="176"/>
    </row>
    <row r="371" spans="3:11" ht="12.75" customHeight="1" x14ac:dyDescent="0.15">
      <c r="C371" s="88"/>
      <c r="D371" s="88"/>
      <c r="K371" s="176"/>
    </row>
    <row r="372" spans="3:11" ht="12.75" customHeight="1" x14ac:dyDescent="0.15">
      <c r="C372" s="88"/>
      <c r="D372" s="88"/>
      <c r="K372" s="176"/>
    </row>
    <row r="373" spans="3:11" ht="12.75" customHeight="1" x14ac:dyDescent="0.15">
      <c r="C373" s="88"/>
      <c r="D373" s="88"/>
      <c r="K373" s="176"/>
    </row>
    <row r="374" spans="3:11" ht="12.75" customHeight="1" x14ac:dyDescent="0.15">
      <c r="C374" s="88"/>
      <c r="D374" s="88"/>
      <c r="K374" s="176"/>
    </row>
    <row r="375" spans="3:11" ht="12.75" customHeight="1" x14ac:dyDescent="0.15">
      <c r="C375" s="88"/>
      <c r="D375" s="88"/>
      <c r="K375" s="176"/>
    </row>
    <row r="376" spans="3:11" ht="12.75" customHeight="1" x14ac:dyDescent="0.15">
      <c r="C376" s="88"/>
      <c r="D376" s="88"/>
      <c r="K376" s="176"/>
    </row>
    <row r="377" spans="3:11" ht="12.75" customHeight="1" x14ac:dyDescent="0.15">
      <c r="C377" s="88"/>
      <c r="D377" s="88"/>
      <c r="K377" s="176"/>
    </row>
    <row r="378" spans="3:11" ht="12.75" customHeight="1" x14ac:dyDescent="0.15">
      <c r="C378" s="88"/>
      <c r="D378" s="88"/>
      <c r="K378" s="176"/>
    </row>
    <row r="379" spans="3:11" ht="12.75" customHeight="1" x14ac:dyDescent="0.15">
      <c r="C379" s="88"/>
      <c r="D379" s="88"/>
      <c r="K379" s="176"/>
    </row>
    <row r="380" spans="3:11" ht="12.75" customHeight="1" x14ac:dyDescent="0.15">
      <c r="C380" s="88"/>
      <c r="D380" s="88"/>
      <c r="K380" s="176"/>
    </row>
    <row r="381" spans="3:11" ht="12.75" customHeight="1" x14ac:dyDescent="0.15">
      <c r="C381" s="88"/>
      <c r="D381" s="88"/>
      <c r="K381" s="176"/>
    </row>
    <row r="382" spans="3:11" ht="12.75" customHeight="1" x14ac:dyDescent="0.15">
      <c r="C382" s="88"/>
      <c r="D382" s="88"/>
      <c r="K382" s="176"/>
    </row>
    <row r="383" spans="3:11" ht="12.75" customHeight="1" x14ac:dyDescent="0.15">
      <c r="C383" s="88"/>
      <c r="D383" s="88"/>
      <c r="K383" s="176"/>
    </row>
    <row r="384" spans="3:11" ht="12.75" customHeight="1" x14ac:dyDescent="0.15">
      <c r="C384" s="88"/>
      <c r="D384" s="88"/>
      <c r="K384" s="176"/>
    </row>
    <row r="385" spans="3:11" ht="12.75" customHeight="1" x14ac:dyDescent="0.15">
      <c r="C385" s="88"/>
      <c r="D385" s="88"/>
      <c r="K385" s="176"/>
    </row>
    <row r="386" spans="3:11" ht="12.75" customHeight="1" x14ac:dyDescent="0.15">
      <c r="C386" s="88"/>
      <c r="D386" s="88"/>
      <c r="K386" s="176"/>
    </row>
    <row r="387" spans="3:11" ht="12.75" customHeight="1" x14ac:dyDescent="0.15">
      <c r="C387" s="88"/>
      <c r="D387" s="88"/>
      <c r="K387" s="176"/>
    </row>
    <row r="388" spans="3:11" ht="12.75" customHeight="1" x14ac:dyDescent="0.15">
      <c r="C388" s="88"/>
      <c r="D388" s="88"/>
      <c r="K388" s="176"/>
    </row>
    <row r="389" spans="3:11" ht="12.75" customHeight="1" x14ac:dyDescent="0.15">
      <c r="C389" s="88"/>
      <c r="D389" s="88"/>
      <c r="K389" s="176"/>
    </row>
    <row r="390" spans="3:11" ht="12.75" customHeight="1" x14ac:dyDescent="0.15">
      <c r="C390" s="88"/>
      <c r="D390" s="88"/>
      <c r="K390" s="176"/>
    </row>
    <row r="391" spans="3:11" ht="12.75" customHeight="1" x14ac:dyDescent="0.15">
      <c r="C391" s="88"/>
      <c r="D391" s="88"/>
      <c r="K391" s="176"/>
    </row>
    <row r="392" spans="3:11" ht="12.75" customHeight="1" x14ac:dyDescent="0.15">
      <c r="C392" s="88"/>
      <c r="D392" s="88"/>
      <c r="K392" s="176"/>
    </row>
    <row r="393" spans="3:11" ht="12.75" customHeight="1" x14ac:dyDescent="0.15">
      <c r="C393" s="88"/>
      <c r="D393" s="88"/>
      <c r="K393" s="176"/>
    </row>
    <row r="394" spans="3:11" ht="12.75" customHeight="1" x14ac:dyDescent="0.15">
      <c r="C394" s="88"/>
      <c r="D394" s="88"/>
      <c r="K394" s="176"/>
    </row>
    <row r="395" spans="3:11" ht="12.75" customHeight="1" x14ac:dyDescent="0.15">
      <c r="C395" s="88"/>
      <c r="D395" s="88"/>
      <c r="K395" s="176"/>
    </row>
    <row r="396" spans="3:11" ht="12.75" customHeight="1" x14ac:dyDescent="0.15">
      <c r="C396" s="88"/>
      <c r="D396" s="88"/>
      <c r="K396" s="176"/>
    </row>
    <row r="397" spans="3:11" ht="12.75" customHeight="1" x14ac:dyDescent="0.15">
      <c r="C397" s="88"/>
      <c r="D397" s="88"/>
      <c r="K397" s="176"/>
    </row>
    <row r="398" spans="3:11" ht="12.75" customHeight="1" x14ac:dyDescent="0.15">
      <c r="C398" s="88"/>
      <c r="D398" s="88"/>
      <c r="K398" s="176"/>
    </row>
    <row r="399" spans="3:11" ht="12.75" customHeight="1" x14ac:dyDescent="0.15">
      <c r="C399" s="88"/>
      <c r="D399" s="88"/>
      <c r="K399" s="176"/>
    </row>
    <row r="400" spans="3:11" ht="12.75" customHeight="1" x14ac:dyDescent="0.15">
      <c r="C400" s="88"/>
      <c r="D400" s="88"/>
      <c r="K400" s="176"/>
    </row>
    <row r="401" spans="3:11" ht="12.75" customHeight="1" x14ac:dyDescent="0.15">
      <c r="C401" s="88"/>
      <c r="D401" s="88"/>
      <c r="K401" s="176"/>
    </row>
    <row r="402" spans="3:11" ht="12.75" customHeight="1" x14ac:dyDescent="0.15">
      <c r="C402" s="88"/>
      <c r="D402" s="88"/>
      <c r="K402" s="176"/>
    </row>
    <row r="403" spans="3:11" ht="12.75" customHeight="1" x14ac:dyDescent="0.15">
      <c r="C403" s="88"/>
      <c r="D403" s="88"/>
      <c r="K403" s="176"/>
    </row>
    <row r="404" spans="3:11" ht="12.75" customHeight="1" x14ac:dyDescent="0.15">
      <c r="C404" s="88"/>
      <c r="D404" s="88"/>
      <c r="K404" s="176"/>
    </row>
    <row r="405" spans="3:11" ht="12.75" customHeight="1" x14ac:dyDescent="0.15">
      <c r="C405" s="88"/>
      <c r="D405" s="88"/>
      <c r="K405" s="176"/>
    </row>
    <row r="406" spans="3:11" ht="12.75" customHeight="1" x14ac:dyDescent="0.15">
      <c r="C406" s="88"/>
      <c r="D406" s="88"/>
      <c r="K406" s="176"/>
    </row>
    <row r="407" spans="3:11" ht="12.75" customHeight="1" x14ac:dyDescent="0.15">
      <c r="C407" s="88"/>
      <c r="D407" s="88"/>
      <c r="K407" s="176"/>
    </row>
    <row r="408" spans="3:11" ht="12.75" customHeight="1" x14ac:dyDescent="0.15">
      <c r="C408" s="88"/>
      <c r="D408" s="88"/>
      <c r="K408" s="176"/>
    </row>
    <row r="409" spans="3:11" ht="12.75" customHeight="1" x14ac:dyDescent="0.15">
      <c r="C409" s="88"/>
      <c r="D409" s="88"/>
      <c r="K409" s="176"/>
    </row>
    <row r="410" spans="3:11" ht="12.75" customHeight="1" x14ac:dyDescent="0.15">
      <c r="C410" s="88"/>
      <c r="D410" s="88"/>
      <c r="K410" s="176"/>
    </row>
    <row r="411" spans="3:11" ht="12.75" customHeight="1" x14ac:dyDescent="0.15">
      <c r="C411" s="88"/>
      <c r="D411" s="88"/>
      <c r="K411" s="176"/>
    </row>
    <row r="412" spans="3:11" ht="12.75" customHeight="1" x14ac:dyDescent="0.15">
      <c r="C412" s="88"/>
      <c r="D412" s="88"/>
      <c r="K412" s="176"/>
    </row>
    <row r="413" spans="3:11" ht="12.75" customHeight="1" x14ac:dyDescent="0.15">
      <c r="C413" s="88"/>
      <c r="D413" s="88"/>
      <c r="K413" s="176"/>
    </row>
    <row r="414" spans="3:11" ht="12.75" customHeight="1" x14ac:dyDescent="0.15">
      <c r="C414" s="88"/>
      <c r="D414" s="88"/>
      <c r="K414" s="176"/>
    </row>
    <row r="415" spans="3:11" ht="12.75" customHeight="1" x14ac:dyDescent="0.15">
      <c r="C415" s="88"/>
      <c r="D415" s="88"/>
      <c r="K415" s="176"/>
    </row>
    <row r="416" spans="3:11" ht="12.75" customHeight="1" x14ac:dyDescent="0.15">
      <c r="C416" s="88"/>
      <c r="D416" s="88"/>
      <c r="K416" s="176"/>
    </row>
    <row r="417" spans="3:11" ht="12.75" customHeight="1" x14ac:dyDescent="0.15">
      <c r="C417" s="88"/>
      <c r="D417" s="88"/>
      <c r="K417" s="176"/>
    </row>
    <row r="418" spans="3:11" ht="12.75" customHeight="1" x14ac:dyDescent="0.15">
      <c r="C418" s="88"/>
      <c r="D418" s="88"/>
      <c r="K418" s="176"/>
    </row>
    <row r="419" spans="3:11" ht="12.75" customHeight="1" x14ac:dyDescent="0.15">
      <c r="C419" s="88"/>
      <c r="D419" s="88"/>
      <c r="K419" s="176"/>
    </row>
    <row r="420" spans="3:11" ht="12.75" customHeight="1" x14ac:dyDescent="0.15">
      <c r="C420" s="88"/>
      <c r="D420" s="88"/>
      <c r="K420" s="176"/>
    </row>
    <row r="421" spans="3:11" ht="12.75" customHeight="1" x14ac:dyDescent="0.15">
      <c r="C421" s="88"/>
      <c r="D421" s="88"/>
      <c r="K421" s="176"/>
    </row>
    <row r="422" spans="3:11" ht="12.75" customHeight="1" x14ac:dyDescent="0.15">
      <c r="C422" s="88"/>
      <c r="D422" s="88"/>
      <c r="K422" s="176"/>
    </row>
    <row r="423" spans="3:11" ht="12.75" customHeight="1" x14ac:dyDescent="0.15">
      <c r="C423" s="88"/>
      <c r="D423" s="88"/>
      <c r="K423" s="176"/>
    </row>
    <row r="424" spans="3:11" ht="12.75" customHeight="1" x14ac:dyDescent="0.15">
      <c r="C424" s="88"/>
      <c r="D424" s="88"/>
      <c r="K424" s="176"/>
    </row>
    <row r="425" spans="3:11" ht="12.75" customHeight="1" x14ac:dyDescent="0.15">
      <c r="C425" s="88"/>
      <c r="D425" s="88"/>
      <c r="K425" s="176"/>
    </row>
    <row r="426" spans="3:11" ht="12.75" customHeight="1" x14ac:dyDescent="0.15">
      <c r="C426" s="88"/>
      <c r="D426" s="88"/>
      <c r="K426" s="176"/>
    </row>
    <row r="427" spans="3:11" ht="12.75" customHeight="1" x14ac:dyDescent="0.15">
      <c r="C427" s="88"/>
      <c r="D427" s="88"/>
      <c r="K427" s="176"/>
    </row>
    <row r="428" spans="3:11" ht="12.75" customHeight="1" x14ac:dyDescent="0.15">
      <c r="C428" s="88"/>
      <c r="D428" s="88"/>
      <c r="K428" s="176"/>
    </row>
    <row r="429" spans="3:11" ht="12.75" customHeight="1" x14ac:dyDescent="0.15">
      <c r="C429" s="88"/>
      <c r="D429" s="88"/>
      <c r="K429" s="176"/>
    </row>
    <row r="430" spans="3:11" ht="12.75" customHeight="1" x14ac:dyDescent="0.15">
      <c r="C430" s="88"/>
      <c r="D430" s="88"/>
      <c r="K430" s="176"/>
    </row>
    <row r="431" spans="3:11" ht="12.75" customHeight="1" x14ac:dyDescent="0.15">
      <c r="C431" s="88"/>
      <c r="D431" s="88"/>
      <c r="K431" s="176"/>
    </row>
    <row r="432" spans="3:11" ht="12.75" customHeight="1" x14ac:dyDescent="0.15">
      <c r="C432" s="88"/>
      <c r="D432" s="88"/>
      <c r="K432" s="176"/>
    </row>
    <row r="433" spans="3:11" ht="12.75" customHeight="1" x14ac:dyDescent="0.15">
      <c r="C433" s="88"/>
      <c r="D433" s="88"/>
      <c r="K433" s="176"/>
    </row>
    <row r="434" spans="3:11" ht="12.75" customHeight="1" x14ac:dyDescent="0.15">
      <c r="C434" s="88"/>
      <c r="D434" s="88"/>
      <c r="K434" s="176"/>
    </row>
    <row r="435" spans="3:11" ht="12.75" customHeight="1" x14ac:dyDescent="0.15">
      <c r="C435" s="88"/>
      <c r="D435" s="88"/>
      <c r="K435" s="176"/>
    </row>
    <row r="436" spans="3:11" ht="12.75" customHeight="1" x14ac:dyDescent="0.15">
      <c r="C436" s="88"/>
      <c r="D436" s="88"/>
      <c r="K436" s="176"/>
    </row>
    <row r="437" spans="3:11" ht="12.75" customHeight="1" x14ac:dyDescent="0.15">
      <c r="C437" s="88"/>
      <c r="D437" s="88"/>
      <c r="K437" s="176"/>
    </row>
    <row r="438" spans="3:11" ht="12.75" customHeight="1" x14ac:dyDescent="0.15">
      <c r="C438" s="88"/>
      <c r="D438" s="88"/>
      <c r="K438" s="176"/>
    </row>
    <row r="439" spans="3:11" ht="12.75" customHeight="1" x14ac:dyDescent="0.15">
      <c r="C439" s="88"/>
      <c r="D439" s="88"/>
      <c r="K439" s="176"/>
    </row>
    <row r="440" spans="3:11" ht="12.75" customHeight="1" x14ac:dyDescent="0.15">
      <c r="C440" s="88"/>
      <c r="D440" s="88"/>
      <c r="K440" s="176"/>
    </row>
    <row r="441" spans="3:11" ht="12.75" customHeight="1" x14ac:dyDescent="0.15">
      <c r="C441" s="88"/>
      <c r="D441" s="88"/>
      <c r="K441" s="176"/>
    </row>
    <row r="442" spans="3:11" ht="12.75" customHeight="1" x14ac:dyDescent="0.15">
      <c r="C442" s="88"/>
      <c r="D442" s="88"/>
      <c r="K442" s="176"/>
    </row>
    <row r="443" spans="3:11" ht="12.75" customHeight="1" x14ac:dyDescent="0.15">
      <c r="C443" s="88"/>
      <c r="D443" s="88"/>
      <c r="K443" s="176"/>
    </row>
    <row r="444" spans="3:11" ht="12.75" customHeight="1" x14ac:dyDescent="0.15">
      <c r="C444" s="88"/>
      <c r="D444" s="88"/>
      <c r="K444" s="176"/>
    </row>
    <row r="445" spans="3:11" ht="12.75" customHeight="1" x14ac:dyDescent="0.15">
      <c r="C445" s="88"/>
      <c r="D445" s="88"/>
      <c r="K445" s="176"/>
    </row>
    <row r="446" spans="3:11" ht="12.75" customHeight="1" x14ac:dyDescent="0.15">
      <c r="C446" s="88"/>
      <c r="D446" s="88"/>
      <c r="K446" s="176"/>
    </row>
    <row r="447" spans="3:11" ht="12.75" customHeight="1" x14ac:dyDescent="0.15">
      <c r="C447" s="88"/>
      <c r="D447" s="88"/>
      <c r="K447" s="176"/>
    </row>
    <row r="448" spans="3:11" ht="12.75" customHeight="1" x14ac:dyDescent="0.15">
      <c r="C448" s="88"/>
      <c r="D448" s="88"/>
      <c r="K448" s="176"/>
    </row>
    <row r="449" spans="3:11" ht="12.75" customHeight="1" x14ac:dyDescent="0.15">
      <c r="C449" s="88"/>
      <c r="D449" s="88"/>
      <c r="K449" s="176"/>
    </row>
    <row r="450" spans="3:11" ht="12.75" customHeight="1" x14ac:dyDescent="0.15">
      <c r="C450" s="88"/>
      <c r="D450" s="88"/>
      <c r="K450" s="176"/>
    </row>
    <row r="451" spans="3:11" ht="12.75" customHeight="1" x14ac:dyDescent="0.15">
      <c r="C451" s="88"/>
      <c r="D451" s="88"/>
      <c r="K451" s="176"/>
    </row>
    <row r="452" spans="3:11" ht="12.75" customHeight="1" x14ac:dyDescent="0.15">
      <c r="C452" s="88"/>
      <c r="D452" s="88"/>
      <c r="K452" s="176"/>
    </row>
    <row r="453" spans="3:11" ht="12.75" customHeight="1" x14ac:dyDescent="0.15">
      <c r="C453" s="88"/>
      <c r="D453" s="88"/>
      <c r="K453" s="176"/>
    </row>
    <row r="454" spans="3:11" ht="12.75" customHeight="1" x14ac:dyDescent="0.15">
      <c r="C454" s="88"/>
      <c r="D454" s="88"/>
      <c r="K454" s="176"/>
    </row>
    <row r="455" spans="3:11" ht="12.75" customHeight="1" x14ac:dyDescent="0.15">
      <c r="C455" s="88"/>
      <c r="D455" s="88"/>
      <c r="K455" s="176"/>
    </row>
    <row r="456" spans="3:11" ht="12.75" customHeight="1" x14ac:dyDescent="0.15">
      <c r="C456" s="88"/>
      <c r="D456" s="88"/>
      <c r="K456" s="176"/>
    </row>
    <row r="457" spans="3:11" ht="12.75" customHeight="1" x14ac:dyDescent="0.15">
      <c r="C457" s="88"/>
      <c r="D457" s="88"/>
      <c r="K457" s="176"/>
    </row>
    <row r="458" spans="3:11" ht="12.75" customHeight="1" x14ac:dyDescent="0.15">
      <c r="C458" s="88"/>
      <c r="D458" s="88"/>
      <c r="K458" s="176"/>
    </row>
    <row r="459" spans="3:11" ht="12.75" customHeight="1" x14ac:dyDescent="0.15">
      <c r="C459" s="88"/>
      <c r="D459" s="88"/>
      <c r="K459" s="176"/>
    </row>
    <row r="460" spans="3:11" ht="12.75" customHeight="1" x14ac:dyDescent="0.15">
      <c r="C460" s="88"/>
      <c r="D460" s="88"/>
      <c r="K460" s="176"/>
    </row>
    <row r="461" spans="3:11" ht="12.75" customHeight="1" x14ac:dyDescent="0.15">
      <c r="C461" s="88"/>
      <c r="D461" s="88"/>
      <c r="K461" s="176"/>
    </row>
    <row r="462" spans="3:11" ht="12.75" customHeight="1" x14ac:dyDescent="0.15">
      <c r="C462" s="88"/>
      <c r="D462" s="88"/>
      <c r="K462" s="176"/>
    </row>
    <row r="463" spans="3:11" ht="12.75" customHeight="1" x14ac:dyDescent="0.15">
      <c r="C463" s="88"/>
      <c r="D463" s="88"/>
      <c r="K463" s="176"/>
    </row>
    <row r="464" spans="3:11" ht="12.75" customHeight="1" x14ac:dyDescent="0.15">
      <c r="C464" s="88"/>
      <c r="D464" s="88"/>
      <c r="K464" s="176"/>
    </row>
    <row r="465" spans="3:11" ht="12.75" customHeight="1" x14ac:dyDescent="0.15">
      <c r="C465" s="88"/>
      <c r="D465" s="88"/>
      <c r="K465" s="176"/>
    </row>
    <row r="466" spans="3:11" ht="12.75" customHeight="1" x14ac:dyDescent="0.15">
      <c r="C466" s="88"/>
      <c r="D466" s="88"/>
      <c r="K466" s="176"/>
    </row>
    <row r="467" spans="3:11" ht="12.75" customHeight="1" x14ac:dyDescent="0.15">
      <c r="C467" s="88"/>
      <c r="D467" s="88"/>
      <c r="K467" s="176"/>
    </row>
    <row r="468" spans="3:11" ht="12.75" customHeight="1" x14ac:dyDescent="0.15">
      <c r="C468" s="88"/>
      <c r="D468" s="88"/>
      <c r="K468" s="176"/>
    </row>
    <row r="469" spans="3:11" ht="12.75" customHeight="1" x14ac:dyDescent="0.15">
      <c r="C469" s="88"/>
      <c r="D469" s="88"/>
      <c r="K469" s="176"/>
    </row>
    <row r="470" spans="3:11" ht="12.75" customHeight="1" x14ac:dyDescent="0.15">
      <c r="C470" s="88"/>
      <c r="D470" s="88"/>
      <c r="K470" s="176"/>
    </row>
    <row r="471" spans="3:11" ht="12.75" customHeight="1" x14ac:dyDescent="0.15">
      <c r="C471" s="88"/>
      <c r="D471" s="88"/>
      <c r="K471" s="176"/>
    </row>
    <row r="472" spans="3:11" ht="12.75" customHeight="1" x14ac:dyDescent="0.15">
      <c r="C472" s="88"/>
      <c r="D472" s="88"/>
      <c r="K472" s="176"/>
    </row>
    <row r="473" spans="3:11" ht="12.75" customHeight="1" x14ac:dyDescent="0.15">
      <c r="C473" s="88"/>
      <c r="D473" s="88"/>
      <c r="K473" s="176"/>
    </row>
    <row r="474" spans="3:11" ht="12.75" customHeight="1" x14ac:dyDescent="0.15">
      <c r="C474" s="88"/>
      <c r="D474" s="88"/>
      <c r="K474" s="176"/>
    </row>
    <row r="475" spans="3:11" ht="12.75" customHeight="1" x14ac:dyDescent="0.15">
      <c r="C475" s="88"/>
      <c r="D475" s="88"/>
      <c r="K475" s="176"/>
    </row>
    <row r="476" spans="3:11" ht="12.75" customHeight="1" x14ac:dyDescent="0.15">
      <c r="C476" s="88"/>
      <c r="D476" s="88"/>
      <c r="K476" s="176"/>
    </row>
    <row r="477" spans="3:11" ht="12.75" customHeight="1" x14ac:dyDescent="0.15">
      <c r="C477" s="88"/>
      <c r="D477" s="88"/>
      <c r="K477" s="176"/>
    </row>
    <row r="478" spans="3:11" ht="12.75" customHeight="1" x14ac:dyDescent="0.15">
      <c r="C478" s="88"/>
      <c r="D478" s="88"/>
      <c r="K478" s="176"/>
    </row>
    <row r="479" spans="3:11" ht="12.75" customHeight="1" x14ac:dyDescent="0.15">
      <c r="C479" s="88"/>
      <c r="D479" s="88"/>
      <c r="K479" s="176"/>
    </row>
    <row r="480" spans="3:11" ht="12.75" customHeight="1" x14ac:dyDescent="0.15">
      <c r="C480" s="88"/>
      <c r="D480" s="88"/>
      <c r="K480" s="176"/>
    </row>
    <row r="481" spans="3:11" ht="12.75" customHeight="1" x14ac:dyDescent="0.15">
      <c r="C481" s="88"/>
      <c r="D481" s="88"/>
      <c r="K481" s="176"/>
    </row>
    <row r="482" spans="3:11" ht="12.75" customHeight="1" x14ac:dyDescent="0.15">
      <c r="C482" s="88"/>
      <c r="D482" s="88"/>
      <c r="K482" s="176"/>
    </row>
    <row r="483" spans="3:11" ht="12.75" customHeight="1" x14ac:dyDescent="0.15">
      <c r="C483" s="88"/>
      <c r="D483" s="88"/>
      <c r="K483" s="176"/>
    </row>
    <row r="484" spans="3:11" ht="12.75" customHeight="1" x14ac:dyDescent="0.15">
      <c r="C484" s="88"/>
      <c r="D484" s="88"/>
      <c r="K484" s="176"/>
    </row>
    <row r="485" spans="3:11" ht="12.75" customHeight="1" x14ac:dyDescent="0.15">
      <c r="C485" s="88"/>
      <c r="D485" s="88"/>
      <c r="K485" s="176"/>
    </row>
    <row r="486" spans="3:11" ht="12.75" customHeight="1" x14ac:dyDescent="0.15">
      <c r="C486" s="88"/>
      <c r="D486" s="88"/>
      <c r="K486" s="176"/>
    </row>
    <row r="487" spans="3:11" ht="12.75" customHeight="1" x14ac:dyDescent="0.15">
      <c r="C487" s="88"/>
      <c r="D487" s="88"/>
      <c r="K487" s="176"/>
    </row>
    <row r="488" spans="3:11" ht="12.75" customHeight="1" x14ac:dyDescent="0.15">
      <c r="C488" s="88"/>
      <c r="D488" s="88"/>
      <c r="K488" s="176"/>
    </row>
    <row r="489" spans="3:11" ht="12.75" customHeight="1" x14ac:dyDescent="0.15">
      <c r="C489" s="88"/>
      <c r="D489" s="88"/>
      <c r="K489" s="176"/>
    </row>
    <row r="490" spans="3:11" ht="12.75" customHeight="1" x14ac:dyDescent="0.15">
      <c r="C490" s="88"/>
      <c r="D490" s="88"/>
      <c r="K490" s="176"/>
    </row>
    <row r="491" spans="3:11" ht="12.75" customHeight="1" x14ac:dyDescent="0.15">
      <c r="C491" s="88"/>
      <c r="D491" s="88"/>
      <c r="K491" s="176"/>
    </row>
    <row r="492" spans="3:11" ht="12.75" customHeight="1" x14ac:dyDescent="0.15">
      <c r="C492" s="88"/>
      <c r="D492" s="88"/>
      <c r="K492" s="176"/>
    </row>
    <row r="493" spans="3:11" ht="12.75" customHeight="1" x14ac:dyDescent="0.15">
      <c r="C493" s="88"/>
      <c r="D493" s="88"/>
      <c r="K493" s="176"/>
    </row>
    <row r="494" spans="3:11" ht="12.75" customHeight="1" x14ac:dyDescent="0.15">
      <c r="C494" s="88"/>
      <c r="D494" s="88"/>
      <c r="K494" s="176"/>
    </row>
    <row r="495" spans="3:11" ht="12.75" customHeight="1" x14ac:dyDescent="0.15">
      <c r="C495" s="88"/>
      <c r="D495" s="88"/>
      <c r="K495" s="176"/>
    </row>
    <row r="496" spans="3:11" ht="12.75" customHeight="1" x14ac:dyDescent="0.15">
      <c r="C496" s="88"/>
      <c r="D496" s="88"/>
      <c r="K496" s="176"/>
    </row>
    <row r="497" spans="3:11" ht="12.75" customHeight="1" x14ac:dyDescent="0.15">
      <c r="C497" s="88"/>
      <c r="D497" s="88"/>
      <c r="K497" s="176"/>
    </row>
    <row r="498" spans="3:11" ht="12.75" customHeight="1" x14ac:dyDescent="0.15">
      <c r="C498" s="88"/>
      <c r="D498" s="88"/>
      <c r="K498" s="176"/>
    </row>
    <row r="499" spans="3:11" ht="12.75" customHeight="1" x14ac:dyDescent="0.15">
      <c r="C499" s="88"/>
      <c r="D499" s="88"/>
      <c r="K499" s="176"/>
    </row>
    <row r="500" spans="3:11" ht="12.75" customHeight="1" x14ac:dyDescent="0.15">
      <c r="C500" s="88"/>
      <c r="D500" s="88"/>
      <c r="K500" s="176"/>
    </row>
    <row r="501" spans="3:11" ht="12.75" customHeight="1" x14ac:dyDescent="0.15">
      <c r="C501" s="88"/>
      <c r="D501" s="88"/>
      <c r="K501" s="176"/>
    </row>
    <row r="502" spans="3:11" ht="12.75" customHeight="1" x14ac:dyDescent="0.15">
      <c r="C502" s="88"/>
      <c r="D502" s="88"/>
      <c r="K502" s="176"/>
    </row>
    <row r="503" spans="3:11" ht="12.75" customHeight="1" x14ac:dyDescent="0.15">
      <c r="C503" s="88"/>
      <c r="D503" s="88"/>
      <c r="K503" s="176"/>
    </row>
    <row r="504" spans="3:11" ht="12.75" customHeight="1" x14ac:dyDescent="0.15">
      <c r="C504" s="88"/>
      <c r="D504" s="88"/>
      <c r="K504" s="176"/>
    </row>
    <row r="505" spans="3:11" ht="12.75" customHeight="1" x14ac:dyDescent="0.15">
      <c r="C505" s="88"/>
      <c r="D505" s="88"/>
      <c r="K505" s="176"/>
    </row>
    <row r="506" spans="3:11" ht="12.75" customHeight="1" x14ac:dyDescent="0.15">
      <c r="C506" s="88"/>
      <c r="D506" s="88"/>
      <c r="K506" s="176"/>
    </row>
    <row r="507" spans="3:11" ht="12.75" customHeight="1" x14ac:dyDescent="0.15">
      <c r="C507" s="88"/>
      <c r="D507" s="88"/>
      <c r="K507" s="176"/>
    </row>
    <row r="508" spans="3:11" ht="12.75" customHeight="1" x14ac:dyDescent="0.15">
      <c r="C508" s="88"/>
      <c r="D508" s="88"/>
      <c r="K508" s="176"/>
    </row>
    <row r="509" spans="3:11" ht="12.75" customHeight="1" x14ac:dyDescent="0.15">
      <c r="C509" s="88"/>
      <c r="D509" s="88"/>
      <c r="K509" s="176"/>
    </row>
    <row r="510" spans="3:11" ht="12.75" customHeight="1" x14ac:dyDescent="0.15">
      <c r="C510" s="88"/>
      <c r="D510" s="88"/>
      <c r="K510" s="176"/>
    </row>
    <row r="511" spans="3:11" ht="12.75" customHeight="1" x14ac:dyDescent="0.15">
      <c r="C511" s="88"/>
      <c r="D511" s="88"/>
      <c r="K511" s="176"/>
    </row>
    <row r="512" spans="3:11" ht="12.75" customHeight="1" x14ac:dyDescent="0.15">
      <c r="C512" s="88"/>
      <c r="D512" s="88"/>
      <c r="K512" s="176"/>
    </row>
    <row r="513" spans="3:11" ht="12.75" customHeight="1" x14ac:dyDescent="0.15">
      <c r="C513" s="88"/>
      <c r="D513" s="88"/>
      <c r="K513" s="176"/>
    </row>
    <row r="514" spans="3:11" ht="12.75" customHeight="1" x14ac:dyDescent="0.15">
      <c r="C514" s="88"/>
      <c r="D514" s="88"/>
      <c r="K514" s="176"/>
    </row>
    <row r="515" spans="3:11" ht="12.75" customHeight="1" x14ac:dyDescent="0.15">
      <c r="C515" s="88"/>
      <c r="D515" s="88"/>
      <c r="K515" s="176"/>
    </row>
    <row r="516" spans="3:11" ht="12.75" customHeight="1" x14ac:dyDescent="0.15">
      <c r="C516" s="88"/>
      <c r="D516" s="88"/>
      <c r="K516" s="176"/>
    </row>
    <row r="517" spans="3:11" ht="12.75" customHeight="1" x14ac:dyDescent="0.15">
      <c r="C517" s="88"/>
      <c r="D517" s="88"/>
      <c r="K517" s="176"/>
    </row>
    <row r="518" spans="3:11" ht="12.75" customHeight="1" x14ac:dyDescent="0.15">
      <c r="C518" s="88"/>
      <c r="D518" s="88"/>
      <c r="K518" s="176"/>
    </row>
    <row r="519" spans="3:11" ht="12.75" customHeight="1" x14ac:dyDescent="0.15">
      <c r="C519" s="88"/>
      <c r="D519" s="88"/>
      <c r="K519" s="176"/>
    </row>
    <row r="520" spans="3:11" ht="12.75" customHeight="1" x14ac:dyDescent="0.15">
      <c r="C520" s="88"/>
      <c r="D520" s="88"/>
      <c r="K520" s="176"/>
    </row>
    <row r="521" spans="3:11" ht="12.75" customHeight="1" x14ac:dyDescent="0.15">
      <c r="C521" s="88"/>
      <c r="D521" s="88"/>
      <c r="K521" s="176"/>
    </row>
    <row r="522" spans="3:11" ht="12.75" customHeight="1" x14ac:dyDescent="0.15">
      <c r="C522" s="88"/>
      <c r="D522" s="88"/>
      <c r="K522" s="176"/>
    </row>
    <row r="523" spans="3:11" ht="12.75" customHeight="1" x14ac:dyDescent="0.15">
      <c r="C523" s="88"/>
      <c r="D523" s="88"/>
      <c r="K523" s="176"/>
    </row>
    <row r="524" spans="3:11" ht="12.75" customHeight="1" x14ac:dyDescent="0.15">
      <c r="C524" s="88"/>
      <c r="D524" s="88"/>
      <c r="K524" s="176"/>
    </row>
    <row r="525" spans="3:11" ht="12.75" customHeight="1" x14ac:dyDescent="0.15">
      <c r="C525" s="88"/>
      <c r="D525" s="88"/>
      <c r="K525" s="176"/>
    </row>
    <row r="526" spans="3:11" ht="12.75" customHeight="1" x14ac:dyDescent="0.15">
      <c r="C526" s="88"/>
      <c r="D526" s="88"/>
      <c r="K526" s="176"/>
    </row>
    <row r="527" spans="3:11" ht="12.75" customHeight="1" x14ac:dyDescent="0.15">
      <c r="C527" s="88"/>
      <c r="D527" s="88"/>
      <c r="K527" s="176"/>
    </row>
    <row r="528" spans="3:11" ht="12.75" customHeight="1" x14ac:dyDescent="0.15">
      <c r="C528" s="88"/>
      <c r="D528" s="88"/>
      <c r="K528" s="176"/>
    </row>
    <row r="529" spans="3:11" ht="12.75" customHeight="1" x14ac:dyDescent="0.15">
      <c r="C529" s="88"/>
      <c r="D529" s="88"/>
      <c r="K529" s="176"/>
    </row>
    <row r="530" spans="3:11" ht="12.75" customHeight="1" x14ac:dyDescent="0.15">
      <c r="C530" s="88"/>
      <c r="D530" s="88"/>
      <c r="K530" s="176"/>
    </row>
    <row r="531" spans="3:11" ht="12.75" customHeight="1" x14ac:dyDescent="0.15">
      <c r="C531" s="88"/>
      <c r="D531" s="88"/>
      <c r="K531" s="176"/>
    </row>
    <row r="532" spans="3:11" ht="12.75" customHeight="1" x14ac:dyDescent="0.15">
      <c r="C532" s="88"/>
      <c r="D532" s="88"/>
      <c r="K532" s="176"/>
    </row>
    <row r="533" spans="3:11" ht="12.75" customHeight="1" x14ac:dyDescent="0.15">
      <c r="C533" s="88"/>
      <c r="D533" s="88"/>
      <c r="K533" s="176"/>
    </row>
    <row r="534" spans="3:11" ht="12.75" customHeight="1" x14ac:dyDescent="0.15">
      <c r="C534" s="88"/>
      <c r="D534" s="88"/>
      <c r="K534" s="176"/>
    </row>
    <row r="535" spans="3:11" ht="12.75" customHeight="1" x14ac:dyDescent="0.15">
      <c r="C535" s="88"/>
      <c r="D535" s="88"/>
      <c r="K535" s="176"/>
    </row>
    <row r="536" spans="3:11" ht="12.75" customHeight="1" x14ac:dyDescent="0.15">
      <c r="C536" s="88"/>
      <c r="D536" s="88"/>
      <c r="K536" s="176"/>
    </row>
    <row r="537" spans="3:11" ht="12.75" customHeight="1" x14ac:dyDescent="0.15">
      <c r="C537" s="88"/>
      <c r="D537" s="88"/>
      <c r="K537" s="176"/>
    </row>
    <row r="538" spans="3:11" ht="12.75" customHeight="1" x14ac:dyDescent="0.15">
      <c r="C538" s="88"/>
      <c r="D538" s="88"/>
      <c r="K538" s="176"/>
    </row>
    <row r="539" spans="3:11" ht="12.75" customHeight="1" x14ac:dyDescent="0.15">
      <c r="C539" s="88"/>
      <c r="D539" s="88"/>
      <c r="K539" s="176"/>
    </row>
    <row r="540" spans="3:11" ht="12.75" customHeight="1" x14ac:dyDescent="0.15">
      <c r="C540" s="88"/>
      <c r="D540" s="88"/>
      <c r="K540" s="176"/>
    </row>
    <row r="541" spans="3:11" ht="12.75" customHeight="1" x14ac:dyDescent="0.15">
      <c r="C541" s="88"/>
      <c r="D541" s="88"/>
      <c r="K541" s="176"/>
    </row>
    <row r="542" spans="3:11" ht="12.75" customHeight="1" x14ac:dyDescent="0.15">
      <c r="C542" s="88"/>
      <c r="D542" s="88"/>
      <c r="K542" s="176"/>
    </row>
    <row r="543" spans="3:11" ht="12.75" customHeight="1" x14ac:dyDescent="0.15">
      <c r="C543" s="88"/>
      <c r="D543" s="88"/>
      <c r="K543" s="176"/>
    </row>
    <row r="544" spans="3:11" ht="12.75" customHeight="1" x14ac:dyDescent="0.15">
      <c r="C544" s="88"/>
      <c r="D544" s="88"/>
      <c r="K544" s="176"/>
    </row>
    <row r="545" spans="3:11" ht="12.75" customHeight="1" x14ac:dyDescent="0.15">
      <c r="C545" s="88"/>
      <c r="D545" s="88"/>
      <c r="K545" s="176"/>
    </row>
    <row r="546" spans="3:11" ht="12.75" customHeight="1" x14ac:dyDescent="0.15">
      <c r="C546" s="88"/>
      <c r="D546" s="88"/>
      <c r="K546" s="176"/>
    </row>
    <row r="547" spans="3:11" ht="12.75" customHeight="1" x14ac:dyDescent="0.15">
      <c r="C547" s="88"/>
      <c r="D547" s="88"/>
      <c r="K547" s="176"/>
    </row>
    <row r="548" spans="3:11" ht="12.75" customHeight="1" x14ac:dyDescent="0.15">
      <c r="C548" s="88"/>
      <c r="D548" s="88"/>
      <c r="K548" s="176"/>
    </row>
    <row r="549" spans="3:11" ht="12.75" customHeight="1" x14ac:dyDescent="0.15">
      <c r="C549" s="88"/>
      <c r="D549" s="88"/>
      <c r="K549" s="176"/>
    </row>
    <row r="550" spans="3:11" ht="12.75" customHeight="1" x14ac:dyDescent="0.15">
      <c r="C550" s="88"/>
      <c r="D550" s="88"/>
      <c r="K550" s="176"/>
    </row>
    <row r="551" spans="3:11" ht="12.75" customHeight="1" x14ac:dyDescent="0.15">
      <c r="C551" s="88"/>
      <c r="D551" s="88"/>
      <c r="K551" s="176"/>
    </row>
    <row r="552" spans="3:11" ht="12.75" customHeight="1" x14ac:dyDescent="0.15">
      <c r="C552" s="88"/>
      <c r="D552" s="88"/>
      <c r="K552" s="176"/>
    </row>
    <row r="553" spans="3:11" ht="12.75" customHeight="1" x14ac:dyDescent="0.15">
      <c r="C553" s="88"/>
      <c r="D553" s="88"/>
      <c r="K553" s="176"/>
    </row>
    <row r="554" spans="3:11" ht="12.75" customHeight="1" x14ac:dyDescent="0.15">
      <c r="C554" s="88"/>
      <c r="D554" s="88"/>
      <c r="K554" s="176"/>
    </row>
    <row r="555" spans="3:11" ht="12.75" customHeight="1" x14ac:dyDescent="0.15">
      <c r="C555" s="88"/>
      <c r="D555" s="88"/>
      <c r="K555" s="176"/>
    </row>
    <row r="556" spans="3:11" ht="12.75" customHeight="1" x14ac:dyDescent="0.15">
      <c r="C556" s="88"/>
      <c r="D556" s="88"/>
      <c r="K556" s="176"/>
    </row>
    <row r="557" spans="3:11" ht="12.75" customHeight="1" x14ac:dyDescent="0.15">
      <c r="C557" s="88"/>
      <c r="D557" s="88"/>
      <c r="K557" s="176"/>
    </row>
    <row r="558" spans="3:11" ht="12.75" customHeight="1" x14ac:dyDescent="0.15">
      <c r="C558" s="88"/>
      <c r="D558" s="88"/>
      <c r="K558" s="176"/>
    </row>
    <row r="559" spans="3:11" ht="12.75" customHeight="1" x14ac:dyDescent="0.15">
      <c r="C559" s="88"/>
      <c r="D559" s="88"/>
      <c r="K559" s="176"/>
    </row>
    <row r="560" spans="3:11" ht="12.75" customHeight="1" x14ac:dyDescent="0.15">
      <c r="C560" s="88"/>
      <c r="D560" s="88"/>
      <c r="K560" s="176"/>
    </row>
    <row r="561" spans="3:11" ht="12.75" customHeight="1" x14ac:dyDescent="0.15">
      <c r="C561" s="88"/>
      <c r="D561" s="88"/>
      <c r="K561" s="176"/>
    </row>
    <row r="562" spans="3:11" ht="12.75" customHeight="1" x14ac:dyDescent="0.15">
      <c r="C562" s="88"/>
      <c r="D562" s="88"/>
      <c r="K562" s="176"/>
    </row>
    <row r="563" spans="3:11" ht="12.75" customHeight="1" x14ac:dyDescent="0.15">
      <c r="C563" s="88"/>
      <c r="D563" s="88"/>
      <c r="K563" s="176"/>
    </row>
    <row r="564" spans="3:11" ht="12.75" customHeight="1" x14ac:dyDescent="0.15">
      <c r="C564" s="88"/>
      <c r="D564" s="88"/>
      <c r="K564" s="176"/>
    </row>
    <row r="565" spans="3:11" ht="12.75" customHeight="1" x14ac:dyDescent="0.15">
      <c r="C565" s="88"/>
      <c r="D565" s="88"/>
      <c r="K565" s="176"/>
    </row>
    <row r="566" spans="3:11" ht="12.75" customHeight="1" x14ac:dyDescent="0.15">
      <c r="C566" s="88"/>
      <c r="D566" s="88"/>
      <c r="K566" s="176"/>
    </row>
    <row r="567" spans="3:11" ht="12.75" customHeight="1" x14ac:dyDescent="0.15">
      <c r="C567" s="88"/>
      <c r="D567" s="88"/>
      <c r="K567" s="176"/>
    </row>
    <row r="568" spans="3:11" ht="12.75" customHeight="1" x14ac:dyDescent="0.15">
      <c r="C568" s="88"/>
      <c r="D568" s="88"/>
      <c r="K568" s="176"/>
    </row>
    <row r="569" spans="3:11" ht="12.75" customHeight="1" x14ac:dyDescent="0.15">
      <c r="C569" s="88"/>
      <c r="D569" s="88"/>
      <c r="K569" s="176"/>
    </row>
    <row r="570" spans="3:11" ht="12.75" customHeight="1" x14ac:dyDescent="0.15">
      <c r="C570" s="88"/>
      <c r="D570" s="88"/>
      <c r="K570" s="176"/>
    </row>
    <row r="571" spans="3:11" ht="12.75" customHeight="1" x14ac:dyDescent="0.15">
      <c r="C571" s="88"/>
      <c r="D571" s="88"/>
      <c r="K571" s="176"/>
    </row>
    <row r="572" spans="3:11" ht="12.75" customHeight="1" x14ac:dyDescent="0.15">
      <c r="C572" s="88"/>
      <c r="D572" s="88"/>
      <c r="K572" s="176"/>
    </row>
    <row r="573" spans="3:11" ht="12.75" customHeight="1" x14ac:dyDescent="0.15">
      <c r="C573" s="88"/>
      <c r="D573" s="88"/>
      <c r="K573" s="176"/>
    </row>
    <row r="574" spans="3:11" ht="12.75" customHeight="1" x14ac:dyDescent="0.15">
      <c r="C574" s="88"/>
      <c r="D574" s="88"/>
      <c r="K574" s="176"/>
    </row>
    <row r="575" spans="3:11" ht="12.75" customHeight="1" x14ac:dyDescent="0.15">
      <c r="C575" s="88"/>
      <c r="D575" s="88"/>
      <c r="K575" s="176"/>
    </row>
    <row r="576" spans="3:11" ht="12.75" customHeight="1" x14ac:dyDescent="0.15">
      <c r="C576" s="88"/>
      <c r="D576" s="88"/>
      <c r="K576" s="176"/>
    </row>
    <row r="577" spans="3:11" ht="12.75" customHeight="1" x14ac:dyDescent="0.15">
      <c r="C577" s="88"/>
      <c r="D577" s="88"/>
      <c r="K577" s="176"/>
    </row>
    <row r="578" spans="3:11" ht="12.75" customHeight="1" x14ac:dyDescent="0.15">
      <c r="C578" s="88"/>
      <c r="D578" s="88"/>
      <c r="K578" s="176"/>
    </row>
    <row r="579" spans="3:11" ht="12.75" customHeight="1" x14ac:dyDescent="0.15">
      <c r="C579" s="88"/>
      <c r="D579" s="88"/>
      <c r="K579" s="176"/>
    </row>
    <row r="580" spans="3:11" ht="12.75" customHeight="1" x14ac:dyDescent="0.15">
      <c r="C580" s="88"/>
      <c r="D580" s="88"/>
      <c r="K580" s="176"/>
    </row>
    <row r="581" spans="3:11" ht="12.75" customHeight="1" x14ac:dyDescent="0.15">
      <c r="C581" s="88"/>
      <c r="D581" s="88"/>
      <c r="K581" s="176"/>
    </row>
    <row r="582" spans="3:11" ht="12.75" customHeight="1" x14ac:dyDescent="0.15">
      <c r="C582" s="88"/>
      <c r="D582" s="88"/>
      <c r="K582" s="176"/>
    </row>
    <row r="583" spans="3:11" ht="12.75" customHeight="1" x14ac:dyDescent="0.15">
      <c r="C583" s="88"/>
      <c r="D583" s="88"/>
      <c r="K583" s="176"/>
    </row>
    <row r="584" spans="3:11" ht="12.75" customHeight="1" x14ac:dyDescent="0.15">
      <c r="C584" s="88"/>
      <c r="D584" s="88"/>
      <c r="K584" s="176"/>
    </row>
    <row r="585" spans="3:11" ht="12.75" customHeight="1" x14ac:dyDescent="0.15">
      <c r="C585" s="88"/>
      <c r="D585" s="88"/>
      <c r="K585" s="176"/>
    </row>
    <row r="586" spans="3:11" ht="12.75" customHeight="1" x14ac:dyDescent="0.15">
      <c r="C586" s="88"/>
      <c r="D586" s="88"/>
      <c r="K586" s="176"/>
    </row>
    <row r="587" spans="3:11" ht="12.75" customHeight="1" x14ac:dyDescent="0.15">
      <c r="C587" s="88"/>
      <c r="D587" s="88"/>
      <c r="K587" s="176"/>
    </row>
    <row r="588" spans="3:11" ht="12.75" customHeight="1" x14ac:dyDescent="0.15">
      <c r="C588" s="88"/>
      <c r="D588" s="88"/>
      <c r="K588" s="176"/>
    </row>
    <row r="589" spans="3:11" ht="12.75" customHeight="1" x14ac:dyDescent="0.15">
      <c r="C589" s="88"/>
      <c r="D589" s="88"/>
      <c r="K589" s="176"/>
    </row>
    <row r="590" spans="3:11" ht="12.75" customHeight="1" x14ac:dyDescent="0.15">
      <c r="C590" s="88"/>
      <c r="D590" s="88"/>
      <c r="K590" s="176"/>
    </row>
    <row r="591" spans="3:11" ht="12.75" customHeight="1" x14ac:dyDescent="0.15">
      <c r="C591" s="88"/>
      <c r="D591" s="88"/>
      <c r="K591" s="176"/>
    </row>
    <row r="592" spans="3:11" ht="12.75" customHeight="1" x14ac:dyDescent="0.15">
      <c r="C592" s="88"/>
      <c r="D592" s="88"/>
      <c r="K592" s="176"/>
    </row>
    <row r="593" spans="3:11" ht="12.75" customHeight="1" x14ac:dyDescent="0.15">
      <c r="C593" s="88"/>
      <c r="D593" s="88"/>
      <c r="K593" s="176"/>
    </row>
    <row r="594" spans="3:11" ht="12.75" customHeight="1" x14ac:dyDescent="0.15">
      <c r="C594" s="88"/>
      <c r="D594" s="88"/>
      <c r="K594" s="176"/>
    </row>
    <row r="595" spans="3:11" ht="12.75" customHeight="1" x14ac:dyDescent="0.15">
      <c r="C595" s="88"/>
      <c r="D595" s="88"/>
      <c r="K595" s="176"/>
    </row>
    <row r="596" spans="3:11" ht="12.75" customHeight="1" x14ac:dyDescent="0.15">
      <c r="C596" s="88"/>
      <c r="D596" s="88"/>
      <c r="K596" s="176"/>
    </row>
    <row r="597" spans="3:11" ht="12.75" customHeight="1" x14ac:dyDescent="0.15">
      <c r="C597" s="88"/>
      <c r="D597" s="88"/>
      <c r="K597" s="176"/>
    </row>
    <row r="598" spans="3:11" ht="12.75" customHeight="1" x14ac:dyDescent="0.15">
      <c r="C598" s="88"/>
      <c r="D598" s="88"/>
      <c r="K598" s="176"/>
    </row>
    <row r="599" spans="3:11" ht="12.75" customHeight="1" x14ac:dyDescent="0.15">
      <c r="C599" s="88"/>
      <c r="D599" s="88"/>
      <c r="K599" s="176"/>
    </row>
    <row r="600" spans="3:11" ht="12.75" customHeight="1" x14ac:dyDescent="0.15">
      <c r="C600" s="88"/>
      <c r="D600" s="88"/>
      <c r="K600" s="176"/>
    </row>
    <row r="601" spans="3:11" ht="12.75" customHeight="1" x14ac:dyDescent="0.15">
      <c r="C601" s="88"/>
      <c r="D601" s="88"/>
      <c r="K601" s="176"/>
    </row>
    <row r="602" spans="3:11" ht="12.75" customHeight="1" x14ac:dyDescent="0.15">
      <c r="C602" s="88"/>
      <c r="D602" s="88"/>
      <c r="K602" s="176"/>
    </row>
    <row r="603" spans="3:11" ht="12.75" customHeight="1" x14ac:dyDescent="0.15">
      <c r="C603" s="88"/>
      <c r="D603" s="88"/>
      <c r="K603" s="176"/>
    </row>
    <row r="604" spans="3:11" ht="12.75" customHeight="1" x14ac:dyDescent="0.15">
      <c r="C604" s="88"/>
      <c r="D604" s="88"/>
      <c r="K604" s="176"/>
    </row>
    <row r="605" spans="3:11" ht="12.75" customHeight="1" x14ac:dyDescent="0.15">
      <c r="C605" s="88"/>
      <c r="D605" s="88"/>
      <c r="K605" s="176"/>
    </row>
    <row r="606" spans="3:11" ht="12.75" customHeight="1" x14ac:dyDescent="0.15">
      <c r="C606" s="88"/>
      <c r="D606" s="88"/>
      <c r="K606" s="176"/>
    </row>
    <row r="607" spans="3:11" ht="12.75" customHeight="1" x14ac:dyDescent="0.15">
      <c r="C607" s="88"/>
      <c r="D607" s="88"/>
      <c r="K607" s="176"/>
    </row>
    <row r="608" spans="3:11" ht="12.75" customHeight="1" x14ac:dyDescent="0.15">
      <c r="C608" s="88"/>
      <c r="D608" s="88"/>
      <c r="K608" s="176"/>
    </row>
    <row r="609" spans="3:11" ht="12.75" customHeight="1" x14ac:dyDescent="0.15">
      <c r="C609" s="88"/>
      <c r="D609" s="88"/>
      <c r="K609" s="176"/>
    </row>
    <row r="610" spans="3:11" ht="12.75" customHeight="1" x14ac:dyDescent="0.15">
      <c r="C610" s="88"/>
      <c r="D610" s="88"/>
      <c r="K610" s="176"/>
    </row>
    <row r="611" spans="3:11" ht="12.75" customHeight="1" x14ac:dyDescent="0.15">
      <c r="C611" s="88"/>
      <c r="D611" s="88"/>
      <c r="K611" s="176"/>
    </row>
    <row r="612" spans="3:11" ht="12.75" customHeight="1" x14ac:dyDescent="0.15">
      <c r="C612" s="88"/>
      <c r="D612" s="88"/>
      <c r="K612" s="176"/>
    </row>
    <row r="613" spans="3:11" ht="12.75" customHeight="1" x14ac:dyDescent="0.15">
      <c r="C613" s="88"/>
      <c r="D613" s="88"/>
      <c r="K613" s="176"/>
    </row>
    <row r="614" spans="3:11" ht="12.75" customHeight="1" x14ac:dyDescent="0.15">
      <c r="C614" s="88"/>
      <c r="D614" s="88"/>
      <c r="K614" s="176"/>
    </row>
    <row r="615" spans="3:11" ht="12.75" customHeight="1" x14ac:dyDescent="0.15">
      <c r="C615" s="88"/>
      <c r="D615" s="88"/>
      <c r="K615" s="176"/>
    </row>
    <row r="616" spans="3:11" ht="12.75" customHeight="1" x14ac:dyDescent="0.15">
      <c r="C616" s="88"/>
      <c r="D616" s="88"/>
      <c r="K616" s="176"/>
    </row>
    <row r="617" spans="3:11" ht="12.75" customHeight="1" x14ac:dyDescent="0.15">
      <c r="C617" s="88"/>
      <c r="D617" s="88"/>
      <c r="K617" s="176"/>
    </row>
    <row r="618" spans="3:11" ht="12.75" customHeight="1" x14ac:dyDescent="0.15">
      <c r="C618" s="88"/>
      <c r="D618" s="88"/>
      <c r="K618" s="176"/>
    </row>
    <row r="619" spans="3:11" ht="12.75" customHeight="1" x14ac:dyDescent="0.15">
      <c r="C619" s="88"/>
      <c r="D619" s="88"/>
      <c r="K619" s="176"/>
    </row>
    <row r="620" spans="3:11" ht="12.75" customHeight="1" x14ac:dyDescent="0.15">
      <c r="C620" s="88"/>
      <c r="D620" s="88"/>
      <c r="K620" s="176"/>
    </row>
    <row r="621" spans="3:11" ht="12.75" customHeight="1" x14ac:dyDescent="0.15">
      <c r="C621" s="88"/>
      <c r="D621" s="88"/>
      <c r="K621" s="176"/>
    </row>
    <row r="622" spans="3:11" ht="12.75" customHeight="1" x14ac:dyDescent="0.15">
      <c r="C622" s="88"/>
      <c r="D622" s="88"/>
      <c r="K622" s="176"/>
    </row>
    <row r="623" spans="3:11" ht="12.75" customHeight="1" x14ac:dyDescent="0.15">
      <c r="C623" s="88"/>
      <c r="D623" s="88"/>
      <c r="K623" s="176"/>
    </row>
    <row r="624" spans="3:11" ht="12.75" customHeight="1" x14ac:dyDescent="0.15">
      <c r="C624" s="88"/>
      <c r="D624" s="88"/>
      <c r="K624" s="176"/>
    </row>
    <row r="625" spans="3:11" ht="12.75" customHeight="1" x14ac:dyDescent="0.15">
      <c r="C625" s="88"/>
      <c r="D625" s="88"/>
      <c r="K625" s="176"/>
    </row>
    <row r="626" spans="3:11" ht="12.75" customHeight="1" x14ac:dyDescent="0.15">
      <c r="C626" s="88"/>
      <c r="D626" s="88"/>
      <c r="K626" s="176"/>
    </row>
    <row r="627" spans="3:11" ht="12.75" customHeight="1" x14ac:dyDescent="0.15">
      <c r="C627" s="88"/>
      <c r="D627" s="88"/>
      <c r="K627" s="176"/>
    </row>
    <row r="628" spans="3:11" ht="12.75" customHeight="1" x14ac:dyDescent="0.15">
      <c r="C628" s="88"/>
      <c r="D628" s="88"/>
      <c r="K628" s="176"/>
    </row>
    <row r="629" spans="3:11" ht="12.75" customHeight="1" x14ac:dyDescent="0.15">
      <c r="C629" s="88"/>
      <c r="D629" s="88"/>
      <c r="K629" s="176"/>
    </row>
    <row r="630" spans="3:11" ht="12.75" customHeight="1" x14ac:dyDescent="0.15">
      <c r="C630" s="88"/>
      <c r="D630" s="88"/>
      <c r="K630" s="176"/>
    </row>
    <row r="631" spans="3:11" ht="12.75" customHeight="1" x14ac:dyDescent="0.15">
      <c r="C631" s="88"/>
      <c r="D631" s="88"/>
      <c r="K631" s="176"/>
    </row>
    <row r="632" spans="3:11" ht="12.75" customHeight="1" x14ac:dyDescent="0.15">
      <c r="C632" s="88"/>
      <c r="D632" s="88"/>
      <c r="K632" s="176"/>
    </row>
    <row r="633" spans="3:11" ht="12.75" customHeight="1" x14ac:dyDescent="0.15">
      <c r="C633" s="88"/>
      <c r="D633" s="88"/>
      <c r="K633" s="176"/>
    </row>
    <row r="634" spans="3:11" ht="12.75" customHeight="1" x14ac:dyDescent="0.15">
      <c r="C634" s="88"/>
      <c r="D634" s="88"/>
      <c r="K634" s="176"/>
    </row>
    <row r="635" spans="3:11" ht="12.75" customHeight="1" x14ac:dyDescent="0.15">
      <c r="C635" s="88"/>
      <c r="D635" s="88"/>
      <c r="K635" s="176"/>
    </row>
    <row r="636" spans="3:11" ht="12.75" customHeight="1" x14ac:dyDescent="0.15">
      <c r="C636" s="88"/>
      <c r="D636" s="88"/>
      <c r="K636" s="176"/>
    </row>
    <row r="637" spans="3:11" ht="12.75" customHeight="1" x14ac:dyDescent="0.15">
      <c r="C637" s="88"/>
      <c r="D637" s="88"/>
      <c r="K637" s="176"/>
    </row>
    <row r="638" spans="3:11" ht="12.75" customHeight="1" x14ac:dyDescent="0.15">
      <c r="C638" s="88"/>
      <c r="D638" s="88"/>
      <c r="K638" s="176"/>
    </row>
    <row r="639" spans="3:11" ht="12.75" customHeight="1" x14ac:dyDescent="0.15">
      <c r="C639" s="88"/>
      <c r="D639" s="88"/>
      <c r="K639" s="176"/>
    </row>
    <row r="640" spans="3:11" ht="12.75" customHeight="1" x14ac:dyDescent="0.15">
      <c r="C640" s="88"/>
      <c r="D640" s="88"/>
      <c r="K640" s="176"/>
    </row>
    <row r="641" spans="3:11" ht="12.75" customHeight="1" x14ac:dyDescent="0.15">
      <c r="C641" s="88"/>
      <c r="D641" s="88"/>
      <c r="K641" s="176"/>
    </row>
    <row r="642" spans="3:11" ht="12.75" customHeight="1" x14ac:dyDescent="0.15">
      <c r="C642" s="88"/>
      <c r="D642" s="88"/>
      <c r="K642" s="176"/>
    </row>
    <row r="643" spans="3:11" ht="12.75" customHeight="1" x14ac:dyDescent="0.15">
      <c r="C643" s="88"/>
      <c r="D643" s="88"/>
      <c r="K643" s="176"/>
    </row>
    <row r="644" spans="3:11" ht="12.75" customHeight="1" x14ac:dyDescent="0.15">
      <c r="C644" s="88"/>
      <c r="D644" s="88"/>
      <c r="K644" s="176"/>
    </row>
    <row r="645" spans="3:11" ht="12.75" customHeight="1" x14ac:dyDescent="0.15">
      <c r="C645" s="88"/>
      <c r="D645" s="88"/>
      <c r="K645" s="176"/>
    </row>
    <row r="646" spans="3:11" ht="12.75" customHeight="1" x14ac:dyDescent="0.15">
      <c r="C646" s="88"/>
      <c r="D646" s="88"/>
      <c r="K646" s="176"/>
    </row>
    <row r="647" spans="3:11" ht="12.75" customHeight="1" x14ac:dyDescent="0.15">
      <c r="C647" s="88"/>
      <c r="D647" s="88"/>
      <c r="K647" s="176"/>
    </row>
    <row r="648" spans="3:11" ht="12.75" customHeight="1" x14ac:dyDescent="0.15">
      <c r="C648" s="88"/>
      <c r="D648" s="88"/>
      <c r="K648" s="176"/>
    </row>
    <row r="649" spans="3:11" ht="12.75" customHeight="1" x14ac:dyDescent="0.15">
      <c r="C649" s="88"/>
      <c r="D649" s="88"/>
      <c r="K649" s="176"/>
    </row>
    <row r="650" spans="3:11" ht="12.75" customHeight="1" x14ac:dyDescent="0.15">
      <c r="C650" s="88"/>
      <c r="D650" s="88"/>
      <c r="K650" s="176"/>
    </row>
    <row r="651" spans="3:11" ht="12.75" customHeight="1" x14ac:dyDescent="0.15">
      <c r="C651" s="88"/>
      <c r="D651" s="88"/>
      <c r="K651" s="176"/>
    </row>
    <row r="652" spans="3:11" ht="12.75" customHeight="1" x14ac:dyDescent="0.15">
      <c r="C652" s="88"/>
      <c r="D652" s="88"/>
      <c r="K652" s="176"/>
    </row>
    <row r="653" spans="3:11" ht="12.75" customHeight="1" x14ac:dyDescent="0.15">
      <c r="C653" s="88"/>
      <c r="D653" s="88"/>
      <c r="K653" s="176"/>
    </row>
    <row r="654" spans="3:11" ht="12.75" customHeight="1" x14ac:dyDescent="0.15">
      <c r="C654" s="88"/>
      <c r="D654" s="88"/>
      <c r="K654" s="176"/>
    </row>
    <row r="655" spans="3:11" ht="12.75" customHeight="1" x14ac:dyDescent="0.15">
      <c r="C655" s="88"/>
      <c r="D655" s="88"/>
      <c r="K655" s="176"/>
    </row>
    <row r="656" spans="3:11" ht="12.75" customHeight="1" x14ac:dyDescent="0.15">
      <c r="C656" s="88"/>
      <c r="D656" s="88"/>
      <c r="K656" s="176"/>
    </row>
    <row r="657" spans="3:11" ht="12.75" customHeight="1" x14ac:dyDescent="0.15">
      <c r="C657" s="88"/>
      <c r="D657" s="88"/>
      <c r="K657" s="176"/>
    </row>
    <row r="658" spans="3:11" ht="12.75" customHeight="1" x14ac:dyDescent="0.15">
      <c r="C658" s="88"/>
      <c r="D658" s="88"/>
      <c r="K658" s="176"/>
    </row>
    <row r="659" spans="3:11" ht="12.75" customHeight="1" x14ac:dyDescent="0.15">
      <c r="C659" s="88"/>
      <c r="D659" s="88"/>
      <c r="K659" s="176"/>
    </row>
    <row r="660" spans="3:11" ht="12.75" customHeight="1" x14ac:dyDescent="0.15">
      <c r="C660" s="88"/>
      <c r="D660" s="88"/>
      <c r="K660" s="176"/>
    </row>
    <row r="661" spans="3:11" ht="12.75" customHeight="1" x14ac:dyDescent="0.15">
      <c r="C661" s="88"/>
      <c r="D661" s="88"/>
      <c r="K661" s="176"/>
    </row>
    <row r="662" spans="3:11" ht="12.75" customHeight="1" x14ac:dyDescent="0.15">
      <c r="C662" s="88"/>
      <c r="D662" s="88"/>
      <c r="K662" s="176"/>
    </row>
    <row r="663" spans="3:11" ht="12.75" customHeight="1" x14ac:dyDescent="0.15">
      <c r="C663" s="88"/>
      <c r="D663" s="88"/>
      <c r="K663" s="176"/>
    </row>
    <row r="664" spans="3:11" ht="12.75" customHeight="1" x14ac:dyDescent="0.15">
      <c r="C664" s="88"/>
      <c r="D664" s="88"/>
      <c r="K664" s="176"/>
    </row>
    <row r="665" spans="3:11" ht="12.75" customHeight="1" x14ac:dyDescent="0.15">
      <c r="C665" s="88"/>
      <c r="D665" s="88"/>
      <c r="K665" s="176"/>
    </row>
    <row r="666" spans="3:11" ht="12.75" customHeight="1" x14ac:dyDescent="0.15">
      <c r="C666" s="88"/>
      <c r="D666" s="88"/>
      <c r="K666" s="176"/>
    </row>
    <row r="667" spans="3:11" ht="12.75" customHeight="1" x14ac:dyDescent="0.15">
      <c r="C667" s="88"/>
      <c r="D667" s="88"/>
      <c r="K667" s="176"/>
    </row>
    <row r="668" spans="3:11" ht="12.75" customHeight="1" x14ac:dyDescent="0.15">
      <c r="C668" s="88"/>
      <c r="D668" s="88"/>
      <c r="K668" s="176"/>
    </row>
    <row r="669" spans="3:11" ht="12.75" customHeight="1" x14ac:dyDescent="0.15">
      <c r="C669" s="88"/>
      <c r="D669" s="88"/>
      <c r="K669" s="176"/>
    </row>
    <row r="670" spans="3:11" ht="12.75" customHeight="1" x14ac:dyDescent="0.15">
      <c r="C670" s="88"/>
      <c r="D670" s="88"/>
      <c r="K670" s="176"/>
    </row>
    <row r="671" spans="3:11" ht="12.75" customHeight="1" x14ac:dyDescent="0.15">
      <c r="C671" s="88"/>
      <c r="D671" s="88"/>
      <c r="K671" s="176"/>
    </row>
    <row r="672" spans="3:11" ht="12.75" customHeight="1" x14ac:dyDescent="0.15">
      <c r="C672" s="88"/>
      <c r="D672" s="88"/>
      <c r="K672" s="176"/>
    </row>
    <row r="673" spans="3:11" ht="12.75" customHeight="1" x14ac:dyDescent="0.15">
      <c r="C673" s="88"/>
      <c r="D673" s="88"/>
      <c r="K673" s="176"/>
    </row>
    <row r="674" spans="3:11" ht="12.75" customHeight="1" x14ac:dyDescent="0.15">
      <c r="C674" s="88"/>
      <c r="D674" s="88"/>
      <c r="K674" s="176"/>
    </row>
    <row r="675" spans="3:11" ht="12.75" customHeight="1" x14ac:dyDescent="0.15">
      <c r="C675" s="88"/>
      <c r="D675" s="88"/>
      <c r="K675" s="176"/>
    </row>
    <row r="676" spans="3:11" ht="12.75" customHeight="1" x14ac:dyDescent="0.15">
      <c r="C676" s="88"/>
      <c r="D676" s="88"/>
      <c r="K676" s="176"/>
    </row>
    <row r="677" spans="3:11" ht="12.75" customHeight="1" x14ac:dyDescent="0.15">
      <c r="C677" s="88"/>
      <c r="D677" s="88"/>
      <c r="K677" s="176"/>
    </row>
    <row r="678" spans="3:11" ht="12.75" customHeight="1" x14ac:dyDescent="0.15">
      <c r="C678" s="88"/>
      <c r="D678" s="88"/>
      <c r="K678" s="176"/>
    </row>
    <row r="679" spans="3:11" ht="12.75" customHeight="1" x14ac:dyDescent="0.15">
      <c r="C679" s="88"/>
      <c r="D679" s="88"/>
      <c r="K679" s="176"/>
    </row>
    <row r="680" spans="3:11" ht="12.75" customHeight="1" x14ac:dyDescent="0.15">
      <c r="C680" s="88"/>
      <c r="D680" s="88"/>
      <c r="K680" s="176"/>
    </row>
    <row r="681" spans="3:11" ht="12.75" customHeight="1" x14ac:dyDescent="0.15">
      <c r="C681" s="88"/>
      <c r="D681" s="88"/>
      <c r="K681" s="176"/>
    </row>
    <row r="682" spans="3:11" ht="12.75" customHeight="1" x14ac:dyDescent="0.15">
      <c r="C682" s="88"/>
      <c r="D682" s="88"/>
      <c r="K682" s="176"/>
    </row>
    <row r="683" spans="3:11" ht="12.75" customHeight="1" x14ac:dyDescent="0.15">
      <c r="C683" s="88"/>
      <c r="D683" s="88"/>
      <c r="K683" s="176"/>
    </row>
    <row r="684" spans="3:11" ht="12.75" customHeight="1" x14ac:dyDescent="0.15">
      <c r="C684" s="88"/>
      <c r="D684" s="88"/>
      <c r="K684" s="176"/>
    </row>
    <row r="685" spans="3:11" ht="12.75" customHeight="1" x14ac:dyDescent="0.15">
      <c r="C685" s="88"/>
      <c r="D685" s="88"/>
      <c r="K685" s="176"/>
    </row>
    <row r="686" spans="3:11" ht="12.75" customHeight="1" x14ac:dyDescent="0.15">
      <c r="C686" s="88"/>
      <c r="D686" s="88"/>
      <c r="K686" s="176"/>
    </row>
    <row r="687" spans="3:11" ht="12.75" customHeight="1" x14ac:dyDescent="0.15">
      <c r="C687" s="88"/>
      <c r="D687" s="88"/>
      <c r="K687" s="176"/>
    </row>
    <row r="688" spans="3:11" ht="12.75" customHeight="1" x14ac:dyDescent="0.15">
      <c r="C688" s="88"/>
      <c r="D688" s="88"/>
      <c r="K688" s="176"/>
    </row>
    <row r="689" spans="3:11" ht="12.75" customHeight="1" x14ac:dyDescent="0.15">
      <c r="C689" s="88"/>
      <c r="D689" s="88"/>
      <c r="K689" s="176"/>
    </row>
    <row r="690" spans="3:11" ht="12.75" customHeight="1" x14ac:dyDescent="0.15">
      <c r="C690" s="88"/>
      <c r="D690" s="88"/>
      <c r="K690" s="176"/>
    </row>
    <row r="691" spans="3:11" ht="12.75" customHeight="1" x14ac:dyDescent="0.15">
      <c r="C691" s="88"/>
      <c r="D691" s="88"/>
      <c r="K691" s="176"/>
    </row>
    <row r="692" spans="3:11" ht="12.75" customHeight="1" x14ac:dyDescent="0.15">
      <c r="C692" s="88"/>
      <c r="D692" s="88"/>
      <c r="K692" s="176"/>
    </row>
    <row r="693" spans="3:11" ht="12.75" customHeight="1" x14ac:dyDescent="0.15">
      <c r="C693" s="88"/>
      <c r="D693" s="88"/>
      <c r="K693" s="176"/>
    </row>
    <row r="694" spans="3:11" ht="12.75" customHeight="1" x14ac:dyDescent="0.15">
      <c r="C694" s="88"/>
      <c r="D694" s="88"/>
      <c r="K694" s="176"/>
    </row>
    <row r="695" spans="3:11" ht="12.75" customHeight="1" x14ac:dyDescent="0.15">
      <c r="C695" s="88"/>
      <c r="D695" s="88"/>
      <c r="K695" s="176"/>
    </row>
    <row r="696" spans="3:11" ht="12.75" customHeight="1" x14ac:dyDescent="0.15">
      <c r="C696" s="88"/>
      <c r="D696" s="88"/>
      <c r="K696" s="176"/>
    </row>
    <row r="697" spans="3:11" ht="12.75" customHeight="1" x14ac:dyDescent="0.15">
      <c r="C697" s="88"/>
      <c r="D697" s="88"/>
      <c r="K697" s="176"/>
    </row>
    <row r="698" spans="3:11" ht="12.75" customHeight="1" x14ac:dyDescent="0.15">
      <c r="C698" s="88"/>
      <c r="D698" s="88"/>
      <c r="K698" s="176"/>
    </row>
    <row r="699" spans="3:11" ht="12.75" customHeight="1" x14ac:dyDescent="0.15">
      <c r="C699" s="88"/>
      <c r="D699" s="88"/>
      <c r="K699" s="176"/>
    </row>
    <row r="700" spans="3:11" ht="12.75" customHeight="1" x14ac:dyDescent="0.15">
      <c r="C700" s="88"/>
      <c r="D700" s="88"/>
      <c r="K700" s="176"/>
    </row>
    <row r="701" spans="3:11" ht="12.75" customHeight="1" x14ac:dyDescent="0.15">
      <c r="C701" s="88"/>
      <c r="D701" s="88"/>
      <c r="K701" s="176"/>
    </row>
    <row r="702" spans="3:11" ht="12.75" customHeight="1" x14ac:dyDescent="0.15">
      <c r="C702" s="88"/>
      <c r="D702" s="88"/>
      <c r="K702" s="176"/>
    </row>
    <row r="703" spans="3:11" ht="12.75" customHeight="1" x14ac:dyDescent="0.15">
      <c r="C703" s="88"/>
      <c r="D703" s="88"/>
      <c r="K703" s="176"/>
    </row>
    <row r="704" spans="3:11" ht="12.75" customHeight="1" x14ac:dyDescent="0.15">
      <c r="C704" s="88"/>
      <c r="D704" s="88"/>
      <c r="K704" s="176"/>
    </row>
    <row r="705" spans="3:11" ht="12.75" customHeight="1" x14ac:dyDescent="0.15">
      <c r="C705" s="88"/>
      <c r="D705" s="88"/>
      <c r="K705" s="176"/>
    </row>
    <row r="706" spans="3:11" ht="12.75" customHeight="1" x14ac:dyDescent="0.15">
      <c r="C706" s="88"/>
      <c r="D706" s="88"/>
      <c r="K706" s="176"/>
    </row>
    <row r="707" spans="3:11" ht="12.75" customHeight="1" x14ac:dyDescent="0.15">
      <c r="C707" s="88"/>
      <c r="D707" s="88"/>
      <c r="K707" s="176"/>
    </row>
    <row r="708" spans="3:11" ht="12.75" customHeight="1" x14ac:dyDescent="0.15">
      <c r="C708" s="88"/>
      <c r="D708" s="88"/>
      <c r="K708" s="176"/>
    </row>
    <row r="709" spans="3:11" ht="12.75" customHeight="1" x14ac:dyDescent="0.15">
      <c r="C709" s="88"/>
      <c r="D709" s="88"/>
      <c r="K709" s="176"/>
    </row>
    <row r="710" spans="3:11" ht="12.75" customHeight="1" x14ac:dyDescent="0.15">
      <c r="C710" s="88"/>
      <c r="D710" s="88"/>
      <c r="K710" s="176"/>
    </row>
    <row r="711" spans="3:11" ht="12.75" customHeight="1" x14ac:dyDescent="0.15">
      <c r="C711" s="88"/>
      <c r="D711" s="88"/>
      <c r="K711" s="176"/>
    </row>
    <row r="712" spans="3:11" ht="12.75" customHeight="1" x14ac:dyDescent="0.15">
      <c r="C712" s="88"/>
      <c r="D712" s="88"/>
      <c r="K712" s="176"/>
    </row>
    <row r="713" spans="3:11" ht="12.75" customHeight="1" x14ac:dyDescent="0.15">
      <c r="C713" s="88"/>
      <c r="D713" s="88"/>
      <c r="K713" s="176"/>
    </row>
    <row r="714" spans="3:11" ht="12.75" customHeight="1" x14ac:dyDescent="0.15">
      <c r="C714" s="88"/>
      <c r="D714" s="88"/>
      <c r="K714" s="176"/>
    </row>
    <row r="715" spans="3:11" ht="12.75" customHeight="1" x14ac:dyDescent="0.15">
      <c r="C715" s="88"/>
      <c r="D715" s="88"/>
      <c r="K715" s="176"/>
    </row>
    <row r="716" spans="3:11" ht="12.75" customHeight="1" x14ac:dyDescent="0.15">
      <c r="C716" s="88"/>
      <c r="D716" s="88"/>
      <c r="K716" s="176"/>
    </row>
    <row r="717" spans="3:11" ht="12.75" customHeight="1" x14ac:dyDescent="0.15">
      <c r="C717" s="88"/>
      <c r="D717" s="88"/>
      <c r="K717" s="176"/>
    </row>
    <row r="718" spans="3:11" ht="12.75" customHeight="1" x14ac:dyDescent="0.15">
      <c r="C718" s="88"/>
      <c r="D718" s="88"/>
      <c r="K718" s="176"/>
    </row>
    <row r="719" spans="3:11" ht="12.75" customHeight="1" x14ac:dyDescent="0.15">
      <c r="C719" s="88"/>
      <c r="D719" s="88"/>
      <c r="K719" s="176"/>
    </row>
    <row r="720" spans="3:11" ht="12.75" customHeight="1" x14ac:dyDescent="0.15">
      <c r="C720" s="88"/>
      <c r="D720" s="88"/>
      <c r="K720" s="176"/>
    </row>
    <row r="721" spans="3:11" ht="12.75" customHeight="1" x14ac:dyDescent="0.15">
      <c r="C721" s="88"/>
      <c r="D721" s="88"/>
      <c r="K721" s="176"/>
    </row>
    <row r="722" spans="3:11" ht="12.75" customHeight="1" x14ac:dyDescent="0.15">
      <c r="C722" s="88"/>
      <c r="D722" s="88"/>
      <c r="K722" s="176"/>
    </row>
    <row r="723" spans="3:11" ht="12.75" customHeight="1" x14ac:dyDescent="0.15">
      <c r="C723" s="88"/>
      <c r="D723" s="88"/>
      <c r="K723" s="176"/>
    </row>
    <row r="724" spans="3:11" ht="12.75" customHeight="1" x14ac:dyDescent="0.15">
      <c r="C724" s="88"/>
      <c r="D724" s="88"/>
      <c r="K724" s="176"/>
    </row>
    <row r="725" spans="3:11" ht="12.75" customHeight="1" x14ac:dyDescent="0.15">
      <c r="C725" s="88"/>
      <c r="D725" s="88"/>
      <c r="K725" s="176"/>
    </row>
    <row r="726" spans="3:11" ht="12.75" customHeight="1" x14ac:dyDescent="0.15">
      <c r="C726" s="88"/>
      <c r="D726" s="88"/>
      <c r="K726" s="176"/>
    </row>
    <row r="727" spans="3:11" ht="12.75" customHeight="1" x14ac:dyDescent="0.15">
      <c r="C727" s="88"/>
      <c r="D727" s="88"/>
      <c r="K727" s="176"/>
    </row>
    <row r="728" spans="3:11" ht="12.75" customHeight="1" x14ac:dyDescent="0.15">
      <c r="C728" s="88"/>
      <c r="D728" s="88"/>
      <c r="K728" s="176"/>
    </row>
    <row r="729" spans="3:11" ht="12.75" customHeight="1" x14ac:dyDescent="0.15">
      <c r="C729" s="88"/>
      <c r="D729" s="88"/>
      <c r="K729" s="176"/>
    </row>
    <row r="730" spans="3:11" ht="12.75" customHeight="1" x14ac:dyDescent="0.15">
      <c r="C730" s="88"/>
      <c r="D730" s="88"/>
      <c r="K730" s="176"/>
    </row>
    <row r="731" spans="3:11" ht="12.75" customHeight="1" x14ac:dyDescent="0.15">
      <c r="C731" s="88"/>
      <c r="D731" s="88"/>
      <c r="K731" s="176"/>
    </row>
    <row r="732" spans="3:11" ht="12.75" customHeight="1" x14ac:dyDescent="0.15">
      <c r="C732" s="88"/>
      <c r="D732" s="88"/>
      <c r="K732" s="176"/>
    </row>
    <row r="733" spans="3:11" ht="12.75" customHeight="1" x14ac:dyDescent="0.15">
      <c r="C733" s="88"/>
      <c r="D733" s="88"/>
      <c r="K733" s="176"/>
    </row>
    <row r="734" spans="3:11" ht="12.75" customHeight="1" x14ac:dyDescent="0.15">
      <c r="C734" s="88"/>
      <c r="D734" s="88"/>
      <c r="K734" s="176"/>
    </row>
    <row r="735" spans="3:11" ht="12.75" customHeight="1" x14ac:dyDescent="0.15">
      <c r="C735" s="88"/>
      <c r="D735" s="88"/>
      <c r="K735" s="176"/>
    </row>
    <row r="736" spans="3:11" ht="12.75" customHeight="1" x14ac:dyDescent="0.15">
      <c r="C736" s="88"/>
      <c r="D736" s="88"/>
      <c r="K736" s="176"/>
    </row>
    <row r="737" spans="3:11" ht="12.75" customHeight="1" x14ac:dyDescent="0.15">
      <c r="C737" s="88"/>
      <c r="D737" s="88"/>
      <c r="K737" s="176"/>
    </row>
    <row r="738" spans="3:11" ht="12.75" customHeight="1" x14ac:dyDescent="0.15">
      <c r="C738" s="88"/>
      <c r="D738" s="88"/>
      <c r="K738" s="176"/>
    </row>
    <row r="739" spans="3:11" ht="12.75" customHeight="1" x14ac:dyDescent="0.15">
      <c r="C739" s="88"/>
      <c r="D739" s="88"/>
      <c r="K739" s="176"/>
    </row>
    <row r="740" spans="3:11" ht="12.75" customHeight="1" x14ac:dyDescent="0.15">
      <c r="C740" s="88"/>
      <c r="D740" s="88"/>
      <c r="K740" s="176"/>
    </row>
    <row r="741" spans="3:11" ht="12.75" customHeight="1" x14ac:dyDescent="0.15">
      <c r="C741" s="88"/>
      <c r="D741" s="88"/>
      <c r="K741" s="176"/>
    </row>
    <row r="742" spans="3:11" ht="12.75" customHeight="1" x14ac:dyDescent="0.15">
      <c r="C742" s="88"/>
      <c r="D742" s="88"/>
      <c r="K742" s="176"/>
    </row>
    <row r="743" spans="3:11" ht="12.75" customHeight="1" x14ac:dyDescent="0.15">
      <c r="C743" s="88"/>
      <c r="D743" s="88"/>
      <c r="K743" s="176"/>
    </row>
    <row r="744" spans="3:11" ht="12.75" customHeight="1" x14ac:dyDescent="0.15">
      <c r="C744" s="88"/>
      <c r="D744" s="88"/>
      <c r="K744" s="176"/>
    </row>
    <row r="745" spans="3:11" ht="12.75" customHeight="1" x14ac:dyDescent="0.15">
      <c r="C745" s="88"/>
      <c r="D745" s="88"/>
      <c r="K745" s="176"/>
    </row>
    <row r="746" spans="3:11" ht="12.75" customHeight="1" x14ac:dyDescent="0.15">
      <c r="C746" s="88"/>
      <c r="D746" s="88"/>
      <c r="K746" s="176"/>
    </row>
    <row r="747" spans="3:11" ht="12.75" customHeight="1" x14ac:dyDescent="0.15">
      <c r="C747" s="88"/>
      <c r="D747" s="88"/>
      <c r="K747" s="176"/>
    </row>
    <row r="748" spans="3:11" ht="12.75" customHeight="1" x14ac:dyDescent="0.15">
      <c r="C748" s="88"/>
      <c r="D748" s="88"/>
      <c r="K748" s="176"/>
    </row>
    <row r="749" spans="3:11" ht="12.75" customHeight="1" x14ac:dyDescent="0.15">
      <c r="C749" s="88"/>
      <c r="D749" s="88"/>
      <c r="K749" s="176"/>
    </row>
    <row r="750" spans="3:11" ht="12.75" customHeight="1" x14ac:dyDescent="0.15">
      <c r="C750" s="88"/>
      <c r="D750" s="88"/>
      <c r="K750" s="176"/>
    </row>
    <row r="751" spans="3:11" ht="12.75" customHeight="1" x14ac:dyDescent="0.15">
      <c r="C751" s="88"/>
      <c r="D751" s="88"/>
      <c r="K751" s="176"/>
    </row>
    <row r="752" spans="3:11" ht="12.75" customHeight="1" x14ac:dyDescent="0.15">
      <c r="C752" s="88"/>
      <c r="D752" s="88"/>
      <c r="K752" s="176"/>
    </row>
    <row r="753" spans="3:11" ht="12.75" customHeight="1" x14ac:dyDescent="0.15">
      <c r="C753" s="88"/>
      <c r="D753" s="88"/>
      <c r="K753" s="176"/>
    </row>
    <row r="754" spans="3:11" ht="12.75" customHeight="1" x14ac:dyDescent="0.15">
      <c r="C754" s="88"/>
      <c r="D754" s="88"/>
      <c r="K754" s="176"/>
    </row>
    <row r="755" spans="3:11" ht="12.75" customHeight="1" x14ac:dyDescent="0.15">
      <c r="C755" s="88"/>
      <c r="D755" s="88"/>
      <c r="K755" s="176"/>
    </row>
    <row r="756" spans="3:11" ht="12.75" customHeight="1" x14ac:dyDescent="0.15">
      <c r="C756" s="88"/>
      <c r="D756" s="88"/>
      <c r="K756" s="176"/>
    </row>
    <row r="757" spans="3:11" ht="12.75" customHeight="1" x14ac:dyDescent="0.15">
      <c r="C757" s="88"/>
      <c r="D757" s="88"/>
      <c r="K757" s="176"/>
    </row>
    <row r="758" spans="3:11" ht="12.75" customHeight="1" x14ac:dyDescent="0.15">
      <c r="C758" s="88"/>
      <c r="D758" s="88"/>
      <c r="K758" s="176"/>
    </row>
    <row r="759" spans="3:11" ht="12.75" customHeight="1" x14ac:dyDescent="0.15">
      <c r="C759" s="88"/>
      <c r="D759" s="88"/>
      <c r="K759" s="176"/>
    </row>
    <row r="760" spans="3:11" ht="12.75" customHeight="1" x14ac:dyDescent="0.15">
      <c r="C760" s="88"/>
      <c r="D760" s="88"/>
      <c r="K760" s="176"/>
    </row>
    <row r="761" spans="3:11" ht="12.75" customHeight="1" x14ac:dyDescent="0.15">
      <c r="C761" s="88"/>
      <c r="D761" s="88"/>
      <c r="K761" s="176"/>
    </row>
    <row r="762" spans="3:11" ht="12.75" customHeight="1" x14ac:dyDescent="0.15">
      <c r="C762" s="88"/>
      <c r="D762" s="88"/>
      <c r="K762" s="176"/>
    </row>
    <row r="763" spans="3:11" ht="12.75" customHeight="1" x14ac:dyDescent="0.15">
      <c r="C763" s="88"/>
      <c r="D763" s="88"/>
      <c r="K763" s="176"/>
    </row>
    <row r="764" spans="3:11" ht="12.75" customHeight="1" x14ac:dyDescent="0.15">
      <c r="C764" s="88"/>
      <c r="D764" s="88"/>
      <c r="K764" s="176"/>
    </row>
    <row r="765" spans="3:11" ht="12.75" customHeight="1" x14ac:dyDescent="0.15">
      <c r="C765" s="88"/>
      <c r="D765" s="88"/>
      <c r="K765" s="176"/>
    </row>
    <row r="766" spans="3:11" ht="12.75" customHeight="1" x14ac:dyDescent="0.15">
      <c r="C766" s="88"/>
      <c r="D766" s="88"/>
      <c r="K766" s="176"/>
    </row>
    <row r="767" spans="3:11" ht="12.75" customHeight="1" x14ac:dyDescent="0.15">
      <c r="C767" s="88"/>
      <c r="D767" s="88"/>
      <c r="K767" s="176"/>
    </row>
    <row r="768" spans="3:11" ht="12.75" customHeight="1" x14ac:dyDescent="0.15">
      <c r="C768" s="88"/>
      <c r="D768" s="88"/>
      <c r="K768" s="176"/>
    </row>
    <row r="769" spans="3:11" ht="12.75" customHeight="1" x14ac:dyDescent="0.15">
      <c r="C769" s="88"/>
      <c r="D769" s="88"/>
      <c r="K769" s="176"/>
    </row>
    <row r="770" spans="3:11" ht="12.75" customHeight="1" x14ac:dyDescent="0.15">
      <c r="C770" s="88"/>
      <c r="D770" s="88"/>
      <c r="K770" s="176"/>
    </row>
    <row r="771" spans="3:11" ht="12.75" customHeight="1" x14ac:dyDescent="0.15">
      <c r="C771" s="88"/>
      <c r="D771" s="88"/>
      <c r="K771" s="176"/>
    </row>
    <row r="772" spans="3:11" ht="12.75" customHeight="1" x14ac:dyDescent="0.15">
      <c r="C772" s="88"/>
      <c r="D772" s="88"/>
      <c r="K772" s="176"/>
    </row>
    <row r="773" spans="3:11" ht="12.75" customHeight="1" x14ac:dyDescent="0.15">
      <c r="C773" s="88"/>
      <c r="D773" s="88"/>
      <c r="K773" s="176"/>
    </row>
    <row r="774" spans="3:11" ht="12.75" customHeight="1" x14ac:dyDescent="0.15">
      <c r="C774" s="88"/>
      <c r="D774" s="88"/>
      <c r="K774" s="176"/>
    </row>
    <row r="775" spans="3:11" ht="12.75" customHeight="1" x14ac:dyDescent="0.15">
      <c r="C775" s="88"/>
      <c r="D775" s="88"/>
      <c r="K775" s="176"/>
    </row>
    <row r="776" spans="3:11" ht="12.75" customHeight="1" x14ac:dyDescent="0.15">
      <c r="C776" s="88"/>
      <c r="D776" s="88"/>
      <c r="K776" s="176"/>
    </row>
    <row r="777" spans="3:11" ht="12.75" customHeight="1" x14ac:dyDescent="0.15">
      <c r="C777" s="88"/>
      <c r="D777" s="88"/>
      <c r="K777" s="176"/>
    </row>
    <row r="778" spans="3:11" ht="12.75" customHeight="1" x14ac:dyDescent="0.15">
      <c r="C778" s="88"/>
      <c r="D778" s="88"/>
      <c r="K778" s="176"/>
    </row>
    <row r="779" spans="3:11" ht="12.75" customHeight="1" x14ac:dyDescent="0.15">
      <c r="C779" s="88"/>
      <c r="D779" s="88"/>
      <c r="K779" s="176"/>
    </row>
    <row r="780" spans="3:11" ht="12.75" customHeight="1" x14ac:dyDescent="0.15">
      <c r="C780" s="88"/>
      <c r="D780" s="88"/>
      <c r="K780" s="176"/>
    </row>
    <row r="781" spans="3:11" ht="12.75" customHeight="1" x14ac:dyDescent="0.15">
      <c r="C781" s="88"/>
      <c r="D781" s="88"/>
      <c r="K781" s="176"/>
    </row>
    <row r="782" spans="3:11" ht="12.75" customHeight="1" x14ac:dyDescent="0.15">
      <c r="C782" s="88"/>
      <c r="D782" s="88"/>
      <c r="K782" s="176"/>
    </row>
    <row r="783" spans="3:11" ht="12.75" customHeight="1" x14ac:dyDescent="0.15">
      <c r="C783" s="88"/>
      <c r="D783" s="88"/>
      <c r="K783" s="176"/>
    </row>
    <row r="784" spans="3:11" ht="12.75" customHeight="1" x14ac:dyDescent="0.15">
      <c r="C784" s="88"/>
      <c r="D784" s="88"/>
      <c r="K784" s="176"/>
    </row>
    <row r="785" spans="3:11" ht="12.75" customHeight="1" x14ac:dyDescent="0.15">
      <c r="C785" s="88"/>
      <c r="D785" s="88"/>
      <c r="K785" s="176"/>
    </row>
    <row r="786" spans="3:11" ht="12.75" customHeight="1" x14ac:dyDescent="0.15">
      <c r="C786" s="88"/>
      <c r="D786" s="88"/>
      <c r="K786" s="176"/>
    </row>
    <row r="787" spans="3:11" ht="12.75" customHeight="1" x14ac:dyDescent="0.15">
      <c r="C787" s="88"/>
      <c r="D787" s="88"/>
      <c r="K787" s="176"/>
    </row>
    <row r="788" spans="3:11" ht="12.75" customHeight="1" x14ac:dyDescent="0.15">
      <c r="C788" s="88"/>
      <c r="D788" s="88"/>
      <c r="K788" s="176"/>
    </row>
    <row r="789" spans="3:11" ht="12.75" customHeight="1" x14ac:dyDescent="0.15">
      <c r="C789" s="88"/>
      <c r="D789" s="88"/>
      <c r="K789" s="176"/>
    </row>
    <row r="790" spans="3:11" ht="12.75" customHeight="1" x14ac:dyDescent="0.15">
      <c r="C790" s="88"/>
      <c r="D790" s="88"/>
      <c r="K790" s="176"/>
    </row>
    <row r="791" spans="3:11" ht="12.75" customHeight="1" x14ac:dyDescent="0.15">
      <c r="C791" s="88"/>
      <c r="D791" s="88"/>
      <c r="K791" s="176"/>
    </row>
    <row r="792" spans="3:11" ht="12.75" customHeight="1" x14ac:dyDescent="0.15">
      <c r="C792" s="88"/>
      <c r="D792" s="88"/>
      <c r="K792" s="176"/>
    </row>
    <row r="793" spans="3:11" ht="12.75" customHeight="1" x14ac:dyDescent="0.15">
      <c r="C793" s="88"/>
      <c r="D793" s="88"/>
      <c r="K793" s="176"/>
    </row>
    <row r="794" spans="3:11" ht="12.75" customHeight="1" x14ac:dyDescent="0.15">
      <c r="C794" s="88"/>
      <c r="D794" s="88"/>
      <c r="K794" s="176"/>
    </row>
    <row r="795" spans="3:11" ht="12.75" customHeight="1" x14ac:dyDescent="0.15">
      <c r="C795" s="88"/>
      <c r="D795" s="88"/>
      <c r="K795" s="176"/>
    </row>
    <row r="796" spans="3:11" ht="12.75" customHeight="1" x14ac:dyDescent="0.15">
      <c r="C796" s="88"/>
      <c r="D796" s="88"/>
      <c r="K796" s="176"/>
    </row>
    <row r="797" spans="3:11" ht="12.75" customHeight="1" x14ac:dyDescent="0.15">
      <c r="C797" s="88"/>
      <c r="D797" s="88"/>
      <c r="K797" s="176"/>
    </row>
    <row r="798" spans="3:11" ht="12.75" customHeight="1" x14ac:dyDescent="0.15">
      <c r="C798" s="88"/>
      <c r="D798" s="88"/>
      <c r="K798" s="176"/>
    </row>
    <row r="799" spans="3:11" ht="12.75" customHeight="1" x14ac:dyDescent="0.15">
      <c r="C799" s="88"/>
      <c r="D799" s="88"/>
      <c r="K799" s="176"/>
    </row>
    <row r="800" spans="3:11" ht="12.75" customHeight="1" x14ac:dyDescent="0.15">
      <c r="C800" s="88"/>
      <c r="D800" s="88"/>
      <c r="K800" s="176"/>
    </row>
    <row r="801" spans="3:11" ht="12.75" customHeight="1" x14ac:dyDescent="0.15">
      <c r="C801" s="88"/>
      <c r="D801" s="88"/>
      <c r="K801" s="176"/>
    </row>
    <row r="802" spans="3:11" ht="12.75" customHeight="1" x14ac:dyDescent="0.15">
      <c r="C802" s="88"/>
      <c r="D802" s="88"/>
      <c r="K802" s="176"/>
    </row>
    <row r="803" spans="3:11" ht="12.75" customHeight="1" x14ac:dyDescent="0.15">
      <c r="C803" s="88"/>
      <c r="D803" s="88"/>
      <c r="K803" s="176"/>
    </row>
    <row r="804" spans="3:11" ht="12.75" customHeight="1" x14ac:dyDescent="0.15">
      <c r="C804" s="88"/>
      <c r="D804" s="88"/>
      <c r="K804" s="176"/>
    </row>
    <row r="805" spans="3:11" ht="12.75" customHeight="1" x14ac:dyDescent="0.15">
      <c r="C805" s="88"/>
      <c r="D805" s="88"/>
      <c r="K805" s="176"/>
    </row>
    <row r="806" spans="3:11" ht="12.75" customHeight="1" x14ac:dyDescent="0.15">
      <c r="C806" s="88"/>
      <c r="D806" s="88"/>
      <c r="K806" s="176"/>
    </row>
    <row r="807" spans="3:11" ht="12.75" customHeight="1" x14ac:dyDescent="0.15">
      <c r="C807" s="88"/>
      <c r="D807" s="88"/>
      <c r="K807" s="176"/>
    </row>
    <row r="808" spans="3:11" ht="12.75" customHeight="1" x14ac:dyDescent="0.15">
      <c r="C808" s="88"/>
      <c r="D808" s="88"/>
      <c r="K808" s="176"/>
    </row>
    <row r="809" spans="3:11" ht="12.75" customHeight="1" x14ac:dyDescent="0.15">
      <c r="C809" s="88"/>
      <c r="D809" s="88"/>
      <c r="K809" s="176"/>
    </row>
    <row r="810" spans="3:11" ht="12.75" customHeight="1" x14ac:dyDescent="0.15">
      <c r="C810" s="88"/>
      <c r="D810" s="88"/>
      <c r="K810" s="176"/>
    </row>
    <row r="811" spans="3:11" ht="12.75" customHeight="1" x14ac:dyDescent="0.15">
      <c r="C811" s="88"/>
      <c r="D811" s="88"/>
      <c r="K811" s="176"/>
    </row>
    <row r="812" spans="3:11" ht="12.75" customHeight="1" x14ac:dyDescent="0.15">
      <c r="C812" s="88"/>
      <c r="D812" s="88"/>
      <c r="K812" s="176"/>
    </row>
    <row r="813" spans="3:11" ht="12.75" customHeight="1" x14ac:dyDescent="0.15">
      <c r="C813" s="88"/>
      <c r="D813" s="88"/>
      <c r="K813" s="176"/>
    </row>
    <row r="814" spans="3:11" ht="12.75" customHeight="1" x14ac:dyDescent="0.15">
      <c r="C814" s="88"/>
      <c r="D814" s="88"/>
      <c r="K814" s="176"/>
    </row>
    <row r="815" spans="3:11" ht="12.75" customHeight="1" x14ac:dyDescent="0.15">
      <c r="C815" s="88"/>
      <c r="D815" s="88"/>
      <c r="K815" s="176"/>
    </row>
    <row r="816" spans="3:11" ht="12.75" customHeight="1" x14ac:dyDescent="0.15">
      <c r="C816" s="88"/>
      <c r="D816" s="88"/>
      <c r="K816" s="176"/>
    </row>
    <row r="817" spans="3:11" ht="12.75" customHeight="1" x14ac:dyDescent="0.15">
      <c r="C817" s="88"/>
      <c r="D817" s="88"/>
      <c r="K817" s="176"/>
    </row>
    <row r="818" spans="3:11" ht="12.75" customHeight="1" x14ac:dyDescent="0.15">
      <c r="C818" s="88"/>
      <c r="D818" s="88"/>
      <c r="K818" s="176"/>
    </row>
    <row r="819" spans="3:11" ht="12.75" customHeight="1" x14ac:dyDescent="0.15">
      <c r="C819" s="88"/>
      <c r="D819" s="88"/>
      <c r="K819" s="176"/>
    </row>
    <row r="820" spans="3:11" ht="12.75" customHeight="1" x14ac:dyDescent="0.15">
      <c r="C820" s="88"/>
      <c r="D820" s="88"/>
      <c r="K820" s="176"/>
    </row>
    <row r="821" spans="3:11" ht="12.75" customHeight="1" x14ac:dyDescent="0.15">
      <c r="C821" s="88"/>
      <c r="D821" s="88"/>
      <c r="K821" s="176"/>
    </row>
    <row r="822" spans="3:11" ht="12.75" customHeight="1" x14ac:dyDescent="0.15">
      <c r="C822" s="88"/>
      <c r="D822" s="88"/>
      <c r="K822" s="176"/>
    </row>
    <row r="823" spans="3:11" ht="12.75" customHeight="1" x14ac:dyDescent="0.15">
      <c r="C823" s="88"/>
      <c r="D823" s="88"/>
      <c r="K823" s="176"/>
    </row>
    <row r="824" spans="3:11" ht="12.75" customHeight="1" x14ac:dyDescent="0.15">
      <c r="C824" s="88"/>
      <c r="D824" s="88"/>
      <c r="K824" s="176"/>
    </row>
    <row r="825" spans="3:11" ht="12.75" customHeight="1" x14ac:dyDescent="0.15">
      <c r="C825" s="88"/>
      <c r="D825" s="88"/>
      <c r="K825" s="176"/>
    </row>
    <row r="826" spans="3:11" ht="12.75" customHeight="1" x14ac:dyDescent="0.15">
      <c r="C826" s="88"/>
      <c r="D826" s="88"/>
      <c r="K826" s="176"/>
    </row>
    <row r="827" spans="3:11" ht="12.75" customHeight="1" x14ac:dyDescent="0.15">
      <c r="C827" s="88"/>
      <c r="D827" s="88"/>
      <c r="K827" s="176"/>
    </row>
    <row r="828" spans="3:11" ht="12.75" customHeight="1" x14ac:dyDescent="0.15">
      <c r="C828" s="88"/>
      <c r="D828" s="88"/>
      <c r="K828" s="176"/>
    </row>
    <row r="829" spans="3:11" ht="12.75" customHeight="1" x14ac:dyDescent="0.15">
      <c r="C829" s="88"/>
      <c r="D829" s="88"/>
      <c r="K829" s="176"/>
    </row>
    <row r="830" spans="3:11" ht="12.75" customHeight="1" x14ac:dyDescent="0.15">
      <c r="C830" s="88"/>
      <c r="D830" s="88"/>
      <c r="K830" s="176"/>
    </row>
    <row r="831" spans="3:11" ht="12.75" customHeight="1" x14ac:dyDescent="0.15">
      <c r="C831" s="88"/>
      <c r="D831" s="88"/>
      <c r="K831" s="176"/>
    </row>
    <row r="832" spans="3:11" ht="12.75" customHeight="1" x14ac:dyDescent="0.15">
      <c r="C832" s="88"/>
      <c r="D832" s="88"/>
      <c r="K832" s="176"/>
    </row>
    <row r="833" spans="3:11" ht="12.75" customHeight="1" x14ac:dyDescent="0.15">
      <c r="C833" s="88"/>
      <c r="D833" s="88"/>
      <c r="K833" s="176"/>
    </row>
    <row r="834" spans="3:11" ht="12.75" customHeight="1" x14ac:dyDescent="0.15">
      <c r="C834" s="88"/>
      <c r="D834" s="88"/>
      <c r="K834" s="176"/>
    </row>
    <row r="835" spans="3:11" ht="12.75" customHeight="1" x14ac:dyDescent="0.15">
      <c r="C835" s="88"/>
      <c r="D835" s="88"/>
      <c r="K835" s="176"/>
    </row>
    <row r="836" spans="3:11" ht="12.75" customHeight="1" x14ac:dyDescent="0.15">
      <c r="C836" s="88"/>
      <c r="D836" s="88"/>
      <c r="K836" s="176"/>
    </row>
    <row r="837" spans="3:11" ht="12.75" customHeight="1" x14ac:dyDescent="0.15">
      <c r="C837" s="88"/>
      <c r="D837" s="88"/>
      <c r="K837" s="176"/>
    </row>
    <row r="838" spans="3:11" ht="12.75" customHeight="1" x14ac:dyDescent="0.15">
      <c r="C838" s="88"/>
      <c r="D838" s="88"/>
      <c r="K838" s="176"/>
    </row>
    <row r="839" spans="3:11" ht="12.75" customHeight="1" x14ac:dyDescent="0.15">
      <c r="C839" s="88"/>
      <c r="D839" s="88"/>
      <c r="K839" s="176"/>
    </row>
    <row r="840" spans="3:11" ht="12.75" customHeight="1" x14ac:dyDescent="0.15">
      <c r="C840" s="88"/>
      <c r="D840" s="88"/>
      <c r="K840" s="176"/>
    </row>
    <row r="841" spans="3:11" ht="12.75" customHeight="1" x14ac:dyDescent="0.15">
      <c r="C841" s="88"/>
      <c r="D841" s="88"/>
      <c r="K841" s="176"/>
    </row>
    <row r="842" spans="3:11" ht="12.75" customHeight="1" x14ac:dyDescent="0.15">
      <c r="C842" s="88"/>
      <c r="D842" s="88"/>
      <c r="K842" s="176"/>
    </row>
    <row r="843" spans="3:11" ht="12.75" customHeight="1" x14ac:dyDescent="0.15">
      <c r="C843" s="88"/>
      <c r="D843" s="88"/>
      <c r="K843" s="176"/>
    </row>
    <row r="844" spans="3:11" ht="12.75" customHeight="1" x14ac:dyDescent="0.15">
      <c r="C844" s="88"/>
      <c r="D844" s="88"/>
      <c r="K844" s="176"/>
    </row>
    <row r="845" spans="3:11" ht="12.75" customHeight="1" x14ac:dyDescent="0.15">
      <c r="C845" s="88"/>
      <c r="D845" s="88"/>
      <c r="K845" s="176"/>
    </row>
    <row r="846" spans="3:11" ht="12.75" customHeight="1" x14ac:dyDescent="0.15">
      <c r="C846" s="88"/>
      <c r="D846" s="88"/>
      <c r="K846" s="176"/>
    </row>
    <row r="847" spans="3:11" ht="12.75" customHeight="1" x14ac:dyDescent="0.15">
      <c r="C847" s="88"/>
      <c r="D847" s="88"/>
      <c r="K847" s="176"/>
    </row>
    <row r="848" spans="3:11" ht="12.75" customHeight="1" x14ac:dyDescent="0.15">
      <c r="C848" s="88"/>
      <c r="D848" s="88"/>
      <c r="K848" s="176"/>
    </row>
    <row r="849" spans="3:11" ht="12.75" customHeight="1" x14ac:dyDescent="0.15">
      <c r="C849" s="88"/>
      <c r="D849" s="88"/>
      <c r="K849" s="176"/>
    </row>
    <row r="850" spans="3:11" ht="12.75" customHeight="1" x14ac:dyDescent="0.15">
      <c r="C850" s="88"/>
      <c r="D850" s="88"/>
      <c r="K850" s="176"/>
    </row>
    <row r="851" spans="3:11" ht="12.75" customHeight="1" x14ac:dyDescent="0.15">
      <c r="C851" s="88"/>
      <c r="D851" s="88"/>
      <c r="K851" s="176"/>
    </row>
    <row r="852" spans="3:11" ht="12.75" customHeight="1" x14ac:dyDescent="0.15">
      <c r="C852" s="88"/>
      <c r="D852" s="88"/>
      <c r="K852" s="176"/>
    </row>
    <row r="853" spans="3:11" ht="12.75" customHeight="1" x14ac:dyDescent="0.15">
      <c r="C853" s="88"/>
      <c r="D853" s="88"/>
      <c r="K853" s="176"/>
    </row>
    <row r="854" spans="3:11" ht="12.75" customHeight="1" x14ac:dyDescent="0.15">
      <c r="C854" s="88"/>
      <c r="D854" s="88"/>
      <c r="K854" s="176"/>
    </row>
    <row r="855" spans="3:11" ht="12.75" customHeight="1" x14ac:dyDescent="0.15">
      <c r="C855" s="88"/>
      <c r="D855" s="88"/>
      <c r="K855" s="176"/>
    </row>
    <row r="856" spans="3:11" ht="12.75" customHeight="1" x14ac:dyDescent="0.15">
      <c r="C856" s="88"/>
      <c r="D856" s="88"/>
      <c r="K856" s="176"/>
    </row>
    <row r="857" spans="3:11" ht="12.75" customHeight="1" x14ac:dyDescent="0.15">
      <c r="C857" s="88"/>
      <c r="D857" s="88"/>
      <c r="K857" s="176"/>
    </row>
    <row r="858" spans="3:11" ht="12.75" customHeight="1" x14ac:dyDescent="0.15">
      <c r="C858" s="88"/>
      <c r="D858" s="88"/>
      <c r="K858" s="176"/>
    </row>
    <row r="859" spans="3:11" ht="12.75" customHeight="1" x14ac:dyDescent="0.15">
      <c r="C859" s="88"/>
      <c r="D859" s="88"/>
      <c r="K859" s="176"/>
    </row>
    <row r="860" spans="3:11" ht="12.75" customHeight="1" x14ac:dyDescent="0.15">
      <c r="C860" s="88"/>
      <c r="D860" s="88"/>
      <c r="K860" s="176"/>
    </row>
    <row r="861" spans="3:11" ht="12.75" customHeight="1" x14ac:dyDescent="0.15">
      <c r="C861" s="88"/>
      <c r="D861" s="88"/>
      <c r="K861" s="176"/>
    </row>
    <row r="862" spans="3:11" ht="12.75" customHeight="1" x14ac:dyDescent="0.15">
      <c r="C862" s="88"/>
      <c r="D862" s="88"/>
      <c r="K862" s="176"/>
    </row>
    <row r="863" spans="3:11" ht="12.75" customHeight="1" x14ac:dyDescent="0.15">
      <c r="C863" s="88"/>
      <c r="D863" s="88"/>
      <c r="K863" s="176"/>
    </row>
    <row r="864" spans="3:11" ht="12.75" customHeight="1" x14ac:dyDescent="0.15">
      <c r="C864" s="88"/>
      <c r="D864" s="88"/>
      <c r="K864" s="176"/>
    </row>
    <row r="865" spans="3:11" ht="12.75" customHeight="1" x14ac:dyDescent="0.15">
      <c r="C865" s="88"/>
      <c r="D865" s="88"/>
      <c r="K865" s="176"/>
    </row>
    <row r="866" spans="3:11" ht="12.75" customHeight="1" x14ac:dyDescent="0.15">
      <c r="C866" s="88"/>
      <c r="D866" s="88"/>
      <c r="K866" s="176"/>
    </row>
    <row r="867" spans="3:11" ht="12.75" customHeight="1" x14ac:dyDescent="0.15">
      <c r="C867" s="88"/>
      <c r="D867" s="88"/>
      <c r="K867" s="176"/>
    </row>
    <row r="868" spans="3:11" ht="12.75" customHeight="1" x14ac:dyDescent="0.15">
      <c r="C868" s="88"/>
      <c r="D868" s="88"/>
      <c r="K868" s="176"/>
    </row>
    <row r="869" spans="3:11" ht="12.75" customHeight="1" x14ac:dyDescent="0.15">
      <c r="C869" s="88"/>
      <c r="D869" s="88"/>
      <c r="K869" s="176"/>
    </row>
    <row r="870" spans="3:11" ht="12.75" customHeight="1" x14ac:dyDescent="0.15">
      <c r="C870" s="88"/>
      <c r="D870" s="88"/>
      <c r="K870" s="176"/>
    </row>
    <row r="871" spans="3:11" ht="12.75" customHeight="1" x14ac:dyDescent="0.15">
      <c r="C871" s="88"/>
      <c r="D871" s="88"/>
      <c r="K871" s="176"/>
    </row>
    <row r="872" spans="3:11" ht="12.75" customHeight="1" x14ac:dyDescent="0.15">
      <c r="C872" s="88"/>
      <c r="D872" s="88"/>
      <c r="K872" s="176"/>
    </row>
    <row r="873" spans="3:11" ht="12.75" customHeight="1" x14ac:dyDescent="0.15">
      <c r="C873" s="88"/>
      <c r="D873" s="88"/>
      <c r="K873" s="176"/>
    </row>
    <row r="874" spans="3:11" ht="12.75" customHeight="1" x14ac:dyDescent="0.15">
      <c r="C874" s="88"/>
      <c r="D874" s="88"/>
      <c r="K874" s="176"/>
    </row>
    <row r="875" spans="3:11" ht="12.75" customHeight="1" x14ac:dyDescent="0.15">
      <c r="C875" s="88"/>
      <c r="D875" s="88"/>
      <c r="K875" s="176"/>
    </row>
    <row r="876" spans="3:11" ht="12.75" customHeight="1" x14ac:dyDescent="0.15">
      <c r="C876" s="88"/>
      <c r="D876" s="88"/>
      <c r="K876" s="176"/>
    </row>
    <row r="877" spans="3:11" ht="12.75" customHeight="1" x14ac:dyDescent="0.15">
      <c r="C877" s="88"/>
      <c r="D877" s="88"/>
      <c r="K877" s="176"/>
    </row>
    <row r="878" spans="3:11" ht="12.75" customHeight="1" x14ac:dyDescent="0.15">
      <c r="C878" s="88"/>
      <c r="D878" s="88"/>
      <c r="K878" s="176"/>
    </row>
    <row r="879" spans="3:11" ht="12.75" customHeight="1" x14ac:dyDescent="0.15">
      <c r="C879" s="88"/>
      <c r="D879" s="88"/>
      <c r="K879" s="176"/>
    </row>
    <row r="880" spans="3:11" ht="12.75" customHeight="1" x14ac:dyDescent="0.15">
      <c r="C880" s="88"/>
      <c r="D880" s="88"/>
      <c r="K880" s="176"/>
    </row>
    <row r="881" spans="3:11" ht="12.75" customHeight="1" x14ac:dyDescent="0.15">
      <c r="C881" s="88"/>
      <c r="D881" s="88"/>
      <c r="K881" s="176"/>
    </row>
    <row r="882" spans="3:11" ht="12.75" customHeight="1" x14ac:dyDescent="0.15">
      <c r="C882" s="88"/>
      <c r="D882" s="88"/>
      <c r="K882" s="176"/>
    </row>
    <row r="883" spans="3:11" ht="12.75" customHeight="1" x14ac:dyDescent="0.15">
      <c r="C883" s="88"/>
      <c r="D883" s="88"/>
      <c r="K883" s="176"/>
    </row>
    <row r="884" spans="3:11" ht="12.75" customHeight="1" x14ac:dyDescent="0.15">
      <c r="C884" s="88"/>
      <c r="D884" s="88"/>
      <c r="K884" s="176"/>
    </row>
    <row r="885" spans="3:11" ht="12.75" customHeight="1" x14ac:dyDescent="0.15">
      <c r="C885" s="88"/>
      <c r="D885" s="88"/>
      <c r="K885" s="176"/>
    </row>
    <row r="886" spans="3:11" ht="12.75" customHeight="1" x14ac:dyDescent="0.15">
      <c r="C886" s="88"/>
      <c r="D886" s="88"/>
      <c r="K886" s="176"/>
    </row>
    <row r="887" spans="3:11" ht="12.75" customHeight="1" x14ac:dyDescent="0.15">
      <c r="C887" s="88"/>
      <c r="D887" s="88"/>
      <c r="K887" s="176"/>
    </row>
    <row r="888" spans="3:11" ht="12.75" customHeight="1" x14ac:dyDescent="0.15">
      <c r="C888" s="88"/>
      <c r="D888" s="88"/>
      <c r="K888" s="176"/>
    </row>
    <row r="889" spans="3:11" ht="12.75" customHeight="1" x14ac:dyDescent="0.15">
      <c r="C889" s="88"/>
      <c r="D889" s="88"/>
      <c r="K889" s="176"/>
    </row>
    <row r="890" spans="3:11" ht="12.75" customHeight="1" x14ac:dyDescent="0.15">
      <c r="C890" s="88"/>
      <c r="D890" s="88"/>
      <c r="K890" s="176"/>
    </row>
    <row r="891" spans="3:11" ht="12.75" customHeight="1" x14ac:dyDescent="0.15">
      <c r="C891" s="88"/>
      <c r="D891" s="88"/>
      <c r="K891" s="176"/>
    </row>
    <row r="892" spans="3:11" ht="12.75" customHeight="1" x14ac:dyDescent="0.15">
      <c r="C892" s="88"/>
      <c r="D892" s="88"/>
      <c r="K892" s="176"/>
    </row>
    <row r="893" spans="3:11" ht="12.75" customHeight="1" x14ac:dyDescent="0.15">
      <c r="C893" s="88"/>
      <c r="D893" s="88"/>
      <c r="K893" s="176"/>
    </row>
    <row r="894" spans="3:11" ht="12.75" customHeight="1" x14ac:dyDescent="0.15">
      <c r="C894" s="88"/>
      <c r="D894" s="88"/>
      <c r="K894" s="176"/>
    </row>
    <row r="895" spans="3:11" ht="12.75" customHeight="1" x14ac:dyDescent="0.15">
      <c r="C895" s="88"/>
      <c r="D895" s="88"/>
      <c r="K895" s="176"/>
    </row>
    <row r="896" spans="3:11" ht="12.75" customHeight="1" x14ac:dyDescent="0.15">
      <c r="C896" s="88"/>
      <c r="D896" s="88"/>
      <c r="K896" s="176"/>
    </row>
    <row r="897" spans="3:11" ht="12.75" customHeight="1" x14ac:dyDescent="0.15">
      <c r="C897" s="88"/>
      <c r="D897" s="88"/>
      <c r="K897" s="176"/>
    </row>
    <row r="898" spans="3:11" ht="12.75" customHeight="1" x14ac:dyDescent="0.15">
      <c r="C898" s="88"/>
      <c r="D898" s="88"/>
      <c r="K898" s="176"/>
    </row>
    <row r="899" spans="3:11" ht="12.75" customHeight="1" x14ac:dyDescent="0.15">
      <c r="C899" s="88"/>
      <c r="D899" s="88"/>
      <c r="K899" s="176"/>
    </row>
    <row r="900" spans="3:11" ht="12.75" customHeight="1" x14ac:dyDescent="0.15">
      <c r="C900" s="88"/>
      <c r="D900" s="88"/>
      <c r="K900" s="176"/>
    </row>
    <row r="901" spans="3:11" ht="12.75" customHeight="1" x14ac:dyDescent="0.15">
      <c r="C901" s="88"/>
      <c r="D901" s="88"/>
      <c r="K901" s="176"/>
    </row>
    <row r="902" spans="3:11" ht="12.75" customHeight="1" x14ac:dyDescent="0.15">
      <c r="C902" s="88"/>
      <c r="D902" s="88"/>
      <c r="K902" s="176"/>
    </row>
    <row r="903" spans="3:11" ht="12.75" customHeight="1" x14ac:dyDescent="0.15">
      <c r="C903" s="88"/>
      <c r="D903" s="88"/>
      <c r="K903" s="176"/>
    </row>
    <row r="904" spans="3:11" ht="12.75" customHeight="1" x14ac:dyDescent="0.15">
      <c r="C904" s="88"/>
      <c r="D904" s="88"/>
      <c r="K904" s="176"/>
    </row>
    <row r="905" spans="3:11" ht="12.75" customHeight="1" x14ac:dyDescent="0.15">
      <c r="C905" s="88"/>
      <c r="D905" s="88"/>
      <c r="K905" s="176"/>
    </row>
    <row r="906" spans="3:11" ht="12.75" customHeight="1" x14ac:dyDescent="0.15">
      <c r="C906" s="88"/>
      <c r="D906" s="88"/>
      <c r="K906" s="176"/>
    </row>
    <row r="907" spans="3:11" ht="12.75" customHeight="1" x14ac:dyDescent="0.15">
      <c r="C907" s="88"/>
      <c r="D907" s="88"/>
      <c r="K907" s="176"/>
    </row>
    <row r="908" spans="3:11" ht="12.75" customHeight="1" x14ac:dyDescent="0.15">
      <c r="C908" s="88"/>
      <c r="D908" s="88"/>
      <c r="K908" s="176"/>
    </row>
    <row r="909" spans="3:11" ht="12.75" customHeight="1" x14ac:dyDescent="0.15">
      <c r="C909" s="88"/>
      <c r="D909" s="88"/>
      <c r="K909" s="176"/>
    </row>
    <row r="910" spans="3:11" ht="12.75" customHeight="1" x14ac:dyDescent="0.15">
      <c r="C910" s="88"/>
      <c r="D910" s="88"/>
      <c r="K910" s="176"/>
    </row>
    <row r="911" spans="3:11" ht="12.75" customHeight="1" x14ac:dyDescent="0.15">
      <c r="C911" s="88"/>
      <c r="D911" s="88"/>
      <c r="K911" s="176"/>
    </row>
    <row r="912" spans="3:11" ht="12.75" customHeight="1" x14ac:dyDescent="0.15">
      <c r="C912" s="88"/>
      <c r="D912" s="88"/>
      <c r="K912" s="176"/>
    </row>
    <row r="913" spans="3:11" ht="12.75" customHeight="1" x14ac:dyDescent="0.15">
      <c r="C913" s="88"/>
      <c r="D913" s="88"/>
      <c r="K913" s="176"/>
    </row>
    <row r="914" spans="3:11" ht="12.75" customHeight="1" x14ac:dyDescent="0.15">
      <c r="C914" s="88"/>
      <c r="D914" s="88"/>
      <c r="K914" s="176"/>
    </row>
    <row r="915" spans="3:11" ht="12.75" customHeight="1" x14ac:dyDescent="0.15">
      <c r="C915" s="88"/>
      <c r="D915" s="88"/>
      <c r="K915" s="176"/>
    </row>
    <row r="916" spans="3:11" ht="12.75" customHeight="1" x14ac:dyDescent="0.15">
      <c r="C916" s="88"/>
      <c r="D916" s="88"/>
      <c r="K916" s="176"/>
    </row>
    <row r="917" spans="3:11" ht="12.75" customHeight="1" x14ac:dyDescent="0.15">
      <c r="C917" s="88"/>
      <c r="D917" s="88"/>
      <c r="K917" s="176"/>
    </row>
    <row r="918" spans="3:11" ht="12.75" customHeight="1" x14ac:dyDescent="0.15">
      <c r="C918" s="88"/>
      <c r="D918" s="88"/>
      <c r="K918" s="176"/>
    </row>
    <row r="919" spans="3:11" ht="12.75" customHeight="1" x14ac:dyDescent="0.15">
      <c r="C919" s="88"/>
      <c r="D919" s="88"/>
      <c r="K919" s="176"/>
    </row>
    <row r="920" spans="3:11" ht="12.75" customHeight="1" x14ac:dyDescent="0.15">
      <c r="C920" s="88"/>
      <c r="D920" s="88"/>
      <c r="K920" s="176"/>
    </row>
    <row r="921" spans="3:11" ht="12.75" customHeight="1" x14ac:dyDescent="0.15">
      <c r="C921" s="88"/>
      <c r="D921" s="88"/>
      <c r="K921" s="176"/>
    </row>
    <row r="922" spans="3:11" ht="12.75" customHeight="1" x14ac:dyDescent="0.15">
      <c r="C922" s="88"/>
      <c r="D922" s="88"/>
      <c r="K922" s="176"/>
    </row>
    <row r="923" spans="3:11" ht="12.75" customHeight="1" x14ac:dyDescent="0.15">
      <c r="C923" s="88"/>
      <c r="D923" s="88"/>
      <c r="K923" s="176"/>
    </row>
    <row r="924" spans="3:11" ht="12.75" customHeight="1" x14ac:dyDescent="0.15">
      <c r="C924" s="88"/>
      <c r="D924" s="88"/>
      <c r="K924" s="176"/>
    </row>
    <row r="925" spans="3:11" ht="12.75" customHeight="1" x14ac:dyDescent="0.15">
      <c r="C925" s="88"/>
      <c r="D925" s="88"/>
      <c r="K925" s="176"/>
    </row>
    <row r="926" spans="3:11" ht="12.75" customHeight="1" x14ac:dyDescent="0.15">
      <c r="C926" s="88"/>
      <c r="D926" s="88"/>
      <c r="K926" s="176"/>
    </row>
    <row r="927" spans="3:11" ht="12.75" customHeight="1" x14ac:dyDescent="0.15">
      <c r="C927" s="88"/>
      <c r="D927" s="88"/>
      <c r="K927" s="176"/>
    </row>
    <row r="928" spans="3:11" ht="12.75" customHeight="1" x14ac:dyDescent="0.15">
      <c r="C928" s="88"/>
      <c r="D928" s="88"/>
      <c r="K928" s="176"/>
    </row>
    <row r="929" spans="3:11" ht="12.75" customHeight="1" x14ac:dyDescent="0.15">
      <c r="C929" s="88"/>
      <c r="D929" s="88"/>
      <c r="K929" s="176"/>
    </row>
    <row r="930" spans="3:11" ht="12.75" customHeight="1" x14ac:dyDescent="0.15">
      <c r="C930" s="88"/>
      <c r="D930" s="88"/>
      <c r="K930" s="176"/>
    </row>
    <row r="931" spans="3:11" ht="12.75" customHeight="1" x14ac:dyDescent="0.15">
      <c r="C931" s="88"/>
      <c r="D931" s="88"/>
      <c r="K931" s="176"/>
    </row>
    <row r="932" spans="3:11" ht="12.75" customHeight="1" x14ac:dyDescent="0.15">
      <c r="C932" s="88"/>
      <c r="D932" s="88"/>
      <c r="K932" s="176"/>
    </row>
    <row r="933" spans="3:11" ht="12.75" customHeight="1" x14ac:dyDescent="0.15">
      <c r="C933" s="88"/>
      <c r="D933" s="88"/>
      <c r="K933" s="176"/>
    </row>
    <row r="934" spans="3:11" ht="12.75" customHeight="1" x14ac:dyDescent="0.15">
      <c r="C934" s="88"/>
      <c r="D934" s="88"/>
      <c r="K934" s="176"/>
    </row>
    <row r="935" spans="3:11" ht="12.75" customHeight="1" x14ac:dyDescent="0.15">
      <c r="C935" s="88"/>
      <c r="D935" s="88"/>
      <c r="K935" s="176"/>
    </row>
    <row r="936" spans="3:11" ht="12.75" customHeight="1" x14ac:dyDescent="0.15">
      <c r="C936" s="88"/>
      <c r="D936" s="88"/>
      <c r="K936" s="176"/>
    </row>
    <row r="937" spans="3:11" ht="12.75" customHeight="1" x14ac:dyDescent="0.15">
      <c r="C937" s="88"/>
      <c r="D937" s="88"/>
      <c r="K937" s="176"/>
    </row>
    <row r="938" spans="3:11" ht="12.75" customHeight="1" x14ac:dyDescent="0.15">
      <c r="C938" s="88"/>
      <c r="D938" s="88"/>
      <c r="K938" s="176"/>
    </row>
    <row r="939" spans="3:11" ht="12.75" customHeight="1" x14ac:dyDescent="0.15">
      <c r="C939" s="88"/>
      <c r="D939" s="88"/>
      <c r="K939" s="176"/>
    </row>
    <row r="940" spans="3:11" ht="12.75" customHeight="1" x14ac:dyDescent="0.15">
      <c r="C940" s="88"/>
      <c r="D940" s="88"/>
      <c r="K940" s="176"/>
    </row>
    <row r="941" spans="3:11" ht="12.75" customHeight="1" x14ac:dyDescent="0.15">
      <c r="C941" s="88"/>
      <c r="D941" s="88"/>
      <c r="K941" s="176"/>
    </row>
    <row r="942" spans="3:11" ht="12.75" customHeight="1" x14ac:dyDescent="0.15">
      <c r="C942" s="88"/>
      <c r="D942" s="88"/>
      <c r="K942" s="176"/>
    </row>
    <row r="943" spans="3:11" ht="12.75" customHeight="1" x14ac:dyDescent="0.15">
      <c r="C943" s="88"/>
      <c r="D943" s="88"/>
      <c r="K943" s="176"/>
    </row>
    <row r="944" spans="3:11" ht="12.75" customHeight="1" x14ac:dyDescent="0.15">
      <c r="C944" s="88"/>
      <c r="D944" s="88"/>
      <c r="K944" s="176"/>
    </row>
    <row r="945" spans="3:11" ht="12.75" customHeight="1" x14ac:dyDescent="0.15">
      <c r="C945" s="88"/>
      <c r="D945" s="88"/>
      <c r="K945" s="176"/>
    </row>
    <row r="946" spans="3:11" ht="12.75" customHeight="1" x14ac:dyDescent="0.15">
      <c r="C946" s="88"/>
      <c r="D946" s="88"/>
      <c r="K946" s="176"/>
    </row>
    <row r="947" spans="3:11" ht="12.75" customHeight="1" x14ac:dyDescent="0.15">
      <c r="C947" s="88"/>
      <c r="D947" s="88"/>
      <c r="K947" s="176"/>
    </row>
    <row r="948" spans="3:11" ht="12.75" customHeight="1" x14ac:dyDescent="0.15">
      <c r="C948" s="88"/>
      <c r="D948" s="88"/>
      <c r="K948" s="176"/>
    </row>
    <row r="949" spans="3:11" ht="12.75" customHeight="1" x14ac:dyDescent="0.15">
      <c r="C949" s="88"/>
      <c r="D949" s="88"/>
      <c r="K949" s="176"/>
    </row>
    <row r="950" spans="3:11" ht="12.75" customHeight="1" x14ac:dyDescent="0.15">
      <c r="C950" s="88"/>
      <c r="D950" s="88"/>
      <c r="K950" s="176"/>
    </row>
    <row r="951" spans="3:11" ht="12.75" customHeight="1" x14ac:dyDescent="0.15">
      <c r="C951" s="88"/>
      <c r="D951" s="88"/>
      <c r="K951" s="176"/>
    </row>
    <row r="952" spans="3:11" ht="12.75" customHeight="1" x14ac:dyDescent="0.15">
      <c r="C952" s="88"/>
      <c r="D952" s="88"/>
      <c r="K952" s="176"/>
    </row>
    <row r="953" spans="3:11" ht="12.75" customHeight="1" x14ac:dyDescent="0.15">
      <c r="C953" s="88"/>
      <c r="D953" s="88"/>
      <c r="K953" s="176"/>
    </row>
    <row r="954" spans="3:11" ht="12.75" customHeight="1" x14ac:dyDescent="0.15">
      <c r="C954" s="88"/>
      <c r="D954" s="88"/>
      <c r="K954" s="176"/>
    </row>
    <row r="955" spans="3:11" ht="12.75" customHeight="1" x14ac:dyDescent="0.15">
      <c r="C955" s="88"/>
      <c r="D955" s="88"/>
      <c r="K955" s="176"/>
    </row>
    <row r="956" spans="3:11" ht="12.75" customHeight="1" x14ac:dyDescent="0.15">
      <c r="C956" s="88"/>
      <c r="D956" s="88"/>
      <c r="K956" s="176"/>
    </row>
    <row r="957" spans="3:11" ht="12.75" customHeight="1" x14ac:dyDescent="0.15">
      <c r="C957" s="88"/>
      <c r="D957" s="88"/>
      <c r="K957" s="176"/>
    </row>
    <row r="958" spans="3:11" ht="12.75" customHeight="1" x14ac:dyDescent="0.15">
      <c r="C958" s="88"/>
      <c r="D958" s="88"/>
      <c r="K958" s="176"/>
    </row>
    <row r="959" spans="3:11" ht="12.75" customHeight="1" x14ac:dyDescent="0.15">
      <c r="C959" s="88"/>
      <c r="D959" s="88"/>
      <c r="K959" s="176"/>
    </row>
    <row r="960" spans="3:11" ht="12.75" customHeight="1" x14ac:dyDescent="0.15">
      <c r="C960" s="88"/>
      <c r="D960" s="88"/>
      <c r="K960" s="176"/>
    </row>
    <row r="961" spans="3:11" ht="12.75" customHeight="1" x14ac:dyDescent="0.15">
      <c r="C961" s="88"/>
      <c r="D961" s="88"/>
      <c r="K961" s="176"/>
    </row>
    <row r="962" spans="3:11" ht="12.75" customHeight="1" x14ac:dyDescent="0.15">
      <c r="C962" s="88"/>
      <c r="D962" s="88"/>
      <c r="K962" s="176"/>
    </row>
    <row r="963" spans="3:11" ht="12.75" customHeight="1" x14ac:dyDescent="0.15">
      <c r="C963" s="88"/>
      <c r="D963" s="88"/>
      <c r="K963" s="176"/>
    </row>
    <row r="964" spans="3:11" ht="12.75" customHeight="1" x14ac:dyDescent="0.15">
      <c r="C964" s="88"/>
      <c r="D964" s="88"/>
      <c r="K964" s="176"/>
    </row>
    <row r="965" spans="3:11" ht="12.75" customHeight="1" x14ac:dyDescent="0.15">
      <c r="C965" s="88"/>
      <c r="D965" s="88"/>
      <c r="K965" s="176"/>
    </row>
    <row r="966" spans="3:11" ht="12.75" customHeight="1" x14ac:dyDescent="0.15">
      <c r="C966" s="88"/>
      <c r="D966" s="88"/>
      <c r="K966" s="176"/>
    </row>
    <row r="967" spans="3:11" ht="12.75" customHeight="1" x14ac:dyDescent="0.15">
      <c r="C967" s="88"/>
      <c r="D967" s="88"/>
      <c r="K967" s="176"/>
    </row>
    <row r="968" spans="3:11" ht="12.75" customHeight="1" x14ac:dyDescent="0.15">
      <c r="C968" s="88"/>
      <c r="D968" s="88"/>
      <c r="K968" s="176"/>
    </row>
    <row r="969" spans="3:11" ht="12.75" customHeight="1" x14ac:dyDescent="0.15">
      <c r="C969" s="88"/>
      <c r="D969" s="88"/>
      <c r="K969" s="176"/>
    </row>
    <row r="970" spans="3:11" ht="12.75" customHeight="1" x14ac:dyDescent="0.15">
      <c r="C970" s="88"/>
      <c r="D970" s="88"/>
      <c r="K970" s="176"/>
    </row>
    <row r="971" spans="3:11" ht="12.75" customHeight="1" x14ac:dyDescent="0.15">
      <c r="C971" s="88"/>
      <c r="D971" s="88"/>
      <c r="K971" s="176"/>
    </row>
    <row r="972" spans="3:11" ht="12.75" customHeight="1" x14ac:dyDescent="0.15">
      <c r="C972" s="88"/>
      <c r="D972" s="88"/>
      <c r="K972" s="176"/>
    </row>
    <row r="973" spans="3:11" ht="12.75" customHeight="1" x14ac:dyDescent="0.15">
      <c r="C973" s="88"/>
      <c r="D973" s="88"/>
      <c r="K973" s="176"/>
    </row>
    <row r="974" spans="3:11" ht="12.75" customHeight="1" x14ac:dyDescent="0.15">
      <c r="C974" s="88"/>
      <c r="D974" s="88"/>
      <c r="K974" s="176"/>
    </row>
    <row r="975" spans="3:11" ht="12.75" customHeight="1" x14ac:dyDescent="0.15">
      <c r="C975" s="88"/>
      <c r="D975" s="88"/>
      <c r="K975" s="176"/>
    </row>
    <row r="976" spans="3:11" ht="12.75" customHeight="1" x14ac:dyDescent="0.15">
      <c r="C976" s="88"/>
      <c r="D976" s="88"/>
      <c r="K976" s="176"/>
    </row>
    <row r="977" spans="3:11" ht="12.75" customHeight="1" x14ac:dyDescent="0.15">
      <c r="C977" s="88"/>
      <c r="D977" s="88"/>
      <c r="K977" s="176"/>
    </row>
    <row r="978" spans="3:11" ht="12.75" customHeight="1" x14ac:dyDescent="0.15">
      <c r="C978" s="88"/>
      <c r="D978" s="88"/>
      <c r="K978" s="176"/>
    </row>
    <row r="979" spans="3:11" ht="12.75" customHeight="1" x14ac:dyDescent="0.15">
      <c r="C979" s="88"/>
      <c r="D979" s="88"/>
      <c r="K979" s="176"/>
    </row>
    <row r="980" spans="3:11" ht="12.75" customHeight="1" x14ac:dyDescent="0.15">
      <c r="C980" s="88"/>
      <c r="D980" s="88"/>
      <c r="K980" s="176"/>
    </row>
    <row r="981" spans="3:11" ht="12.75" customHeight="1" x14ac:dyDescent="0.15">
      <c r="C981" s="88"/>
      <c r="D981" s="88"/>
      <c r="K981" s="176"/>
    </row>
    <row r="982" spans="3:11" ht="12.75" customHeight="1" x14ac:dyDescent="0.15">
      <c r="C982" s="88"/>
      <c r="D982" s="88"/>
      <c r="K982" s="176"/>
    </row>
    <row r="983" spans="3:11" ht="12.75" customHeight="1" x14ac:dyDescent="0.15">
      <c r="C983" s="88"/>
      <c r="D983" s="88"/>
      <c r="K983" s="176"/>
    </row>
    <row r="984" spans="3:11" ht="12.75" customHeight="1" x14ac:dyDescent="0.15">
      <c r="C984" s="88"/>
      <c r="D984" s="88"/>
      <c r="K984" s="176"/>
    </row>
    <row r="985" spans="3:11" ht="12.75" customHeight="1" x14ac:dyDescent="0.15">
      <c r="C985" s="88"/>
      <c r="D985" s="88"/>
      <c r="K985" s="176"/>
    </row>
    <row r="986" spans="3:11" ht="12.75" customHeight="1" x14ac:dyDescent="0.15">
      <c r="C986" s="88"/>
      <c r="D986" s="88"/>
      <c r="K986" s="176"/>
    </row>
    <row r="987" spans="3:11" ht="12.75" customHeight="1" x14ac:dyDescent="0.15">
      <c r="C987" s="88"/>
      <c r="D987" s="88"/>
      <c r="K987" s="176"/>
    </row>
    <row r="988" spans="3:11" ht="12.75" customHeight="1" x14ac:dyDescent="0.15">
      <c r="C988" s="88"/>
      <c r="D988" s="88"/>
      <c r="K988" s="176"/>
    </row>
    <row r="989" spans="3:11" ht="12.75" customHeight="1" x14ac:dyDescent="0.15">
      <c r="C989" s="88"/>
      <c r="D989" s="88"/>
      <c r="K989" s="176"/>
    </row>
    <row r="990" spans="3:11" ht="12.75" customHeight="1" x14ac:dyDescent="0.15">
      <c r="C990" s="88"/>
      <c r="D990" s="88"/>
      <c r="K990" s="176"/>
    </row>
    <row r="991" spans="3:11" ht="12.75" customHeight="1" x14ac:dyDescent="0.15">
      <c r="C991" s="88"/>
      <c r="D991" s="88"/>
      <c r="K991" s="176"/>
    </row>
  </sheetData>
  <autoFilter ref="A1:L49" xr:uid="{00000000-0009-0000-0000-000005000000}"/>
  <printOptions gridLines="1"/>
  <pageMargins left="0.7" right="0.7" top="0.75" bottom="0.75" header="0" footer="0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2.67578125" defaultRowHeight="15" customHeight="1" x14ac:dyDescent="0.15"/>
  <cols>
    <col min="1" max="1" width="13.484375" customWidth="1"/>
    <col min="2" max="2" width="12" customWidth="1"/>
    <col min="3" max="3" width="12.80859375" customWidth="1"/>
    <col min="4" max="4" width="24.54296875" customWidth="1"/>
    <col min="5" max="26" width="8.62890625" customWidth="1"/>
  </cols>
  <sheetData>
    <row r="1" spans="1:4" ht="12.75" customHeight="1" x14ac:dyDescent="0.15">
      <c r="A1" s="69" t="s">
        <v>499</v>
      </c>
      <c r="B1" s="69" t="s">
        <v>2</v>
      </c>
      <c r="C1" s="69" t="s">
        <v>5</v>
      </c>
      <c r="D1" s="69" t="s">
        <v>7</v>
      </c>
    </row>
    <row r="2" spans="1:4" ht="12.75" customHeight="1" x14ac:dyDescent="0.15">
      <c r="A2" s="12">
        <f t="shared" ref="A2:A621" ca="1" si="0">RANDBETWEEN(1000000, 9999999)</f>
        <v>8771282</v>
      </c>
      <c r="B2" s="58" t="s">
        <v>4</v>
      </c>
      <c r="C2" s="58" t="s">
        <v>134</v>
      </c>
      <c r="D2" s="59" t="s">
        <v>229</v>
      </c>
    </row>
    <row r="3" spans="1:4" ht="12.75" customHeight="1" x14ac:dyDescent="0.15">
      <c r="A3" s="12">
        <f t="shared" ca="1" si="0"/>
        <v>1853945</v>
      </c>
      <c r="B3" s="58" t="s">
        <v>4</v>
      </c>
      <c r="C3" s="58" t="s">
        <v>47</v>
      </c>
      <c r="D3" s="59" t="s">
        <v>49</v>
      </c>
    </row>
    <row r="4" spans="1:4" ht="12.75" customHeight="1" x14ac:dyDescent="0.15">
      <c r="A4" s="12">
        <f t="shared" ca="1" si="0"/>
        <v>2280906</v>
      </c>
      <c r="B4" s="57" t="s">
        <v>3</v>
      </c>
      <c r="C4" s="58" t="s">
        <v>47</v>
      </c>
      <c r="D4" s="59" t="s">
        <v>58</v>
      </c>
    </row>
    <row r="5" spans="1:4" ht="12.75" customHeight="1" x14ac:dyDescent="0.15">
      <c r="A5" s="12">
        <f t="shared" ca="1" si="0"/>
        <v>1312731</v>
      </c>
      <c r="B5" s="57" t="s">
        <v>3</v>
      </c>
      <c r="C5" s="57" t="s">
        <v>65</v>
      </c>
      <c r="D5" s="103" t="s">
        <v>66</v>
      </c>
    </row>
    <row r="6" spans="1:4" ht="12.75" customHeight="1" x14ac:dyDescent="0.15">
      <c r="A6" s="12">
        <f t="shared" ca="1" si="0"/>
        <v>5115776</v>
      </c>
      <c r="B6" s="57" t="s">
        <v>4</v>
      </c>
      <c r="C6" s="57" t="s">
        <v>82</v>
      </c>
      <c r="D6" s="103" t="s">
        <v>85</v>
      </c>
    </row>
    <row r="7" spans="1:4" ht="12.75" customHeight="1" x14ac:dyDescent="0.15">
      <c r="A7" s="12">
        <f t="shared" ca="1" si="0"/>
        <v>9948127</v>
      </c>
      <c r="B7" s="57" t="s">
        <v>3</v>
      </c>
      <c r="C7" s="57" t="s">
        <v>82</v>
      </c>
      <c r="D7" s="103" t="s">
        <v>93</v>
      </c>
    </row>
    <row r="8" spans="1:4" ht="12.75" customHeight="1" x14ac:dyDescent="0.15">
      <c r="A8" s="12">
        <f t="shared" ca="1" si="0"/>
        <v>5303995</v>
      </c>
      <c r="B8" s="57" t="s">
        <v>298</v>
      </c>
      <c r="C8" s="57" t="s">
        <v>104</v>
      </c>
      <c r="D8" s="103" t="s">
        <v>105</v>
      </c>
    </row>
    <row r="9" spans="1:4" ht="12.75" customHeight="1" x14ac:dyDescent="0.15">
      <c r="A9" s="12">
        <f t="shared" ca="1" si="0"/>
        <v>1781978</v>
      </c>
      <c r="B9" s="57" t="s">
        <v>4</v>
      </c>
      <c r="C9" s="57" t="s">
        <v>106</v>
      </c>
      <c r="D9" s="103" t="s">
        <v>107</v>
      </c>
    </row>
    <row r="10" spans="1:4" ht="12.75" customHeight="1" x14ac:dyDescent="0.15">
      <c r="A10" s="12">
        <f t="shared" ca="1" si="0"/>
        <v>2865863</v>
      </c>
      <c r="B10" s="223" t="s">
        <v>306</v>
      </c>
      <c r="C10" s="223" t="s">
        <v>109</v>
      </c>
      <c r="D10" s="224" t="s">
        <v>110</v>
      </c>
    </row>
    <row r="11" spans="1:4" ht="12.75" customHeight="1" x14ac:dyDescent="0.15">
      <c r="A11" s="12">
        <f t="shared" ca="1" si="0"/>
        <v>3309964</v>
      </c>
      <c r="B11" s="150" t="s">
        <v>4</v>
      </c>
      <c r="C11" s="150" t="s">
        <v>111</v>
      </c>
      <c r="D11" s="151" t="s">
        <v>112</v>
      </c>
    </row>
    <row r="12" spans="1:4" ht="12.75" customHeight="1" x14ac:dyDescent="0.15">
      <c r="A12" s="12">
        <f t="shared" ca="1" si="0"/>
        <v>7115478</v>
      </c>
      <c r="B12" s="113" t="s">
        <v>4</v>
      </c>
      <c r="C12" s="113" t="s">
        <v>500</v>
      </c>
      <c r="D12" s="114" t="s">
        <v>114</v>
      </c>
    </row>
    <row r="13" spans="1:4" ht="12.75" customHeight="1" x14ac:dyDescent="0.15">
      <c r="A13" s="12">
        <f t="shared" ca="1" si="0"/>
        <v>3706107</v>
      </c>
      <c r="B13" s="57" t="s">
        <v>4</v>
      </c>
      <c r="C13" s="57" t="s">
        <v>115</v>
      </c>
      <c r="D13" s="103" t="s">
        <v>116</v>
      </c>
    </row>
    <row r="14" spans="1:4" ht="12.75" customHeight="1" x14ac:dyDescent="0.15">
      <c r="A14" s="12">
        <f t="shared" ca="1" si="0"/>
        <v>7502540</v>
      </c>
      <c r="B14" s="57" t="s">
        <v>4</v>
      </c>
      <c r="C14" s="57" t="s">
        <v>117</v>
      </c>
      <c r="D14" s="103" t="s">
        <v>118</v>
      </c>
    </row>
    <row r="15" spans="1:4" ht="12.75" customHeight="1" x14ac:dyDescent="0.15">
      <c r="A15" s="12">
        <f t="shared" ca="1" si="0"/>
        <v>5348657</v>
      </c>
      <c r="B15" s="57" t="s">
        <v>3</v>
      </c>
      <c r="C15" s="57" t="s">
        <v>120</v>
      </c>
      <c r="D15" s="103" t="s">
        <v>122</v>
      </c>
    </row>
    <row r="16" spans="1:4" ht="12.75" customHeight="1" x14ac:dyDescent="0.15">
      <c r="A16" s="12">
        <f t="shared" ca="1" si="0"/>
        <v>7144071</v>
      </c>
      <c r="B16" s="57" t="s">
        <v>3</v>
      </c>
      <c r="C16" s="57" t="s">
        <v>124</v>
      </c>
      <c r="D16" s="103" t="s">
        <v>127</v>
      </c>
    </row>
    <row r="17" spans="1:4" ht="12.75" customHeight="1" x14ac:dyDescent="0.15">
      <c r="A17" s="12">
        <f t="shared" ca="1" si="0"/>
        <v>3027046</v>
      </c>
      <c r="B17" s="57" t="s">
        <v>3</v>
      </c>
      <c r="C17" s="57" t="s">
        <v>124</v>
      </c>
      <c r="D17" s="103" t="s">
        <v>125</v>
      </c>
    </row>
    <row r="18" spans="1:4" ht="12.75" customHeight="1" x14ac:dyDescent="0.15">
      <c r="A18" s="12">
        <f t="shared" ca="1" si="0"/>
        <v>4672788</v>
      </c>
      <c r="B18" s="57" t="s">
        <v>4</v>
      </c>
      <c r="C18" s="57" t="s">
        <v>128</v>
      </c>
      <c r="D18" s="103" t="s">
        <v>129</v>
      </c>
    </row>
    <row r="19" spans="1:4" ht="12.75" customHeight="1" x14ac:dyDescent="0.15">
      <c r="A19" s="12">
        <f t="shared" ca="1" si="0"/>
        <v>6685180</v>
      </c>
      <c r="B19" s="58" t="s">
        <v>3</v>
      </c>
      <c r="C19" s="58" t="s">
        <v>137</v>
      </c>
      <c r="D19" s="59" t="s">
        <v>138</v>
      </c>
    </row>
    <row r="20" spans="1:4" ht="12.75" customHeight="1" x14ac:dyDescent="0.15">
      <c r="A20" s="12">
        <f t="shared" ca="1" si="0"/>
        <v>2628603</v>
      </c>
      <c r="B20" s="223" t="s">
        <v>3</v>
      </c>
      <c r="C20" s="223" t="s">
        <v>139</v>
      </c>
      <c r="D20" s="224" t="s">
        <v>141</v>
      </c>
    </row>
    <row r="21" spans="1:4" ht="12.75" customHeight="1" x14ac:dyDescent="0.15">
      <c r="A21" s="12">
        <f t="shared" ca="1" si="0"/>
        <v>1519446</v>
      </c>
      <c r="B21" s="155" t="s">
        <v>3</v>
      </c>
      <c r="C21" s="155" t="s">
        <v>130</v>
      </c>
      <c r="D21" s="156" t="s">
        <v>131</v>
      </c>
    </row>
    <row r="22" spans="1:4" ht="12.75" customHeight="1" x14ac:dyDescent="0.15">
      <c r="A22" s="12">
        <f t="shared" ca="1" si="0"/>
        <v>9690285</v>
      </c>
      <c r="B22" s="155" t="s">
        <v>4</v>
      </c>
      <c r="C22" s="155" t="s">
        <v>130</v>
      </c>
      <c r="D22" s="156" t="s">
        <v>133</v>
      </c>
    </row>
    <row r="23" spans="1:4" ht="12.75" customHeight="1" x14ac:dyDescent="0.15">
      <c r="A23" s="12">
        <f t="shared" ca="1" si="0"/>
        <v>3720612</v>
      </c>
      <c r="B23" s="58" t="s">
        <v>3</v>
      </c>
      <c r="C23" s="58" t="s">
        <v>134</v>
      </c>
      <c r="D23" s="59" t="s">
        <v>235</v>
      </c>
    </row>
    <row r="24" spans="1:4" ht="12.75" customHeight="1" x14ac:dyDescent="0.15">
      <c r="A24" s="12">
        <f t="shared" ca="1" si="0"/>
        <v>6790082</v>
      </c>
      <c r="B24" s="57" t="s">
        <v>4</v>
      </c>
      <c r="C24" s="58" t="s">
        <v>144</v>
      </c>
      <c r="D24" s="59" t="s">
        <v>145</v>
      </c>
    </row>
    <row r="25" spans="1:4" ht="12.75" customHeight="1" x14ac:dyDescent="0.15">
      <c r="A25" s="12">
        <f t="shared" ca="1" si="0"/>
        <v>7023217</v>
      </c>
      <c r="B25" s="147" t="s">
        <v>3</v>
      </c>
      <c r="C25" s="147" t="s">
        <v>149</v>
      </c>
      <c r="D25" s="148" t="s">
        <v>150</v>
      </c>
    </row>
    <row r="26" spans="1:4" ht="12.75" customHeight="1" x14ac:dyDescent="0.15">
      <c r="A26" s="12">
        <f t="shared" ca="1" si="0"/>
        <v>2231301</v>
      </c>
      <c r="B26" s="147" t="s">
        <v>4</v>
      </c>
      <c r="C26" s="147" t="s">
        <v>149</v>
      </c>
      <c r="D26" s="148" t="s">
        <v>147</v>
      </c>
    </row>
    <row r="27" spans="1:4" ht="12.75" customHeight="1" x14ac:dyDescent="0.15">
      <c r="A27" s="12">
        <f t="shared" ca="1" si="0"/>
        <v>8304099</v>
      </c>
      <c r="B27" s="150" t="s">
        <v>4</v>
      </c>
      <c r="C27" s="150" t="s">
        <v>162</v>
      </c>
      <c r="D27" s="151" t="s">
        <v>163</v>
      </c>
    </row>
    <row r="28" spans="1:4" ht="12.75" customHeight="1" x14ac:dyDescent="0.15">
      <c r="A28" s="12">
        <f t="shared" ca="1" si="0"/>
        <v>6060003</v>
      </c>
      <c r="B28" s="57" t="s">
        <v>4</v>
      </c>
      <c r="C28" s="57" t="s">
        <v>171</v>
      </c>
      <c r="D28" s="103" t="s">
        <v>174</v>
      </c>
    </row>
    <row r="29" spans="1:4" ht="12.75" customHeight="1" x14ac:dyDescent="0.15">
      <c r="A29" s="12">
        <f t="shared" ca="1" si="0"/>
        <v>2609384</v>
      </c>
      <c r="B29" s="57" t="s">
        <v>4</v>
      </c>
      <c r="C29" s="57" t="s">
        <v>175</v>
      </c>
      <c r="D29" s="103" t="s">
        <v>178</v>
      </c>
    </row>
    <row r="30" spans="1:4" ht="12.75" customHeight="1" x14ac:dyDescent="0.15">
      <c r="A30" s="12">
        <f t="shared" ca="1" si="0"/>
        <v>4859587</v>
      </c>
      <c r="B30" s="57" t="s">
        <v>461</v>
      </c>
      <c r="C30" s="57" t="s">
        <v>184</v>
      </c>
      <c r="D30" s="103" t="s">
        <v>186</v>
      </c>
    </row>
    <row r="31" spans="1:4" ht="12.75" customHeight="1" x14ac:dyDescent="0.15">
      <c r="A31" s="12">
        <f t="shared" ca="1" si="0"/>
        <v>8850233</v>
      </c>
      <c r="B31" s="57" t="s">
        <v>4</v>
      </c>
      <c r="C31" s="57" t="s">
        <v>184</v>
      </c>
      <c r="D31" s="103" t="s">
        <v>190</v>
      </c>
    </row>
    <row r="32" spans="1:4" ht="12.75" customHeight="1" x14ac:dyDescent="0.15">
      <c r="A32" s="12">
        <f t="shared" ca="1" si="0"/>
        <v>2415531</v>
      </c>
      <c r="B32" s="113" t="s">
        <v>4</v>
      </c>
      <c r="C32" s="113" t="s">
        <v>196</v>
      </c>
      <c r="D32" s="114" t="s">
        <v>133</v>
      </c>
    </row>
    <row r="33" spans="1:4" ht="12.75" customHeight="1" x14ac:dyDescent="0.15">
      <c r="A33" s="12">
        <f t="shared" ca="1" si="0"/>
        <v>9994572</v>
      </c>
      <c r="B33" s="57" t="s">
        <v>4</v>
      </c>
      <c r="C33" s="57" t="s">
        <v>200</v>
      </c>
      <c r="D33" s="103" t="s">
        <v>201</v>
      </c>
    </row>
    <row r="34" spans="1:4" ht="12.75" customHeight="1" x14ac:dyDescent="0.15">
      <c r="A34" s="12">
        <f t="shared" ca="1" si="0"/>
        <v>9355943</v>
      </c>
      <c r="B34" s="57" t="s">
        <v>4</v>
      </c>
      <c r="C34" s="57" t="s">
        <v>200</v>
      </c>
      <c r="D34" s="103" t="s">
        <v>195</v>
      </c>
    </row>
    <row r="35" spans="1:4" ht="12.75" customHeight="1" x14ac:dyDescent="0.15">
      <c r="A35" s="12">
        <f t="shared" ca="1" si="0"/>
        <v>4828361</v>
      </c>
      <c r="B35" s="179" t="s">
        <v>495</v>
      </c>
      <c r="C35" s="179" t="s">
        <v>200</v>
      </c>
      <c r="D35" s="209" t="s">
        <v>203</v>
      </c>
    </row>
    <row r="36" spans="1:4" ht="12.75" customHeight="1" x14ac:dyDescent="0.15">
      <c r="A36" s="12">
        <f t="shared" ca="1" si="0"/>
        <v>3128734</v>
      </c>
      <c r="B36" s="150" t="s">
        <v>4</v>
      </c>
      <c r="C36" s="150" t="s">
        <v>225</v>
      </c>
      <c r="D36" s="151" t="s">
        <v>226</v>
      </c>
    </row>
    <row r="37" spans="1:4" ht="12.75" customHeight="1" x14ac:dyDescent="0.15">
      <c r="A37" s="12">
        <f t="shared" ca="1" si="0"/>
        <v>6377024</v>
      </c>
      <c r="B37" s="150" t="s">
        <v>298</v>
      </c>
      <c r="C37" s="150" t="s">
        <v>225</v>
      </c>
      <c r="D37" s="151" t="s">
        <v>228</v>
      </c>
    </row>
    <row r="38" spans="1:4" ht="12.75" customHeight="1" x14ac:dyDescent="0.15">
      <c r="A38" s="12">
        <f t="shared" ca="1" si="0"/>
        <v>8985764</v>
      </c>
      <c r="B38" s="57" t="s">
        <v>3</v>
      </c>
      <c r="C38" s="57" t="s">
        <v>233</v>
      </c>
      <c r="D38" s="103" t="s">
        <v>234</v>
      </c>
    </row>
    <row r="39" spans="1:4" ht="12.75" customHeight="1" x14ac:dyDescent="0.15">
      <c r="A39" s="12">
        <f t="shared" ca="1" si="0"/>
        <v>1506203</v>
      </c>
      <c r="B39" s="57" t="s">
        <v>3</v>
      </c>
      <c r="C39" s="57" t="s">
        <v>6</v>
      </c>
      <c r="D39" s="103" t="s">
        <v>236</v>
      </c>
    </row>
    <row r="40" spans="1:4" ht="12.75" customHeight="1" x14ac:dyDescent="0.15">
      <c r="A40" s="12">
        <f t="shared" ca="1" si="0"/>
        <v>2464524</v>
      </c>
      <c r="B40" s="57" t="s">
        <v>3</v>
      </c>
      <c r="C40" s="57" t="s">
        <v>6</v>
      </c>
      <c r="D40" s="103" t="s">
        <v>8</v>
      </c>
    </row>
    <row r="41" spans="1:4" ht="12.75" customHeight="1" x14ac:dyDescent="0.15">
      <c r="A41" s="12">
        <f t="shared" ca="1" si="0"/>
        <v>7066590</v>
      </c>
      <c r="B41" s="57" t="s">
        <v>4</v>
      </c>
      <c r="C41" s="57" t="s">
        <v>6</v>
      </c>
      <c r="D41" s="103" t="s">
        <v>10</v>
      </c>
    </row>
    <row r="42" spans="1:4" ht="12.75" customHeight="1" x14ac:dyDescent="0.15">
      <c r="A42" s="12">
        <f t="shared" ca="1" si="0"/>
        <v>1352498</v>
      </c>
      <c r="B42" s="155" t="s">
        <v>3</v>
      </c>
      <c r="C42" s="155" t="s">
        <v>6</v>
      </c>
      <c r="D42" s="156" t="s">
        <v>9</v>
      </c>
    </row>
    <row r="43" spans="1:4" ht="12.75" customHeight="1" x14ac:dyDescent="0.15">
      <c r="A43" s="12">
        <f t="shared" ca="1" si="0"/>
        <v>3123306</v>
      </c>
      <c r="B43" s="57" t="s">
        <v>3</v>
      </c>
      <c r="C43" s="57" t="s">
        <v>237</v>
      </c>
      <c r="D43" s="103" t="s">
        <v>238</v>
      </c>
    </row>
    <row r="44" spans="1:4" ht="12.75" customHeight="1" x14ac:dyDescent="0.15">
      <c r="A44" s="12">
        <f t="shared" ca="1" si="0"/>
        <v>7213224</v>
      </c>
      <c r="B44" s="155" t="s">
        <v>4</v>
      </c>
      <c r="C44" s="155" t="s">
        <v>239</v>
      </c>
      <c r="D44" s="156" t="s">
        <v>240</v>
      </c>
    </row>
    <row r="45" spans="1:4" ht="12.75" customHeight="1" x14ac:dyDescent="0.15">
      <c r="A45" s="12">
        <f t="shared" ca="1" si="0"/>
        <v>7534685</v>
      </c>
      <c r="B45" s="57" t="s">
        <v>3</v>
      </c>
      <c r="C45" s="57" t="s">
        <v>241</v>
      </c>
      <c r="D45" s="103" t="s">
        <v>242</v>
      </c>
    </row>
    <row r="46" spans="1:4" ht="12.75" customHeight="1" x14ac:dyDescent="0.15">
      <c r="A46" s="12">
        <f t="shared" ca="1" si="0"/>
        <v>8071439</v>
      </c>
      <c r="B46" s="57" t="s">
        <v>4</v>
      </c>
      <c r="C46" s="57" t="s">
        <v>241</v>
      </c>
      <c r="D46" s="103" t="s">
        <v>243</v>
      </c>
    </row>
    <row r="47" spans="1:4" ht="12.75" customHeight="1" x14ac:dyDescent="0.15">
      <c r="A47" s="12">
        <f t="shared" ca="1" si="0"/>
        <v>1628710</v>
      </c>
      <c r="B47" s="207" t="s">
        <v>4</v>
      </c>
      <c r="C47" s="207" t="s">
        <v>247</v>
      </c>
      <c r="D47" s="225" t="s">
        <v>248</v>
      </c>
    </row>
    <row r="48" spans="1:4" ht="12.75" customHeight="1" x14ac:dyDescent="0.15">
      <c r="A48" s="12">
        <f t="shared" ca="1" si="0"/>
        <v>1290549</v>
      </c>
      <c r="B48" s="57" t="s">
        <v>3</v>
      </c>
      <c r="C48" s="57" t="s">
        <v>247</v>
      </c>
      <c r="D48" s="59" t="s">
        <v>281</v>
      </c>
    </row>
    <row r="49" spans="1:4" ht="12.75" customHeight="1" x14ac:dyDescent="0.15">
      <c r="A49" s="12">
        <f t="shared" ca="1" si="0"/>
        <v>6329290</v>
      </c>
      <c r="B49" s="179" t="s">
        <v>3</v>
      </c>
      <c r="C49" s="179" t="s">
        <v>180</v>
      </c>
      <c r="D49" s="209" t="s">
        <v>179</v>
      </c>
    </row>
    <row r="50" spans="1:4" ht="12.75" customHeight="1" x14ac:dyDescent="0.15">
      <c r="A50" s="12">
        <f t="shared" ca="1" si="0"/>
        <v>7312888</v>
      </c>
      <c r="B50" s="57" t="s">
        <v>3</v>
      </c>
      <c r="C50" s="57" t="s">
        <v>202</v>
      </c>
      <c r="D50" s="103" t="s">
        <v>150</v>
      </c>
    </row>
    <row r="51" spans="1:4" ht="12.75" customHeight="1" x14ac:dyDescent="0.15">
      <c r="A51" s="12">
        <f t="shared" ca="1" si="0"/>
        <v>6394808</v>
      </c>
      <c r="B51" s="57" t="s">
        <v>4</v>
      </c>
      <c r="C51" s="57" t="s">
        <v>202</v>
      </c>
      <c r="D51" s="103" t="s">
        <v>215</v>
      </c>
    </row>
    <row r="52" spans="1:4" ht="12.75" customHeight="1" x14ac:dyDescent="0.15">
      <c r="A52" s="12">
        <f t="shared" ca="1" si="0"/>
        <v>3738933</v>
      </c>
      <c r="B52" s="57" t="s">
        <v>501</v>
      </c>
      <c r="C52" s="57" t="s">
        <v>263</v>
      </c>
      <c r="D52" s="103" t="s">
        <v>264</v>
      </c>
    </row>
    <row r="53" spans="1:4" ht="12.75" customHeight="1" x14ac:dyDescent="0.15">
      <c r="A53" s="12">
        <f t="shared" ca="1" si="0"/>
        <v>4212704</v>
      </c>
      <c r="B53" s="207" t="s">
        <v>3</v>
      </c>
      <c r="C53" s="207" t="s">
        <v>176</v>
      </c>
      <c r="D53" s="225" t="s">
        <v>246</v>
      </c>
    </row>
    <row r="54" spans="1:4" ht="12.75" customHeight="1" x14ac:dyDescent="0.15">
      <c r="A54" s="12">
        <f t="shared" ca="1" si="0"/>
        <v>2231405</v>
      </c>
      <c r="B54" s="57" t="s">
        <v>4</v>
      </c>
      <c r="C54" s="57" t="s">
        <v>176</v>
      </c>
      <c r="D54" s="103" t="s">
        <v>121</v>
      </c>
    </row>
    <row r="55" spans="1:4" ht="12.75" customHeight="1" x14ac:dyDescent="0.15">
      <c r="A55" s="12">
        <f t="shared" ca="1" si="0"/>
        <v>7912536</v>
      </c>
      <c r="B55" s="179" t="s">
        <v>461</v>
      </c>
      <c r="C55" s="179" t="s">
        <v>182</v>
      </c>
      <c r="D55" s="209" t="s">
        <v>85</v>
      </c>
    </row>
    <row r="56" spans="1:4" ht="12.75" customHeight="1" x14ac:dyDescent="0.15">
      <c r="A56" s="12">
        <f t="shared" ca="1" si="0"/>
        <v>8005657</v>
      </c>
      <c r="B56" s="57" t="s">
        <v>461</v>
      </c>
      <c r="C56" s="57" t="s">
        <v>269</v>
      </c>
      <c r="D56" s="103" t="s">
        <v>270</v>
      </c>
    </row>
    <row r="57" spans="1:4" ht="12.75" customHeight="1" x14ac:dyDescent="0.15">
      <c r="A57" s="12">
        <f t="shared" ca="1" si="0"/>
        <v>5695207</v>
      </c>
      <c r="B57" s="57" t="s">
        <v>4</v>
      </c>
      <c r="C57" s="57" t="s">
        <v>269</v>
      </c>
      <c r="D57" s="103" t="s">
        <v>502</v>
      </c>
    </row>
    <row r="58" spans="1:4" ht="12.75" customHeight="1" x14ac:dyDescent="0.15">
      <c r="A58" s="12">
        <f t="shared" ca="1" si="0"/>
        <v>3256072</v>
      </c>
      <c r="B58" s="57" t="s">
        <v>4</v>
      </c>
      <c r="C58" s="57" t="s">
        <v>275</v>
      </c>
      <c r="D58" s="103" t="s">
        <v>276</v>
      </c>
    </row>
    <row r="59" spans="1:4" ht="12.75" customHeight="1" x14ac:dyDescent="0.15">
      <c r="A59" s="12">
        <f t="shared" ca="1" si="0"/>
        <v>4586712</v>
      </c>
      <c r="B59" s="57" t="s">
        <v>3</v>
      </c>
      <c r="C59" s="57" t="s">
        <v>275</v>
      </c>
      <c r="D59" s="103" t="s">
        <v>278</v>
      </c>
    </row>
    <row r="60" spans="1:4" ht="12.75" customHeight="1" x14ac:dyDescent="0.15">
      <c r="A60" s="12">
        <f t="shared" ca="1" si="0"/>
        <v>1352936</v>
      </c>
      <c r="B60" s="57" t="s">
        <v>4</v>
      </c>
      <c r="C60" s="57" t="s">
        <v>282</v>
      </c>
      <c r="D60" s="103" t="s">
        <v>283</v>
      </c>
    </row>
    <row r="61" spans="1:4" ht="12.75" customHeight="1" x14ac:dyDescent="0.15">
      <c r="A61" s="12">
        <f t="shared" ca="1" si="0"/>
        <v>5634343</v>
      </c>
      <c r="B61" s="155" t="s">
        <v>503</v>
      </c>
      <c r="C61" s="155" t="s">
        <v>282</v>
      </c>
      <c r="D61" s="156" t="s">
        <v>284</v>
      </c>
    </row>
    <row r="62" spans="1:4" ht="12.75" customHeight="1" x14ac:dyDescent="0.15">
      <c r="A62" s="12">
        <f t="shared" ca="1" si="0"/>
        <v>1250745</v>
      </c>
      <c r="B62" s="57" t="s">
        <v>4</v>
      </c>
      <c r="C62" s="57" t="s">
        <v>194</v>
      </c>
      <c r="D62" s="103" t="s">
        <v>195</v>
      </c>
    </row>
    <row r="63" spans="1:4" ht="12.75" customHeight="1" x14ac:dyDescent="0.15">
      <c r="A63" s="12">
        <f t="shared" ca="1" si="0"/>
        <v>7702511</v>
      </c>
      <c r="B63" s="57" t="s">
        <v>3</v>
      </c>
      <c r="C63" s="57" t="s">
        <v>194</v>
      </c>
      <c r="D63" s="103" t="s">
        <v>199</v>
      </c>
    </row>
    <row r="64" spans="1:4" ht="12.75" customHeight="1" x14ac:dyDescent="0.15">
      <c r="A64" s="12">
        <f t="shared" ca="1" si="0"/>
        <v>6780754</v>
      </c>
      <c r="B64" s="58" t="s">
        <v>4</v>
      </c>
      <c r="C64" s="58" t="s">
        <v>134</v>
      </c>
      <c r="D64" s="59" t="s">
        <v>229</v>
      </c>
    </row>
    <row r="65" spans="1:4" ht="12.75" customHeight="1" x14ac:dyDescent="0.15">
      <c r="A65" s="12">
        <f t="shared" ca="1" si="0"/>
        <v>7968377</v>
      </c>
      <c r="B65" s="58" t="s">
        <v>4</v>
      </c>
      <c r="C65" s="58" t="s">
        <v>47</v>
      </c>
      <c r="D65" s="59" t="s">
        <v>49</v>
      </c>
    </row>
    <row r="66" spans="1:4" ht="12.75" customHeight="1" x14ac:dyDescent="0.15">
      <c r="A66" s="12">
        <f t="shared" ca="1" si="0"/>
        <v>2019371</v>
      </c>
      <c r="B66" s="57" t="s">
        <v>3</v>
      </c>
      <c r="C66" s="58" t="s">
        <v>47</v>
      </c>
      <c r="D66" s="59" t="s">
        <v>58</v>
      </c>
    </row>
    <row r="67" spans="1:4" ht="12.75" customHeight="1" x14ac:dyDescent="0.15">
      <c r="A67" s="12">
        <f t="shared" ca="1" si="0"/>
        <v>7303992</v>
      </c>
      <c r="B67" s="57" t="s">
        <v>3</v>
      </c>
      <c r="C67" s="57" t="s">
        <v>65</v>
      </c>
      <c r="D67" s="103" t="s">
        <v>66</v>
      </c>
    </row>
    <row r="68" spans="1:4" ht="12.75" customHeight="1" x14ac:dyDescent="0.15">
      <c r="A68" s="12">
        <f t="shared" ca="1" si="0"/>
        <v>5296341</v>
      </c>
      <c r="B68" s="57" t="s">
        <v>4</v>
      </c>
      <c r="C68" s="57" t="s">
        <v>82</v>
      </c>
      <c r="D68" s="103" t="s">
        <v>85</v>
      </c>
    </row>
    <row r="69" spans="1:4" ht="12.75" customHeight="1" x14ac:dyDescent="0.15">
      <c r="A69" s="12">
        <f t="shared" ca="1" si="0"/>
        <v>8204841</v>
      </c>
      <c r="B69" s="57" t="s">
        <v>3</v>
      </c>
      <c r="C69" s="57" t="s">
        <v>82</v>
      </c>
      <c r="D69" s="103" t="s">
        <v>93</v>
      </c>
    </row>
    <row r="70" spans="1:4" ht="12.75" customHeight="1" x14ac:dyDescent="0.15">
      <c r="A70" s="12">
        <f t="shared" ca="1" si="0"/>
        <v>1701485</v>
      </c>
      <c r="B70" s="57" t="s">
        <v>298</v>
      </c>
      <c r="C70" s="57" t="s">
        <v>104</v>
      </c>
      <c r="D70" s="103" t="s">
        <v>105</v>
      </c>
    </row>
    <row r="71" spans="1:4" ht="12.75" customHeight="1" x14ac:dyDescent="0.15">
      <c r="A71" s="12">
        <f t="shared" ca="1" si="0"/>
        <v>4241588</v>
      </c>
      <c r="B71" s="57" t="s">
        <v>4</v>
      </c>
      <c r="C71" s="57" t="s">
        <v>106</v>
      </c>
      <c r="D71" s="103" t="s">
        <v>107</v>
      </c>
    </row>
    <row r="72" spans="1:4" ht="12.75" customHeight="1" x14ac:dyDescent="0.15">
      <c r="A72" s="12">
        <f t="shared" ca="1" si="0"/>
        <v>6509126</v>
      </c>
      <c r="B72" s="223" t="s">
        <v>306</v>
      </c>
      <c r="C72" s="223" t="s">
        <v>109</v>
      </c>
      <c r="D72" s="224" t="s">
        <v>110</v>
      </c>
    </row>
    <row r="73" spans="1:4" ht="12.75" customHeight="1" x14ac:dyDescent="0.15">
      <c r="A73" s="12">
        <f t="shared" ca="1" si="0"/>
        <v>9655507</v>
      </c>
      <c r="B73" s="150" t="s">
        <v>4</v>
      </c>
      <c r="C73" s="150" t="s">
        <v>111</v>
      </c>
      <c r="D73" s="151" t="s">
        <v>112</v>
      </c>
    </row>
    <row r="74" spans="1:4" ht="12.75" customHeight="1" x14ac:dyDescent="0.15">
      <c r="A74" s="12">
        <f t="shared" ca="1" si="0"/>
        <v>4857311</v>
      </c>
      <c r="B74" s="113" t="s">
        <v>4</v>
      </c>
      <c r="C74" s="113" t="s">
        <v>500</v>
      </c>
      <c r="D74" s="114" t="s">
        <v>114</v>
      </c>
    </row>
    <row r="75" spans="1:4" ht="12.75" customHeight="1" x14ac:dyDescent="0.15">
      <c r="A75" s="12">
        <f t="shared" ca="1" si="0"/>
        <v>9409773</v>
      </c>
      <c r="B75" s="57" t="s">
        <v>4</v>
      </c>
      <c r="C75" s="57" t="s">
        <v>115</v>
      </c>
      <c r="D75" s="103" t="s">
        <v>116</v>
      </c>
    </row>
    <row r="76" spans="1:4" ht="12.75" customHeight="1" x14ac:dyDescent="0.15">
      <c r="A76" s="12">
        <f t="shared" ca="1" si="0"/>
        <v>1394153</v>
      </c>
      <c r="B76" s="57" t="s">
        <v>4</v>
      </c>
      <c r="C76" s="57" t="s">
        <v>117</v>
      </c>
      <c r="D76" s="103" t="s">
        <v>118</v>
      </c>
    </row>
    <row r="77" spans="1:4" ht="12.75" customHeight="1" x14ac:dyDescent="0.15">
      <c r="A77" s="12">
        <f t="shared" ca="1" si="0"/>
        <v>9627285</v>
      </c>
      <c r="B77" s="57" t="s">
        <v>3</v>
      </c>
      <c r="C77" s="57" t="s">
        <v>120</v>
      </c>
      <c r="D77" s="103" t="s">
        <v>122</v>
      </c>
    </row>
    <row r="78" spans="1:4" ht="12.75" customHeight="1" x14ac:dyDescent="0.15">
      <c r="A78" s="12">
        <f t="shared" ca="1" si="0"/>
        <v>4303826</v>
      </c>
      <c r="B78" s="57" t="s">
        <v>3</v>
      </c>
      <c r="C78" s="57" t="s">
        <v>124</v>
      </c>
      <c r="D78" s="103" t="s">
        <v>127</v>
      </c>
    </row>
    <row r="79" spans="1:4" ht="12.75" customHeight="1" x14ac:dyDescent="0.15">
      <c r="A79" s="12">
        <f t="shared" ca="1" si="0"/>
        <v>6971691</v>
      </c>
      <c r="B79" s="57" t="s">
        <v>3</v>
      </c>
      <c r="C79" s="57" t="s">
        <v>124</v>
      </c>
      <c r="D79" s="103" t="s">
        <v>125</v>
      </c>
    </row>
    <row r="80" spans="1:4" ht="12.75" customHeight="1" x14ac:dyDescent="0.15">
      <c r="A80" s="12">
        <f t="shared" ca="1" si="0"/>
        <v>4811307</v>
      </c>
      <c r="B80" s="57" t="s">
        <v>4</v>
      </c>
      <c r="C80" s="57" t="s">
        <v>128</v>
      </c>
      <c r="D80" s="103" t="s">
        <v>129</v>
      </c>
    </row>
    <row r="81" spans="1:4" ht="12.75" customHeight="1" x14ac:dyDescent="0.15">
      <c r="A81" s="12">
        <f t="shared" ca="1" si="0"/>
        <v>7640630</v>
      </c>
      <c r="B81" s="58" t="s">
        <v>3</v>
      </c>
      <c r="C81" s="58" t="s">
        <v>137</v>
      </c>
      <c r="D81" s="59" t="s">
        <v>138</v>
      </c>
    </row>
    <row r="82" spans="1:4" ht="12.75" customHeight="1" x14ac:dyDescent="0.15">
      <c r="A82" s="12">
        <f t="shared" ca="1" si="0"/>
        <v>8054632</v>
      </c>
      <c r="B82" s="223" t="s">
        <v>3</v>
      </c>
      <c r="C82" s="223" t="s">
        <v>139</v>
      </c>
      <c r="D82" s="224" t="s">
        <v>141</v>
      </c>
    </row>
    <row r="83" spans="1:4" ht="12.75" customHeight="1" x14ac:dyDescent="0.15">
      <c r="A83" s="12">
        <f t="shared" ca="1" si="0"/>
        <v>8355502</v>
      </c>
      <c r="B83" s="155" t="s">
        <v>3</v>
      </c>
      <c r="C83" s="155" t="s">
        <v>130</v>
      </c>
      <c r="D83" s="156" t="s">
        <v>131</v>
      </c>
    </row>
    <row r="84" spans="1:4" ht="12.75" customHeight="1" x14ac:dyDescent="0.15">
      <c r="A84" s="12">
        <f t="shared" ca="1" si="0"/>
        <v>1308122</v>
      </c>
      <c r="B84" s="155" t="s">
        <v>4</v>
      </c>
      <c r="C84" s="155" t="s">
        <v>130</v>
      </c>
      <c r="D84" s="156" t="s">
        <v>133</v>
      </c>
    </row>
    <row r="85" spans="1:4" ht="12.75" customHeight="1" x14ac:dyDescent="0.15">
      <c r="A85" s="12">
        <f t="shared" ca="1" si="0"/>
        <v>2787422</v>
      </c>
      <c r="B85" s="58" t="s">
        <v>3</v>
      </c>
      <c r="C85" s="58" t="s">
        <v>134</v>
      </c>
      <c r="D85" s="59" t="s">
        <v>235</v>
      </c>
    </row>
    <row r="86" spans="1:4" ht="12.75" customHeight="1" x14ac:dyDescent="0.15">
      <c r="A86" s="12">
        <f t="shared" ca="1" si="0"/>
        <v>3149759</v>
      </c>
      <c r="B86" s="57" t="s">
        <v>4</v>
      </c>
      <c r="C86" s="58" t="s">
        <v>144</v>
      </c>
      <c r="D86" s="59" t="s">
        <v>145</v>
      </c>
    </row>
    <row r="87" spans="1:4" ht="12.75" customHeight="1" x14ac:dyDescent="0.15">
      <c r="A87" s="12">
        <f t="shared" ca="1" si="0"/>
        <v>1540294</v>
      </c>
      <c r="B87" s="147" t="s">
        <v>3</v>
      </c>
      <c r="C87" s="147" t="s">
        <v>149</v>
      </c>
      <c r="D87" s="148" t="s">
        <v>150</v>
      </c>
    </row>
    <row r="88" spans="1:4" ht="12.75" customHeight="1" x14ac:dyDescent="0.15">
      <c r="A88" s="12">
        <f t="shared" ca="1" si="0"/>
        <v>6362045</v>
      </c>
      <c r="B88" s="147" t="s">
        <v>4</v>
      </c>
      <c r="C88" s="147" t="s">
        <v>149</v>
      </c>
      <c r="D88" s="148" t="s">
        <v>147</v>
      </c>
    </row>
    <row r="89" spans="1:4" ht="12.75" customHeight="1" x14ac:dyDescent="0.15">
      <c r="A89" s="12">
        <f t="shared" ca="1" si="0"/>
        <v>1332250</v>
      </c>
      <c r="B89" s="150" t="s">
        <v>4</v>
      </c>
      <c r="C89" s="150" t="s">
        <v>162</v>
      </c>
      <c r="D89" s="151" t="s">
        <v>163</v>
      </c>
    </row>
    <row r="90" spans="1:4" ht="12.75" customHeight="1" x14ac:dyDescent="0.15">
      <c r="A90" s="12">
        <f t="shared" ca="1" si="0"/>
        <v>3075426</v>
      </c>
      <c r="B90" s="57" t="s">
        <v>4</v>
      </c>
      <c r="C90" s="57" t="s">
        <v>171</v>
      </c>
      <c r="D90" s="103" t="s">
        <v>174</v>
      </c>
    </row>
    <row r="91" spans="1:4" ht="12.75" customHeight="1" x14ac:dyDescent="0.15">
      <c r="A91" s="12">
        <f t="shared" ca="1" si="0"/>
        <v>7135442</v>
      </c>
      <c r="B91" s="57" t="s">
        <v>4</v>
      </c>
      <c r="C91" s="57" t="s">
        <v>175</v>
      </c>
      <c r="D91" s="103" t="s">
        <v>178</v>
      </c>
    </row>
    <row r="92" spans="1:4" ht="12.75" customHeight="1" x14ac:dyDescent="0.15">
      <c r="A92" s="12">
        <f t="shared" ca="1" si="0"/>
        <v>6433592</v>
      </c>
      <c r="B92" s="57" t="s">
        <v>461</v>
      </c>
      <c r="C92" s="57" t="s">
        <v>184</v>
      </c>
      <c r="D92" s="103" t="s">
        <v>186</v>
      </c>
    </row>
    <row r="93" spans="1:4" ht="12.75" customHeight="1" x14ac:dyDescent="0.15">
      <c r="A93" s="12">
        <f t="shared" ca="1" si="0"/>
        <v>8923385</v>
      </c>
      <c r="B93" s="57" t="s">
        <v>4</v>
      </c>
      <c r="C93" s="57" t="s">
        <v>184</v>
      </c>
      <c r="D93" s="103" t="s">
        <v>190</v>
      </c>
    </row>
    <row r="94" spans="1:4" ht="12.75" customHeight="1" x14ac:dyDescent="0.15">
      <c r="A94" s="12">
        <f t="shared" ca="1" si="0"/>
        <v>4598332</v>
      </c>
      <c r="B94" s="113" t="s">
        <v>4</v>
      </c>
      <c r="C94" s="113" t="s">
        <v>196</v>
      </c>
      <c r="D94" s="114" t="s">
        <v>133</v>
      </c>
    </row>
    <row r="95" spans="1:4" ht="12.75" customHeight="1" x14ac:dyDescent="0.15">
      <c r="A95" s="12">
        <f t="shared" ca="1" si="0"/>
        <v>4735969</v>
      </c>
      <c r="B95" s="57" t="s">
        <v>4</v>
      </c>
      <c r="C95" s="57" t="s">
        <v>200</v>
      </c>
      <c r="D95" s="103" t="s">
        <v>201</v>
      </c>
    </row>
    <row r="96" spans="1:4" ht="12.75" customHeight="1" x14ac:dyDescent="0.15">
      <c r="A96" s="12">
        <f t="shared" ca="1" si="0"/>
        <v>6094836</v>
      </c>
      <c r="B96" s="57" t="s">
        <v>4</v>
      </c>
      <c r="C96" s="57" t="s">
        <v>200</v>
      </c>
      <c r="D96" s="103" t="s">
        <v>195</v>
      </c>
    </row>
    <row r="97" spans="1:4" ht="12.75" customHeight="1" x14ac:dyDescent="0.15">
      <c r="A97" s="12">
        <f t="shared" ca="1" si="0"/>
        <v>2273722</v>
      </c>
      <c r="B97" s="179" t="s">
        <v>495</v>
      </c>
      <c r="C97" s="179" t="s">
        <v>200</v>
      </c>
      <c r="D97" s="209" t="s">
        <v>203</v>
      </c>
    </row>
    <row r="98" spans="1:4" ht="12.75" customHeight="1" x14ac:dyDescent="0.15">
      <c r="A98" s="12">
        <f t="shared" ca="1" si="0"/>
        <v>8014461</v>
      </c>
      <c r="B98" s="150" t="s">
        <v>4</v>
      </c>
      <c r="C98" s="150" t="s">
        <v>225</v>
      </c>
      <c r="D98" s="151" t="s">
        <v>226</v>
      </c>
    </row>
    <row r="99" spans="1:4" ht="12.75" customHeight="1" x14ac:dyDescent="0.15">
      <c r="A99" s="12">
        <f t="shared" ca="1" si="0"/>
        <v>5589315</v>
      </c>
      <c r="B99" s="150" t="s">
        <v>298</v>
      </c>
      <c r="C99" s="150" t="s">
        <v>225</v>
      </c>
      <c r="D99" s="151" t="s">
        <v>228</v>
      </c>
    </row>
    <row r="100" spans="1:4" ht="12.75" customHeight="1" x14ac:dyDescent="0.15">
      <c r="A100" s="12">
        <f t="shared" ca="1" si="0"/>
        <v>6214749</v>
      </c>
      <c r="B100" s="57" t="s">
        <v>3</v>
      </c>
      <c r="C100" s="57" t="s">
        <v>233</v>
      </c>
      <c r="D100" s="103" t="s">
        <v>234</v>
      </c>
    </row>
    <row r="101" spans="1:4" ht="12.75" customHeight="1" x14ac:dyDescent="0.15">
      <c r="A101" s="12">
        <f t="shared" ca="1" si="0"/>
        <v>1485763</v>
      </c>
      <c r="B101" s="57" t="s">
        <v>3</v>
      </c>
      <c r="C101" s="57" t="s">
        <v>6</v>
      </c>
      <c r="D101" s="103" t="s">
        <v>236</v>
      </c>
    </row>
    <row r="102" spans="1:4" ht="12.75" customHeight="1" x14ac:dyDescent="0.15">
      <c r="A102" s="12">
        <f t="shared" ca="1" si="0"/>
        <v>6540158</v>
      </c>
      <c r="B102" s="57" t="s">
        <v>3</v>
      </c>
      <c r="C102" s="57" t="s">
        <v>6</v>
      </c>
      <c r="D102" s="103" t="s">
        <v>8</v>
      </c>
    </row>
    <row r="103" spans="1:4" ht="12.75" customHeight="1" x14ac:dyDescent="0.15">
      <c r="A103" s="12">
        <f t="shared" ca="1" si="0"/>
        <v>1605154</v>
      </c>
      <c r="B103" s="57" t="s">
        <v>4</v>
      </c>
      <c r="C103" s="57" t="s">
        <v>6</v>
      </c>
      <c r="D103" s="103" t="s">
        <v>10</v>
      </c>
    </row>
    <row r="104" spans="1:4" ht="12.75" customHeight="1" x14ac:dyDescent="0.15">
      <c r="A104" s="12">
        <f t="shared" ca="1" si="0"/>
        <v>6869047</v>
      </c>
      <c r="B104" s="155" t="s">
        <v>3</v>
      </c>
      <c r="C104" s="155" t="s">
        <v>6</v>
      </c>
      <c r="D104" s="156" t="s">
        <v>9</v>
      </c>
    </row>
    <row r="105" spans="1:4" ht="12.75" customHeight="1" x14ac:dyDescent="0.15">
      <c r="A105" s="12">
        <f t="shared" ca="1" si="0"/>
        <v>1588072</v>
      </c>
      <c r="B105" s="57" t="s">
        <v>3</v>
      </c>
      <c r="C105" s="57" t="s">
        <v>237</v>
      </c>
      <c r="D105" s="103" t="s">
        <v>238</v>
      </c>
    </row>
    <row r="106" spans="1:4" ht="12.75" customHeight="1" x14ac:dyDescent="0.15">
      <c r="A106" s="12">
        <f t="shared" ca="1" si="0"/>
        <v>9904013</v>
      </c>
      <c r="B106" s="155" t="s">
        <v>4</v>
      </c>
      <c r="C106" s="155" t="s">
        <v>239</v>
      </c>
      <c r="D106" s="156" t="s">
        <v>240</v>
      </c>
    </row>
    <row r="107" spans="1:4" ht="12.75" customHeight="1" x14ac:dyDescent="0.15">
      <c r="A107" s="12">
        <f t="shared" ca="1" si="0"/>
        <v>7403022</v>
      </c>
      <c r="B107" s="57" t="s">
        <v>3</v>
      </c>
      <c r="C107" s="57" t="s">
        <v>241</v>
      </c>
      <c r="D107" s="103" t="s">
        <v>242</v>
      </c>
    </row>
    <row r="108" spans="1:4" ht="12.75" customHeight="1" x14ac:dyDescent="0.15">
      <c r="A108" s="12">
        <f t="shared" ca="1" si="0"/>
        <v>5652123</v>
      </c>
      <c r="B108" s="57" t="s">
        <v>4</v>
      </c>
      <c r="C108" s="57" t="s">
        <v>241</v>
      </c>
      <c r="D108" s="103" t="s">
        <v>243</v>
      </c>
    </row>
    <row r="109" spans="1:4" ht="12.75" customHeight="1" x14ac:dyDescent="0.15">
      <c r="A109" s="12">
        <f t="shared" ca="1" si="0"/>
        <v>1729927</v>
      </c>
      <c r="B109" s="207" t="s">
        <v>4</v>
      </c>
      <c r="C109" s="207" t="s">
        <v>247</v>
      </c>
      <c r="D109" s="225" t="s">
        <v>248</v>
      </c>
    </row>
    <row r="110" spans="1:4" ht="12.75" customHeight="1" x14ac:dyDescent="0.15">
      <c r="A110" s="12">
        <f t="shared" ca="1" si="0"/>
        <v>2418078</v>
      </c>
      <c r="B110" s="57" t="s">
        <v>3</v>
      </c>
      <c r="C110" s="57" t="s">
        <v>247</v>
      </c>
      <c r="D110" s="59" t="s">
        <v>281</v>
      </c>
    </row>
    <row r="111" spans="1:4" ht="12.75" customHeight="1" x14ac:dyDescent="0.15">
      <c r="A111" s="12">
        <f t="shared" ca="1" si="0"/>
        <v>8511754</v>
      </c>
      <c r="B111" s="179" t="s">
        <v>3</v>
      </c>
      <c r="C111" s="179" t="s">
        <v>180</v>
      </c>
      <c r="D111" s="209" t="s">
        <v>179</v>
      </c>
    </row>
    <row r="112" spans="1:4" ht="12.75" customHeight="1" x14ac:dyDescent="0.15">
      <c r="A112" s="12">
        <f t="shared" ca="1" si="0"/>
        <v>5122688</v>
      </c>
      <c r="B112" s="57" t="s">
        <v>3</v>
      </c>
      <c r="C112" s="57" t="s">
        <v>202</v>
      </c>
      <c r="D112" s="103" t="s">
        <v>150</v>
      </c>
    </row>
    <row r="113" spans="1:4" ht="12.75" customHeight="1" x14ac:dyDescent="0.15">
      <c r="A113" s="12">
        <f t="shared" ca="1" si="0"/>
        <v>4388350</v>
      </c>
      <c r="B113" s="57" t="s">
        <v>4</v>
      </c>
      <c r="C113" s="57" t="s">
        <v>202</v>
      </c>
      <c r="D113" s="103" t="s">
        <v>215</v>
      </c>
    </row>
    <row r="114" spans="1:4" ht="12.75" customHeight="1" x14ac:dyDescent="0.15">
      <c r="A114" s="12">
        <f t="shared" ca="1" si="0"/>
        <v>3861920</v>
      </c>
      <c r="B114" s="57" t="s">
        <v>501</v>
      </c>
      <c r="C114" s="57" t="s">
        <v>263</v>
      </c>
      <c r="D114" s="103" t="s">
        <v>264</v>
      </c>
    </row>
    <row r="115" spans="1:4" ht="12.75" customHeight="1" x14ac:dyDescent="0.15">
      <c r="A115" s="12">
        <f t="shared" ca="1" si="0"/>
        <v>2811176</v>
      </c>
      <c r="B115" s="207" t="s">
        <v>3</v>
      </c>
      <c r="C115" s="207" t="s">
        <v>176</v>
      </c>
      <c r="D115" s="225" t="s">
        <v>246</v>
      </c>
    </row>
    <row r="116" spans="1:4" ht="12.75" customHeight="1" x14ac:dyDescent="0.15">
      <c r="A116" s="12">
        <f t="shared" ca="1" si="0"/>
        <v>3823693</v>
      </c>
      <c r="B116" s="57" t="s">
        <v>4</v>
      </c>
      <c r="C116" s="57" t="s">
        <v>176</v>
      </c>
      <c r="D116" s="103" t="s">
        <v>121</v>
      </c>
    </row>
    <row r="117" spans="1:4" ht="12.75" customHeight="1" x14ac:dyDescent="0.15">
      <c r="A117" s="12">
        <f t="shared" ca="1" si="0"/>
        <v>2870849</v>
      </c>
      <c r="B117" s="179" t="s">
        <v>461</v>
      </c>
      <c r="C117" s="179" t="s">
        <v>182</v>
      </c>
      <c r="D117" s="209" t="s">
        <v>85</v>
      </c>
    </row>
    <row r="118" spans="1:4" ht="12.75" customHeight="1" x14ac:dyDescent="0.15">
      <c r="A118" s="12">
        <f t="shared" ca="1" si="0"/>
        <v>2583376</v>
      </c>
      <c r="B118" s="57" t="s">
        <v>461</v>
      </c>
      <c r="C118" s="57" t="s">
        <v>269</v>
      </c>
      <c r="D118" s="103" t="s">
        <v>270</v>
      </c>
    </row>
    <row r="119" spans="1:4" ht="12.75" customHeight="1" x14ac:dyDescent="0.15">
      <c r="A119" s="12">
        <f t="shared" ca="1" si="0"/>
        <v>9451744</v>
      </c>
      <c r="B119" s="57" t="s">
        <v>4</v>
      </c>
      <c r="C119" s="57" t="s">
        <v>269</v>
      </c>
      <c r="D119" s="103" t="s">
        <v>502</v>
      </c>
    </row>
    <row r="120" spans="1:4" ht="12.75" customHeight="1" x14ac:dyDescent="0.15">
      <c r="A120" s="12">
        <f t="shared" ca="1" si="0"/>
        <v>9611819</v>
      </c>
      <c r="B120" s="57" t="s">
        <v>4</v>
      </c>
      <c r="C120" s="57" t="s">
        <v>275</v>
      </c>
      <c r="D120" s="103" t="s">
        <v>276</v>
      </c>
    </row>
    <row r="121" spans="1:4" ht="12.75" customHeight="1" x14ac:dyDescent="0.15">
      <c r="A121" s="12">
        <f t="shared" ca="1" si="0"/>
        <v>1800607</v>
      </c>
      <c r="B121" s="57" t="s">
        <v>3</v>
      </c>
      <c r="C121" s="57" t="s">
        <v>275</v>
      </c>
      <c r="D121" s="103" t="s">
        <v>278</v>
      </c>
    </row>
    <row r="122" spans="1:4" ht="12.75" customHeight="1" x14ac:dyDescent="0.15">
      <c r="A122" s="12">
        <f t="shared" ca="1" si="0"/>
        <v>6470001</v>
      </c>
      <c r="B122" s="57" t="s">
        <v>4</v>
      </c>
      <c r="C122" s="57" t="s">
        <v>282</v>
      </c>
      <c r="D122" s="103" t="s">
        <v>283</v>
      </c>
    </row>
    <row r="123" spans="1:4" ht="12.75" customHeight="1" x14ac:dyDescent="0.15">
      <c r="A123" s="12">
        <f t="shared" ca="1" si="0"/>
        <v>8187841</v>
      </c>
      <c r="B123" s="155" t="s">
        <v>503</v>
      </c>
      <c r="C123" s="155" t="s">
        <v>282</v>
      </c>
      <c r="D123" s="156" t="s">
        <v>284</v>
      </c>
    </row>
    <row r="124" spans="1:4" ht="12.75" customHeight="1" x14ac:dyDescent="0.15">
      <c r="A124" s="12">
        <f t="shared" ca="1" si="0"/>
        <v>8698516</v>
      </c>
      <c r="B124" s="57" t="s">
        <v>4</v>
      </c>
      <c r="C124" s="57" t="s">
        <v>194</v>
      </c>
      <c r="D124" s="103" t="s">
        <v>195</v>
      </c>
    </row>
    <row r="125" spans="1:4" ht="12.75" customHeight="1" x14ac:dyDescent="0.15">
      <c r="A125" s="12">
        <f t="shared" ca="1" si="0"/>
        <v>2098283</v>
      </c>
      <c r="B125" s="57" t="s">
        <v>3</v>
      </c>
      <c r="C125" s="57" t="s">
        <v>194</v>
      </c>
      <c r="D125" s="103" t="s">
        <v>199</v>
      </c>
    </row>
    <row r="126" spans="1:4" ht="12.75" customHeight="1" x14ac:dyDescent="0.15">
      <c r="A126" s="12">
        <f t="shared" ca="1" si="0"/>
        <v>7301759</v>
      </c>
      <c r="B126" s="58" t="s">
        <v>4</v>
      </c>
      <c r="C126" s="58" t="s">
        <v>134</v>
      </c>
      <c r="D126" s="59" t="s">
        <v>229</v>
      </c>
    </row>
    <row r="127" spans="1:4" ht="12.75" customHeight="1" x14ac:dyDescent="0.15">
      <c r="A127" s="12">
        <f t="shared" ca="1" si="0"/>
        <v>4909756</v>
      </c>
      <c r="B127" s="58" t="s">
        <v>4</v>
      </c>
      <c r="C127" s="58" t="s">
        <v>47</v>
      </c>
      <c r="D127" s="59" t="s">
        <v>49</v>
      </c>
    </row>
    <row r="128" spans="1:4" ht="12.75" customHeight="1" x14ac:dyDescent="0.15">
      <c r="A128" s="12">
        <f t="shared" ca="1" si="0"/>
        <v>8678575</v>
      </c>
      <c r="B128" s="57" t="s">
        <v>3</v>
      </c>
      <c r="C128" s="58" t="s">
        <v>47</v>
      </c>
      <c r="D128" s="59" t="s">
        <v>58</v>
      </c>
    </row>
    <row r="129" spans="1:4" ht="12.75" customHeight="1" x14ac:dyDescent="0.15">
      <c r="A129" s="12">
        <f t="shared" ca="1" si="0"/>
        <v>6950240</v>
      </c>
      <c r="B129" s="57" t="s">
        <v>3</v>
      </c>
      <c r="C129" s="57" t="s">
        <v>65</v>
      </c>
      <c r="D129" s="103" t="s">
        <v>66</v>
      </c>
    </row>
    <row r="130" spans="1:4" ht="12.75" customHeight="1" x14ac:dyDescent="0.15">
      <c r="A130" s="12">
        <f t="shared" ca="1" si="0"/>
        <v>4058915</v>
      </c>
      <c r="B130" s="57" t="s">
        <v>4</v>
      </c>
      <c r="C130" s="57" t="s">
        <v>82</v>
      </c>
      <c r="D130" s="103" t="s">
        <v>85</v>
      </c>
    </row>
    <row r="131" spans="1:4" ht="12.75" customHeight="1" x14ac:dyDescent="0.15">
      <c r="A131" s="12">
        <f t="shared" ca="1" si="0"/>
        <v>4559498</v>
      </c>
      <c r="B131" s="57" t="s">
        <v>3</v>
      </c>
      <c r="C131" s="57" t="s">
        <v>82</v>
      </c>
      <c r="D131" s="103" t="s">
        <v>93</v>
      </c>
    </row>
    <row r="132" spans="1:4" ht="12.75" customHeight="1" x14ac:dyDescent="0.15">
      <c r="A132" s="12">
        <f t="shared" ca="1" si="0"/>
        <v>1834532</v>
      </c>
      <c r="B132" s="57" t="s">
        <v>298</v>
      </c>
      <c r="C132" s="57" t="s">
        <v>104</v>
      </c>
      <c r="D132" s="103" t="s">
        <v>105</v>
      </c>
    </row>
    <row r="133" spans="1:4" ht="12.75" customHeight="1" x14ac:dyDescent="0.15">
      <c r="A133" s="12">
        <f t="shared" ca="1" si="0"/>
        <v>5628086</v>
      </c>
      <c r="B133" s="57" t="s">
        <v>4</v>
      </c>
      <c r="C133" s="57" t="s">
        <v>106</v>
      </c>
      <c r="D133" s="103" t="s">
        <v>107</v>
      </c>
    </row>
    <row r="134" spans="1:4" ht="12.75" customHeight="1" x14ac:dyDescent="0.15">
      <c r="A134" s="12">
        <f t="shared" ca="1" si="0"/>
        <v>9396266</v>
      </c>
      <c r="B134" s="223" t="s">
        <v>306</v>
      </c>
      <c r="C134" s="223" t="s">
        <v>109</v>
      </c>
      <c r="D134" s="224" t="s">
        <v>110</v>
      </c>
    </row>
    <row r="135" spans="1:4" ht="12.75" customHeight="1" x14ac:dyDescent="0.15">
      <c r="A135" s="12">
        <f t="shared" ca="1" si="0"/>
        <v>6051255</v>
      </c>
      <c r="B135" s="150" t="s">
        <v>4</v>
      </c>
      <c r="C135" s="150" t="s">
        <v>111</v>
      </c>
      <c r="D135" s="151" t="s">
        <v>112</v>
      </c>
    </row>
    <row r="136" spans="1:4" ht="12.75" customHeight="1" x14ac:dyDescent="0.15">
      <c r="A136" s="12">
        <f t="shared" ca="1" si="0"/>
        <v>4141058</v>
      </c>
      <c r="B136" s="113" t="s">
        <v>4</v>
      </c>
      <c r="C136" s="113" t="s">
        <v>500</v>
      </c>
      <c r="D136" s="114" t="s">
        <v>114</v>
      </c>
    </row>
    <row r="137" spans="1:4" ht="12.75" customHeight="1" x14ac:dyDescent="0.15">
      <c r="A137" s="12">
        <f t="shared" ca="1" si="0"/>
        <v>8852693</v>
      </c>
      <c r="B137" s="57" t="s">
        <v>4</v>
      </c>
      <c r="C137" s="57" t="s">
        <v>115</v>
      </c>
      <c r="D137" s="103" t="s">
        <v>116</v>
      </c>
    </row>
    <row r="138" spans="1:4" ht="12.75" customHeight="1" x14ac:dyDescent="0.15">
      <c r="A138" s="12">
        <f t="shared" ca="1" si="0"/>
        <v>6190622</v>
      </c>
      <c r="B138" s="57" t="s">
        <v>4</v>
      </c>
      <c r="C138" s="57" t="s">
        <v>117</v>
      </c>
      <c r="D138" s="103" t="s">
        <v>118</v>
      </c>
    </row>
    <row r="139" spans="1:4" ht="12.75" customHeight="1" x14ac:dyDescent="0.15">
      <c r="A139" s="12">
        <f t="shared" ca="1" si="0"/>
        <v>3287554</v>
      </c>
      <c r="B139" s="57" t="s">
        <v>3</v>
      </c>
      <c r="C139" s="57" t="s">
        <v>120</v>
      </c>
      <c r="D139" s="103" t="s">
        <v>122</v>
      </c>
    </row>
    <row r="140" spans="1:4" ht="12.75" customHeight="1" x14ac:dyDescent="0.15">
      <c r="A140" s="12">
        <f t="shared" ca="1" si="0"/>
        <v>3526260</v>
      </c>
      <c r="B140" s="57" t="s">
        <v>3</v>
      </c>
      <c r="C140" s="57" t="s">
        <v>124</v>
      </c>
      <c r="D140" s="103" t="s">
        <v>127</v>
      </c>
    </row>
    <row r="141" spans="1:4" ht="12.75" customHeight="1" x14ac:dyDescent="0.15">
      <c r="A141" s="12">
        <f t="shared" ca="1" si="0"/>
        <v>8400023</v>
      </c>
      <c r="B141" s="57" t="s">
        <v>3</v>
      </c>
      <c r="C141" s="57" t="s">
        <v>124</v>
      </c>
      <c r="D141" s="103" t="s">
        <v>125</v>
      </c>
    </row>
    <row r="142" spans="1:4" ht="12.75" customHeight="1" x14ac:dyDescent="0.15">
      <c r="A142" s="12">
        <f t="shared" ca="1" si="0"/>
        <v>1909365</v>
      </c>
      <c r="B142" s="57" t="s">
        <v>4</v>
      </c>
      <c r="C142" s="57" t="s">
        <v>128</v>
      </c>
      <c r="D142" s="103" t="s">
        <v>129</v>
      </c>
    </row>
    <row r="143" spans="1:4" ht="12.75" customHeight="1" x14ac:dyDescent="0.15">
      <c r="A143" s="12">
        <f t="shared" ca="1" si="0"/>
        <v>8560866</v>
      </c>
      <c r="B143" s="58" t="s">
        <v>3</v>
      </c>
      <c r="C143" s="58" t="s">
        <v>137</v>
      </c>
      <c r="D143" s="59" t="s">
        <v>138</v>
      </c>
    </row>
    <row r="144" spans="1:4" ht="12.75" customHeight="1" x14ac:dyDescent="0.15">
      <c r="A144" s="12">
        <f t="shared" ca="1" si="0"/>
        <v>2195440</v>
      </c>
      <c r="B144" s="223" t="s">
        <v>3</v>
      </c>
      <c r="C144" s="223" t="s">
        <v>139</v>
      </c>
      <c r="D144" s="224" t="s">
        <v>141</v>
      </c>
    </row>
    <row r="145" spans="1:4" ht="12.75" customHeight="1" x14ac:dyDescent="0.15">
      <c r="A145" s="12">
        <f t="shared" ca="1" si="0"/>
        <v>1436499</v>
      </c>
      <c r="B145" s="155" t="s">
        <v>3</v>
      </c>
      <c r="C145" s="155" t="s">
        <v>130</v>
      </c>
      <c r="D145" s="156" t="s">
        <v>131</v>
      </c>
    </row>
    <row r="146" spans="1:4" ht="12.75" customHeight="1" x14ac:dyDescent="0.15">
      <c r="A146" s="12">
        <f t="shared" ca="1" si="0"/>
        <v>7888372</v>
      </c>
      <c r="B146" s="155" t="s">
        <v>4</v>
      </c>
      <c r="C146" s="155" t="s">
        <v>130</v>
      </c>
      <c r="D146" s="156" t="s">
        <v>133</v>
      </c>
    </row>
    <row r="147" spans="1:4" ht="12.75" customHeight="1" x14ac:dyDescent="0.15">
      <c r="A147" s="12">
        <f t="shared" ca="1" si="0"/>
        <v>4910681</v>
      </c>
      <c r="B147" s="58" t="s">
        <v>3</v>
      </c>
      <c r="C147" s="58" t="s">
        <v>134</v>
      </c>
      <c r="D147" s="59" t="s">
        <v>235</v>
      </c>
    </row>
    <row r="148" spans="1:4" ht="12.75" customHeight="1" x14ac:dyDescent="0.15">
      <c r="A148" s="12">
        <f t="shared" ca="1" si="0"/>
        <v>6831826</v>
      </c>
      <c r="B148" s="57" t="s">
        <v>4</v>
      </c>
      <c r="C148" s="58" t="s">
        <v>144</v>
      </c>
      <c r="D148" s="59" t="s">
        <v>145</v>
      </c>
    </row>
    <row r="149" spans="1:4" ht="12.75" customHeight="1" x14ac:dyDescent="0.15">
      <c r="A149" s="12">
        <f t="shared" ca="1" si="0"/>
        <v>4711620</v>
      </c>
      <c r="B149" s="147" t="s">
        <v>3</v>
      </c>
      <c r="C149" s="147" t="s">
        <v>149</v>
      </c>
      <c r="D149" s="148" t="s">
        <v>150</v>
      </c>
    </row>
    <row r="150" spans="1:4" ht="12.75" customHeight="1" x14ac:dyDescent="0.15">
      <c r="A150" s="12">
        <f t="shared" ca="1" si="0"/>
        <v>5311486</v>
      </c>
      <c r="B150" s="147" t="s">
        <v>4</v>
      </c>
      <c r="C150" s="147" t="s">
        <v>149</v>
      </c>
      <c r="D150" s="148" t="s">
        <v>147</v>
      </c>
    </row>
    <row r="151" spans="1:4" ht="12.75" customHeight="1" x14ac:dyDescent="0.15">
      <c r="A151" s="12">
        <f t="shared" ca="1" si="0"/>
        <v>8858724</v>
      </c>
      <c r="B151" s="150" t="s">
        <v>4</v>
      </c>
      <c r="C151" s="150" t="s">
        <v>162</v>
      </c>
      <c r="D151" s="151" t="s">
        <v>163</v>
      </c>
    </row>
    <row r="152" spans="1:4" ht="12.75" customHeight="1" x14ac:dyDescent="0.15">
      <c r="A152" s="12">
        <f t="shared" ca="1" si="0"/>
        <v>7334576</v>
      </c>
      <c r="B152" s="57" t="s">
        <v>4</v>
      </c>
      <c r="C152" s="57" t="s">
        <v>171</v>
      </c>
      <c r="D152" s="103" t="s">
        <v>174</v>
      </c>
    </row>
    <row r="153" spans="1:4" ht="12.75" customHeight="1" x14ac:dyDescent="0.15">
      <c r="A153" s="12">
        <f t="shared" ca="1" si="0"/>
        <v>3958085</v>
      </c>
      <c r="B153" s="57" t="s">
        <v>4</v>
      </c>
      <c r="C153" s="57" t="s">
        <v>175</v>
      </c>
      <c r="D153" s="103" t="s">
        <v>178</v>
      </c>
    </row>
    <row r="154" spans="1:4" ht="12.75" customHeight="1" x14ac:dyDescent="0.15">
      <c r="A154" s="12">
        <f t="shared" ca="1" si="0"/>
        <v>7961031</v>
      </c>
      <c r="B154" s="57" t="s">
        <v>461</v>
      </c>
      <c r="C154" s="57" t="s">
        <v>184</v>
      </c>
      <c r="D154" s="103" t="s">
        <v>186</v>
      </c>
    </row>
    <row r="155" spans="1:4" ht="12.75" customHeight="1" x14ac:dyDescent="0.15">
      <c r="A155" s="12">
        <f t="shared" ca="1" si="0"/>
        <v>9606554</v>
      </c>
      <c r="B155" s="57" t="s">
        <v>4</v>
      </c>
      <c r="C155" s="57" t="s">
        <v>184</v>
      </c>
      <c r="D155" s="103" t="s">
        <v>190</v>
      </c>
    </row>
    <row r="156" spans="1:4" ht="12.75" customHeight="1" x14ac:dyDescent="0.15">
      <c r="A156" s="12">
        <f t="shared" ca="1" si="0"/>
        <v>7708622</v>
      </c>
      <c r="B156" s="113" t="s">
        <v>4</v>
      </c>
      <c r="C156" s="113" t="s">
        <v>196</v>
      </c>
      <c r="D156" s="114" t="s">
        <v>133</v>
      </c>
    </row>
    <row r="157" spans="1:4" ht="12.75" customHeight="1" x14ac:dyDescent="0.15">
      <c r="A157" s="12">
        <f t="shared" ca="1" si="0"/>
        <v>4805623</v>
      </c>
      <c r="B157" s="57" t="s">
        <v>4</v>
      </c>
      <c r="C157" s="57" t="s">
        <v>200</v>
      </c>
      <c r="D157" s="103" t="s">
        <v>201</v>
      </c>
    </row>
    <row r="158" spans="1:4" ht="12.75" customHeight="1" x14ac:dyDescent="0.15">
      <c r="A158" s="12">
        <f t="shared" ca="1" si="0"/>
        <v>3030539</v>
      </c>
      <c r="B158" s="57" t="s">
        <v>4</v>
      </c>
      <c r="C158" s="57" t="s">
        <v>200</v>
      </c>
      <c r="D158" s="103" t="s">
        <v>195</v>
      </c>
    </row>
    <row r="159" spans="1:4" ht="12.75" customHeight="1" x14ac:dyDescent="0.15">
      <c r="A159" s="12">
        <f t="shared" ca="1" si="0"/>
        <v>4763351</v>
      </c>
      <c r="B159" s="179" t="s">
        <v>495</v>
      </c>
      <c r="C159" s="179" t="s">
        <v>200</v>
      </c>
      <c r="D159" s="209" t="s">
        <v>203</v>
      </c>
    </row>
    <row r="160" spans="1:4" ht="12.75" customHeight="1" x14ac:dyDescent="0.15">
      <c r="A160" s="12">
        <f t="shared" ca="1" si="0"/>
        <v>3357586</v>
      </c>
      <c r="B160" s="150" t="s">
        <v>4</v>
      </c>
      <c r="C160" s="150" t="s">
        <v>225</v>
      </c>
      <c r="D160" s="151" t="s">
        <v>226</v>
      </c>
    </row>
    <row r="161" spans="1:4" ht="12.75" customHeight="1" x14ac:dyDescent="0.15">
      <c r="A161" s="12">
        <f t="shared" ca="1" si="0"/>
        <v>1071789</v>
      </c>
      <c r="B161" s="150" t="s">
        <v>298</v>
      </c>
      <c r="C161" s="150" t="s">
        <v>225</v>
      </c>
      <c r="D161" s="151" t="s">
        <v>228</v>
      </c>
    </row>
    <row r="162" spans="1:4" ht="12.75" customHeight="1" x14ac:dyDescent="0.15">
      <c r="A162" s="12">
        <f t="shared" ca="1" si="0"/>
        <v>8830039</v>
      </c>
      <c r="B162" s="57" t="s">
        <v>3</v>
      </c>
      <c r="C162" s="57" t="s">
        <v>233</v>
      </c>
      <c r="D162" s="103" t="s">
        <v>234</v>
      </c>
    </row>
    <row r="163" spans="1:4" ht="12.75" customHeight="1" x14ac:dyDescent="0.15">
      <c r="A163" s="12">
        <f t="shared" ca="1" si="0"/>
        <v>7774189</v>
      </c>
      <c r="B163" s="57" t="s">
        <v>3</v>
      </c>
      <c r="C163" s="57" t="s">
        <v>6</v>
      </c>
      <c r="D163" s="103" t="s">
        <v>236</v>
      </c>
    </row>
    <row r="164" spans="1:4" ht="12.75" customHeight="1" x14ac:dyDescent="0.15">
      <c r="A164" s="12">
        <f t="shared" ca="1" si="0"/>
        <v>9102588</v>
      </c>
      <c r="B164" s="57" t="s">
        <v>3</v>
      </c>
      <c r="C164" s="57" t="s">
        <v>6</v>
      </c>
      <c r="D164" s="103" t="s">
        <v>8</v>
      </c>
    </row>
    <row r="165" spans="1:4" ht="12.75" customHeight="1" x14ac:dyDescent="0.15">
      <c r="A165" s="12">
        <f t="shared" ca="1" si="0"/>
        <v>2414829</v>
      </c>
      <c r="B165" s="57" t="s">
        <v>4</v>
      </c>
      <c r="C165" s="57" t="s">
        <v>6</v>
      </c>
      <c r="D165" s="103" t="s">
        <v>10</v>
      </c>
    </row>
    <row r="166" spans="1:4" ht="12.75" customHeight="1" x14ac:dyDescent="0.15">
      <c r="A166" s="12">
        <f t="shared" ca="1" si="0"/>
        <v>3774521</v>
      </c>
      <c r="B166" s="155" t="s">
        <v>3</v>
      </c>
      <c r="C166" s="155" t="s">
        <v>6</v>
      </c>
      <c r="D166" s="156" t="s">
        <v>9</v>
      </c>
    </row>
    <row r="167" spans="1:4" ht="12.75" customHeight="1" x14ac:dyDescent="0.15">
      <c r="A167" s="12">
        <f t="shared" ca="1" si="0"/>
        <v>5860120</v>
      </c>
      <c r="B167" s="57" t="s">
        <v>3</v>
      </c>
      <c r="C167" s="57" t="s">
        <v>237</v>
      </c>
      <c r="D167" s="103" t="s">
        <v>238</v>
      </c>
    </row>
    <row r="168" spans="1:4" ht="12.75" customHeight="1" x14ac:dyDescent="0.15">
      <c r="A168" s="12">
        <f t="shared" ca="1" si="0"/>
        <v>1899372</v>
      </c>
      <c r="B168" s="155" t="s">
        <v>4</v>
      </c>
      <c r="C168" s="155" t="s">
        <v>239</v>
      </c>
      <c r="D168" s="156" t="s">
        <v>240</v>
      </c>
    </row>
    <row r="169" spans="1:4" ht="12.75" customHeight="1" x14ac:dyDescent="0.15">
      <c r="A169" s="12">
        <f t="shared" ca="1" si="0"/>
        <v>3039095</v>
      </c>
      <c r="B169" s="57" t="s">
        <v>3</v>
      </c>
      <c r="C169" s="57" t="s">
        <v>241</v>
      </c>
      <c r="D169" s="103" t="s">
        <v>242</v>
      </c>
    </row>
    <row r="170" spans="1:4" ht="12.75" customHeight="1" x14ac:dyDescent="0.15">
      <c r="A170" s="12">
        <f t="shared" ca="1" si="0"/>
        <v>7309003</v>
      </c>
      <c r="B170" s="57" t="s">
        <v>4</v>
      </c>
      <c r="C170" s="57" t="s">
        <v>241</v>
      </c>
      <c r="D170" s="103" t="s">
        <v>243</v>
      </c>
    </row>
    <row r="171" spans="1:4" ht="12.75" customHeight="1" x14ac:dyDescent="0.15">
      <c r="A171" s="12">
        <f t="shared" ca="1" si="0"/>
        <v>2241615</v>
      </c>
      <c r="B171" s="207" t="s">
        <v>4</v>
      </c>
      <c r="C171" s="207" t="s">
        <v>247</v>
      </c>
      <c r="D171" s="225" t="s">
        <v>248</v>
      </c>
    </row>
    <row r="172" spans="1:4" ht="12.75" customHeight="1" x14ac:dyDescent="0.15">
      <c r="A172" s="12">
        <f t="shared" ca="1" si="0"/>
        <v>2848945</v>
      </c>
      <c r="B172" s="57" t="s">
        <v>3</v>
      </c>
      <c r="C172" s="57" t="s">
        <v>247</v>
      </c>
      <c r="D172" s="59" t="s">
        <v>281</v>
      </c>
    </row>
    <row r="173" spans="1:4" ht="12.75" customHeight="1" x14ac:dyDescent="0.15">
      <c r="A173" s="12">
        <f t="shared" ca="1" si="0"/>
        <v>9525647</v>
      </c>
      <c r="B173" s="179" t="s">
        <v>3</v>
      </c>
      <c r="C173" s="179" t="s">
        <v>180</v>
      </c>
      <c r="D173" s="209" t="s">
        <v>179</v>
      </c>
    </row>
    <row r="174" spans="1:4" ht="12.75" customHeight="1" x14ac:dyDescent="0.15">
      <c r="A174" s="12">
        <f t="shared" ca="1" si="0"/>
        <v>5322090</v>
      </c>
      <c r="B174" s="57" t="s">
        <v>3</v>
      </c>
      <c r="C174" s="57" t="s">
        <v>202</v>
      </c>
      <c r="D174" s="103" t="s">
        <v>150</v>
      </c>
    </row>
    <row r="175" spans="1:4" ht="12.75" customHeight="1" x14ac:dyDescent="0.15">
      <c r="A175" s="12">
        <f t="shared" ca="1" si="0"/>
        <v>2443514</v>
      </c>
      <c r="B175" s="57" t="s">
        <v>4</v>
      </c>
      <c r="C175" s="57" t="s">
        <v>202</v>
      </c>
      <c r="D175" s="103" t="s">
        <v>215</v>
      </c>
    </row>
    <row r="176" spans="1:4" ht="12.75" customHeight="1" x14ac:dyDescent="0.15">
      <c r="A176" s="12">
        <f t="shared" ca="1" si="0"/>
        <v>2340820</v>
      </c>
      <c r="B176" s="57" t="s">
        <v>501</v>
      </c>
      <c r="C176" s="57" t="s">
        <v>263</v>
      </c>
      <c r="D176" s="103" t="s">
        <v>264</v>
      </c>
    </row>
    <row r="177" spans="1:4" ht="12.75" customHeight="1" x14ac:dyDescent="0.15">
      <c r="A177" s="12">
        <f t="shared" ca="1" si="0"/>
        <v>7893979</v>
      </c>
      <c r="B177" s="207" t="s">
        <v>3</v>
      </c>
      <c r="C177" s="207" t="s">
        <v>176</v>
      </c>
      <c r="D177" s="225" t="s">
        <v>246</v>
      </c>
    </row>
    <row r="178" spans="1:4" ht="12.75" customHeight="1" x14ac:dyDescent="0.15">
      <c r="A178" s="12">
        <f t="shared" ca="1" si="0"/>
        <v>9914902</v>
      </c>
      <c r="B178" s="57" t="s">
        <v>4</v>
      </c>
      <c r="C178" s="57" t="s">
        <v>176</v>
      </c>
      <c r="D178" s="103" t="s">
        <v>121</v>
      </c>
    </row>
    <row r="179" spans="1:4" ht="12.75" customHeight="1" x14ac:dyDescent="0.15">
      <c r="A179" s="12">
        <f t="shared" ca="1" si="0"/>
        <v>7097136</v>
      </c>
      <c r="B179" s="179" t="s">
        <v>461</v>
      </c>
      <c r="C179" s="179" t="s">
        <v>182</v>
      </c>
      <c r="D179" s="209" t="s">
        <v>85</v>
      </c>
    </row>
    <row r="180" spans="1:4" ht="12.75" customHeight="1" x14ac:dyDescent="0.15">
      <c r="A180" s="12">
        <f t="shared" ca="1" si="0"/>
        <v>3892046</v>
      </c>
      <c r="B180" s="57" t="s">
        <v>461</v>
      </c>
      <c r="C180" s="57" t="s">
        <v>269</v>
      </c>
      <c r="D180" s="103" t="s">
        <v>270</v>
      </c>
    </row>
    <row r="181" spans="1:4" ht="12.75" customHeight="1" x14ac:dyDescent="0.15">
      <c r="A181" s="12">
        <f t="shared" ca="1" si="0"/>
        <v>3034180</v>
      </c>
      <c r="B181" s="57" t="s">
        <v>4</v>
      </c>
      <c r="C181" s="57" t="s">
        <v>269</v>
      </c>
      <c r="D181" s="103" t="s">
        <v>502</v>
      </c>
    </row>
    <row r="182" spans="1:4" ht="12.75" customHeight="1" x14ac:dyDescent="0.15">
      <c r="A182" s="12">
        <f t="shared" ca="1" si="0"/>
        <v>4301974</v>
      </c>
      <c r="B182" s="57" t="s">
        <v>4</v>
      </c>
      <c r="C182" s="57" t="s">
        <v>275</v>
      </c>
      <c r="D182" s="103" t="s">
        <v>276</v>
      </c>
    </row>
    <row r="183" spans="1:4" ht="12.75" customHeight="1" x14ac:dyDescent="0.15">
      <c r="A183" s="12">
        <f t="shared" ca="1" si="0"/>
        <v>4051495</v>
      </c>
      <c r="B183" s="57" t="s">
        <v>3</v>
      </c>
      <c r="C183" s="57" t="s">
        <v>275</v>
      </c>
      <c r="D183" s="103" t="s">
        <v>278</v>
      </c>
    </row>
    <row r="184" spans="1:4" ht="12.75" customHeight="1" x14ac:dyDescent="0.15">
      <c r="A184" s="12">
        <f t="shared" ca="1" si="0"/>
        <v>2283025</v>
      </c>
      <c r="B184" s="57" t="s">
        <v>4</v>
      </c>
      <c r="C184" s="57" t="s">
        <v>282</v>
      </c>
      <c r="D184" s="103" t="s">
        <v>283</v>
      </c>
    </row>
    <row r="185" spans="1:4" ht="12.75" customHeight="1" x14ac:dyDescent="0.15">
      <c r="A185" s="12">
        <f t="shared" ca="1" si="0"/>
        <v>1201588</v>
      </c>
      <c r="B185" s="155" t="s">
        <v>503</v>
      </c>
      <c r="C185" s="155" t="s">
        <v>282</v>
      </c>
      <c r="D185" s="156" t="s">
        <v>284</v>
      </c>
    </row>
    <row r="186" spans="1:4" ht="12.75" customHeight="1" x14ac:dyDescent="0.15">
      <c r="A186" s="12">
        <f t="shared" ca="1" si="0"/>
        <v>4904994</v>
      </c>
      <c r="B186" s="57" t="s">
        <v>4</v>
      </c>
      <c r="C186" s="57" t="s">
        <v>194</v>
      </c>
      <c r="D186" s="103" t="s">
        <v>195</v>
      </c>
    </row>
    <row r="187" spans="1:4" ht="12.75" customHeight="1" x14ac:dyDescent="0.15">
      <c r="A187" s="12">
        <f t="shared" ca="1" si="0"/>
        <v>9301727</v>
      </c>
      <c r="B187" s="57" t="s">
        <v>3</v>
      </c>
      <c r="C187" s="57" t="s">
        <v>194</v>
      </c>
      <c r="D187" s="103" t="s">
        <v>199</v>
      </c>
    </row>
    <row r="188" spans="1:4" ht="12.75" customHeight="1" x14ac:dyDescent="0.15">
      <c r="A188" s="12">
        <f t="shared" ca="1" si="0"/>
        <v>1163501</v>
      </c>
      <c r="B188" s="58" t="s">
        <v>4</v>
      </c>
      <c r="C188" s="58" t="s">
        <v>134</v>
      </c>
      <c r="D188" s="59" t="s">
        <v>229</v>
      </c>
    </row>
    <row r="189" spans="1:4" ht="12.75" customHeight="1" x14ac:dyDescent="0.15">
      <c r="A189" s="12">
        <f t="shared" ca="1" si="0"/>
        <v>8850857</v>
      </c>
      <c r="B189" s="58" t="s">
        <v>4</v>
      </c>
      <c r="C189" s="58" t="s">
        <v>47</v>
      </c>
      <c r="D189" s="59" t="s">
        <v>49</v>
      </c>
    </row>
    <row r="190" spans="1:4" ht="12.75" customHeight="1" x14ac:dyDescent="0.15">
      <c r="A190" s="12">
        <f t="shared" ca="1" si="0"/>
        <v>7125563</v>
      </c>
      <c r="B190" s="57" t="s">
        <v>3</v>
      </c>
      <c r="C190" s="58" t="s">
        <v>47</v>
      </c>
      <c r="D190" s="59" t="s">
        <v>58</v>
      </c>
    </row>
    <row r="191" spans="1:4" ht="12.75" customHeight="1" x14ac:dyDescent="0.15">
      <c r="A191" s="12">
        <f t="shared" ca="1" si="0"/>
        <v>7306855</v>
      </c>
      <c r="B191" s="57" t="s">
        <v>3</v>
      </c>
      <c r="C191" s="57" t="s">
        <v>65</v>
      </c>
      <c r="D191" s="103" t="s">
        <v>66</v>
      </c>
    </row>
    <row r="192" spans="1:4" ht="12.75" customHeight="1" x14ac:dyDescent="0.15">
      <c r="A192" s="12">
        <f t="shared" ca="1" si="0"/>
        <v>7179953</v>
      </c>
      <c r="B192" s="57" t="s">
        <v>4</v>
      </c>
      <c r="C192" s="57" t="s">
        <v>82</v>
      </c>
      <c r="D192" s="103" t="s">
        <v>85</v>
      </c>
    </row>
    <row r="193" spans="1:4" ht="12.75" customHeight="1" x14ac:dyDescent="0.15">
      <c r="A193" s="12">
        <f t="shared" ca="1" si="0"/>
        <v>8882742</v>
      </c>
      <c r="B193" s="57" t="s">
        <v>3</v>
      </c>
      <c r="C193" s="57" t="s">
        <v>82</v>
      </c>
      <c r="D193" s="103" t="s">
        <v>93</v>
      </c>
    </row>
    <row r="194" spans="1:4" ht="12.75" customHeight="1" x14ac:dyDescent="0.15">
      <c r="A194" s="12">
        <f t="shared" ca="1" si="0"/>
        <v>8990443</v>
      </c>
      <c r="B194" s="57" t="s">
        <v>298</v>
      </c>
      <c r="C194" s="57" t="s">
        <v>104</v>
      </c>
      <c r="D194" s="103" t="s">
        <v>105</v>
      </c>
    </row>
    <row r="195" spans="1:4" ht="12.75" customHeight="1" x14ac:dyDescent="0.15">
      <c r="A195" s="12">
        <f t="shared" ca="1" si="0"/>
        <v>5348491</v>
      </c>
      <c r="B195" s="57" t="s">
        <v>4</v>
      </c>
      <c r="C195" s="57" t="s">
        <v>106</v>
      </c>
      <c r="D195" s="103" t="s">
        <v>107</v>
      </c>
    </row>
    <row r="196" spans="1:4" ht="12.75" customHeight="1" x14ac:dyDescent="0.15">
      <c r="A196" s="12">
        <f t="shared" ca="1" si="0"/>
        <v>3861840</v>
      </c>
      <c r="B196" s="223" t="s">
        <v>306</v>
      </c>
      <c r="C196" s="223" t="s">
        <v>109</v>
      </c>
      <c r="D196" s="224" t="s">
        <v>110</v>
      </c>
    </row>
    <row r="197" spans="1:4" ht="12.75" customHeight="1" x14ac:dyDescent="0.15">
      <c r="A197" s="12">
        <f t="shared" ca="1" si="0"/>
        <v>5059477</v>
      </c>
      <c r="B197" s="150" t="s">
        <v>4</v>
      </c>
      <c r="C197" s="150" t="s">
        <v>111</v>
      </c>
      <c r="D197" s="151" t="s">
        <v>112</v>
      </c>
    </row>
    <row r="198" spans="1:4" ht="12.75" customHeight="1" x14ac:dyDescent="0.15">
      <c r="A198" s="12">
        <f t="shared" ca="1" si="0"/>
        <v>3172324</v>
      </c>
      <c r="B198" s="113" t="s">
        <v>4</v>
      </c>
      <c r="C198" s="113" t="s">
        <v>500</v>
      </c>
      <c r="D198" s="114" t="s">
        <v>114</v>
      </c>
    </row>
    <row r="199" spans="1:4" ht="12.75" customHeight="1" x14ac:dyDescent="0.15">
      <c r="A199" s="12">
        <f t="shared" ca="1" si="0"/>
        <v>8726285</v>
      </c>
      <c r="B199" s="57" t="s">
        <v>4</v>
      </c>
      <c r="C199" s="57" t="s">
        <v>115</v>
      </c>
      <c r="D199" s="103" t="s">
        <v>116</v>
      </c>
    </row>
    <row r="200" spans="1:4" ht="12.75" customHeight="1" x14ac:dyDescent="0.15">
      <c r="A200" s="12">
        <f t="shared" ca="1" si="0"/>
        <v>2957553</v>
      </c>
      <c r="B200" s="57" t="s">
        <v>4</v>
      </c>
      <c r="C200" s="57" t="s">
        <v>117</v>
      </c>
      <c r="D200" s="103" t="s">
        <v>118</v>
      </c>
    </row>
    <row r="201" spans="1:4" ht="12.75" customHeight="1" x14ac:dyDescent="0.15">
      <c r="A201" s="12">
        <f t="shared" ca="1" si="0"/>
        <v>5584193</v>
      </c>
      <c r="B201" s="57" t="s">
        <v>3</v>
      </c>
      <c r="C201" s="57" t="s">
        <v>120</v>
      </c>
      <c r="D201" s="103" t="s">
        <v>122</v>
      </c>
    </row>
    <row r="202" spans="1:4" ht="12.75" customHeight="1" x14ac:dyDescent="0.15">
      <c r="A202" s="12">
        <f t="shared" ca="1" si="0"/>
        <v>9542377</v>
      </c>
      <c r="B202" s="57" t="s">
        <v>3</v>
      </c>
      <c r="C202" s="57" t="s">
        <v>124</v>
      </c>
      <c r="D202" s="103" t="s">
        <v>127</v>
      </c>
    </row>
    <row r="203" spans="1:4" ht="12.75" customHeight="1" x14ac:dyDescent="0.15">
      <c r="A203" s="12">
        <f t="shared" ca="1" si="0"/>
        <v>7805100</v>
      </c>
      <c r="B203" s="57" t="s">
        <v>3</v>
      </c>
      <c r="C203" s="57" t="s">
        <v>124</v>
      </c>
      <c r="D203" s="103" t="s">
        <v>125</v>
      </c>
    </row>
    <row r="204" spans="1:4" ht="12.75" customHeight="1" x14ac:dyDescent="0.15">
      <c r="A204" s="12">
        <f t="shared" ca="1" si="0"/>
        <v>5310916</v>
      </c>
      <c r="B204" s="57" t="s">
        <v>4</v>
      </c>
      <c r="C204" s="57" t="s">
        <v>128</v>
      </c>
      <c r="D204" s="103" t="s">
        <v>129</v>
      </c>
    </row>
    <row r="205" spans="1:4" ht="12.75" customHeight="1" x14ac:dyDescent="0.15">
      <c r="A205" s="12">
        <f t="shared" ca="1" si="0"/>
        <v>9238170</v>
      </c>
      <c r="B205" s="58" t="s">
        <v>3</v>
      </c>
      <c r="C205" s="58" t="s">
        <v>137</v>
      </c>
      <c r="D205" s="59" t="s">
        <v>138</v>
      </c>
    </row>
    <row r="206" spans="1:4" ht="12.75" customHeight="1" x14ac:dyDescent="0.15">
      <c r="A206" s="12">
        <f t="shared" ca="1" si="0"/>
        <v>2131807</v>
      </c>
      <c r="B206" s="223" t="s">
        <v>3</v>
      </c>
      <c r="C206" s="223" t="s">
        <v>139</v>
      </c>
      <c r="D206" s="224" t="s">
        <v>141</v>
      </c>
    </row>
    <row r="207" spans="1:4" ht="12.75" customHeight="1" x14ac:dyDescent="0.15">
      <c r="A207" s="12">
        <f t="shared" ca="1" si="0"/>
        <v>6035985</v>
      </c>
      <c r="B207" s="155" t="s">
        <v>3</v>
      </c>
      <c r="C207" s="155" t="s">
        <v>130</v>
      </c>
      <c r="D207" s="156" t="s">
        <v>131</v>
      </c>
    </row>
    <row r="208" spans="1:4" ht="12.75" customHeight="1" x14ac:dyDescent="0.15">
      <c r="A208" s="12">
        <f t="shared" ca="1" si="0"/>
        <v>2239847</v>
      </c>
      <c r="B208" s="155" t="s">
        <v>4</v>
      </c>
      <c r="C208" s="155" t="s">
        <v>130</v>
      </c>
      <c r="D208" s="156" t="s">
        <v>133</v>
      </c>
    </row>
    <row r="209" spans="1:4" ht="12.75" customHeight="1" x14ac:dyDescent="0.15">
      <c r="A209" s="12">
        <f t="shared" ca="1" si="0"/>
        <v>8185403</v>
      </c>
      <c r="B209" s="58" t="s">
        <v>3</v>
      </c>
      <c r="C209" s="58" t="s">
        <v>134</v>
      </c>
      <c r="D209" s="59" t="s">
        <v>235</v>
      </c>
    </row>
    <row r="210" spans="1:4" ht="12.75" customHeight="1" x14ac:dyDescent="0.15">
      <c r="A210" s="12">
        <f t="shared" ca="1" si="0"/>
        <v>8802930</v>
      </c>
      <c r="B210" s="57" t="s">
        <v>4</v>
      </c>
      <c r="C210" s="58" t="s">
        <v>144</v>
      </c>
      <c r="D210" s="59" t="s">
        <v>145</v>
      </c>
    </row>
    <row r="211" spans="1:4" ht="12.75" customHeight="1" x14ac:dyDescent="0.15">
      <c r="A211" s="12">
        <f t="shared" ca="1" si="0"/>
        <v>9723425</v>
      </c>
      <c r="B211" s="147" t="s">
        <v>3</v>
      </c>
      <c r="C211" s="147" t="s">
        <v>149</v>
      </c>
      <c r="D211" s="148" t="s">
        <v>150</v>
      </c>
    </row>
    <row r="212" spans="1:4" ht="12.75" customHeight="1" x14ac:dyDescent="0.15">
      <c r="A212" s="12">
        <f t="shared" ca="1" si="0"/>
        <v>2334766</v>
      </c>
      <c r="B212" s="147" t="s">
        <v>4</v>
      </c>
      <c r="C212" s="147" t="s">
        <v>149</v>
      </c>
      <c r="D212" s="148" t="s">
        <v>147</v>
      </c>
    </row>
    <row r="213" spans="1:4" ht="12.75" customHeight="1" x14ac:dyDescent="0.15">
      <c r="A213" s="12">
        <f t="shared" ca="1" si="0"/>
        <v>3279767</v>
      </c>
      <c r="B213" s="150" t="s">
        <v>4</v>
      </c>
      <c r="C213" s="150" t="s">
        <v>162</v>
      </c>
      <c r="D213" s="151" t="s">
        <v>163</v>
      </c>
    </row>
    <row r="214" spans="1:4" ht="12.75" customHeight="1" x14ac:dyDescent="0.15">
      <c r="A214" s="12">
        <f t="shared" ca="1" si="0"/>
        <v>3247261</v>
      </c>
      <c r="B214" s="57" t="s">
        <v>4</v>
      </c>
      <c r="C214" s="57" t="s">
        <v>171</v>
      </c>
      <c r="D214" s="103" t="s">
        <v>174</v>
      </c>
    </row>
    <row r="215" spans="1:4" ht="12.75" customHeight="1" x14ac:dyDescent="0.15">
      <c r="A215" s="12">
        <f t="shared" ca="1" si="0"/>
        <v>5548046</v>
      </c>
      <c r="B215" s="57" t="s">
        <v>4</v>
      </c>
      <c r="C215" s="57" t="s">
        <v>175</v>
      </c>
      <c r="D215" s="103" t="s">
        <v>178</v>
      </c>
    </row>
    <row r="216" spans="1:4" ht="12.75" customHeight="1" x14ac:dyDescent="0.15">
      <c r="A216" s="12">
        <f t="shared" ca="1" si="0"/>
        <v>2808534</v>
      </c>
      <c r="B216" s="57" t="s">
        <v>461</v>
      </c>
      <c r="C216" s="57" t="s">
        <v>184</v>
      </c>
      <c r="D216" s="103" t="s">
        <v>186</v>
      </c>
    </row>
    <row r="217" spans="1:4" ht="12.75" customHeight="1" x14ac:dyDescent="0.15">
      <c r="A217" s="12">
        <f t="shared" ca="1" si="0"/>
        <v>1569931</v>
      </c>
      <c r="B217" s="57" t="s">
        <v>4</v>
      </c>
      <c r="C217" s="57" t="s">
        <v>184</v>
      </c>
      <c r="D217" s="103" t="s">
        <v>190</v>
      </c>
    </row>
    <row r="218" spans="1:4" ht="12.75" customHeight="1" x14ac:dyDescent="0.15">
      <c r="A218" s="12">
        <f t="shared" ca="1" si="0"/>
        <v>6218441</v>
      </c>
      <c r="B218" s="113" t="s">
        <v>4</v>
      </c>
      <c r="C218" s="113" t="s">
        <v>196</v>
      </c>
      <c r="D218" s="114" t="s">
        <v>133</v>
      </c>
    </row>
    <row r="219" spans="1:4" ht="12.75" customHeight="1" x14ac:dyDescent="0.15">
      <c r="A219" s="12">
        <f t="shared" ca="1" si="0"/>
        <v>5352058</v>
      </c>
      <c r="B219" s="57" t="s">
        <v>4</v>
      </c>
      <c r="C219" s="57" t="s">
        <v>200</v>
      </c>
      <c r="D219" s="103" t="s">
        <v>201</v>
      </c>
    </row>
    <row r="220" spans="1:4" ht="12.75" customHeight="1" x14ac:dyDescent="0.15">
      <c r="A220" s="12">
        <f t="shared" ca="1" si="0"/>
        <v>6929158</v>
      </c>
      <c r="B220" s="57" t="s">
        <v>4</v>
      </c>
      <c r="C220" s="57" t="s">
        <v>200</v>
      </c>
      <c r="D220" s="103" t="s">
        <v>195</v>
      </c>
    </row>
    <row r="221" spans="1:4" ht="12.75" customHeight="1" x14ac:dyDescent="0.15">
      <c r="A221" s="12">
        <f t="shared" ca="1" si="0"/>
        <v>8708181</v>
      </c>
      <c r="B221" s="179" t="s">
        <v>495</v>
      </c>
      <c r="C221" s="179" t="s">
        <v>200</v>
      </c>
      <c r="D221" s="209" t="s">
        <v>203</v>
      </c>
    </row>
    <row r="222" spans="1:4" ht="12.75" customHeight="1" x14ac:dyDescent="0.15">
      <c r="A222" s="12">
        <f t="shared" ca="1" si="0"/>
        <v>7531879</v>
      </c>
      <c r="B222" s="150" t="s">
        <v>4</v>
      </c>
      <c r="C222" s="150" t="s">
        <v>225</v>
      </c>
      <c r="D222" s="151" t="s">
        <v>226</v>
      </c>
    </row>
    <row r="223" spans="1:4" ht="12.75" customHeight="1" x14ac:dyDescent="0.15">
      <c r="A223" s="12">
        <f t="shared" ca="1" si="0"/>
        <v>9456246</v>
      </c>
      <c r="B223" s="150" t="s">
        <v>298</v>
      </c>
      <c r="C223" s="150" t="s">
        <v>225</v>
      </c>
      <c r="D223" s="151" t="s">
        <v>228</v>
      </c>
    </row>
    <row r="224" spans="1:4" ht="12.75" customHeight="1" x14ac:dyDescent="0.15">
      <c r="A224" s="12">
        <f t="shared" ca="1" si="0"/>
        <v>7610013</v>
      </c>
      <c r="B224" s="57" t="s">
        <v>3</v>
      </c>
      <c r="C224" s="57" t="s">
        <v>233</v>
      </c>
      <c r="D224" s="103" t="s">
        <v>234</v>
      </c>
    </row>
    <row r="225" spans="1:4" ht="12.75" customHeight="1" x14ac:dyDescent="0.15">
      <c r="A225" s="12">
        <f t="shared" ca="1" si="0"/>
        <v>8624071</v>
      </c>
      <c r="B225" s="57" t="s">
        <v>3</v>
      </c>
      <c r="C225" s="57" t="s">
        <v>6</v>
      </c>
      <c r="D225" s="103" t="s">
        <v>236</v>
      </c>
    </row>
    <row r="226" spans="1:4" ht="12.75" customHeight="1" x14ac:dyDescent="0.15">
      <c r="A226" s="12">
        <f t="shared" ca="1" si="0"/>
        <v>2647049</v>
      </c>
      <c r="B226" s="57" t="s">
        <v>3</v>
      </c>
      <c r="C226" s="57" t="s">
        <v>6</v>
      </c>
      <c r="D226" s="103" t="s">
        <v>8</v>
      </c>
    </row>
    <row r="227" spans="1:4" ht="12.75" customHeight="1" x14ac:dyDescent="0.15">
      <c r="A227" s="12">
        <f t="shared" ca="1" si="0"/>
        <v>2234632</v>
      </c>
      <c r="B227" s="57" t="s">
        <v>4</v>
      </c>
      <c r="C227" s="57" t="s">
        <v>6</v>
      </c>
      <c r="D227" s="103" t="s">
        <v>10</v>
      </c>
    </row>
    <row r="228" spans="1:4" ht="12.75" customHeight="1" x14ac:dyDescent="0.15">
      <c r="A228" s="12">
        <f t="shared" ca="1" si="0"/>
        <v>2094203</v>
      </c>
      <c r="B228" s="155" t="s">
        <v>3</v>
      </c>
      <c r="C228" s="155" t="s">
        <v>6</v>
      </c>
      <c r="D228" s="156" t="s">
        <v>9</v>
      </c>
    </row>
    <row r="229" spans="1:4" ht="12.75" customHeight="1" x14ac:dyDescent="0.15">
      <c r="A229" s="12">
        <f t="shared" ca="1" si="0"/>
        <v>8246479</v>
      </c>
      <c r="B229" s="57" t="s">
        <v>3</v>
      </c>
      <c r="C229" s="57" t="s">
        <v>237</v>
      </c>
      <c r="D229" s="103" t="s">
        <v>238</v>
      </c>
    </row>
    <row r="230" spans="1:4" ht="12.75" customHeight="1" x14ac:dyDescent="0.15">
      <c r="A230" s="12">
        <f t="shared" ca="1" si="0"/>
        <v>9359012</v>
      </c>
      <c r="B230" s="155" t="s">
        <v>4</v>
      </c>
      <c r="C230" s="155" t="s">
        <v>239</v>
      </c>
      <c r="D230" s="156" t="s">
        <v>240</v>
      </c>
    </row>
    <row r="231" spans="1:4" ht="12.75" customHeight="1" x14ac:dyDescent="0.15">
      <c r="A231" s="12">
        <f t="shared" ca="1" si="0"/>
        <v>1679919</v>
      </c>
      <c r="B231" s="57" t="s">
        <v>3</v>
      </c>
      <c r="C231" s="57" t="s">
        <v>241</v>
      </c>
      <c r="D231" s="103" t="s">
        <v>242</v>
      </c>
    </row>
    <row r="232" spans="1:4" ht="12.75" customHeight="1" x14ac:dyDescent="0.15">
      <c r="A232" s="12">
        <f t="shared" ca="1" si="0"/>
        <v>2074187</v>
      </c>
      <c r="B232" s="57" t="s">
        <v>4</v>
      </c>
      <c r="C232" s="57" t="s">
        <v>241</v>
      </c>
      <c r="D232" s="103" t="s">
        <v>243</v>
      </c>
    </row>
    <row r="233" spans="1:4" ht="12.75" customHeight="1" x14ac:dyDescent="0.15">
      <c r="A233" s="12">
        <f t="shared" ca="1" si="0"/>
        <v>3977230</v>
      </c>
      <c r="B233" s="207" t="s">
        <v>4</v>
      </c>
      <c r="C233" s="207" t="s">
        <v>247</v>
      </c>
      <c r="D233" s="225" t="s">
        <v>248</v>
      </c>
    </row>
    <row r="234" spans="1:4" ht="12.75" customHeight="1" x14ac:dyDescent="0.15">
      <c r="A234" s="12">
        <f t="shared" ca="1" si="0"/>
        <v>6760343</v>
      </c>
      <c r="B234" s="57" t="s">
        <v>3</v>
      </c>
      <c r="C234" s="57" t="s">
        <v>247</v>
      </c>
      <c r="D234" s="59" t="s">
        <v>281</v>
      </c>
    </row>
    <row r="235" spans="1:4" ht="12.75" customHeight="1" x14ac:dyDescent="0.15">
      <c r="A235" s="12">
        <f t="shared" ca="1" si="0"/>
        <v>9132267</v>
      </c>
      <c r="B235" s="179" t="s">
        <v>3</v>
      </c>
      <c r="C235" s="179" t="s">
        <v>180</v>
      </c>
      <c r="D235" s="209" t="s">
        <v>179</v>
      </c>
    </row>
    <row r="236" spans="1:4" ht="12.75" customHeight="1" x14ac:dyDescent="0.15">
      <c r="A236" s="12">
        <f t="shared" ca="1" si="0"/>
        <v>2248108</v>
      </c>
      <c r="B236" s="57" t="s">
        <v>3</v>
      </c>
      <c r="C236" s="57" t="s">
        <v>202</v>
      </c>
      <c r="D236" s="103" t="s">
        <v>150</v>
      </c>
    </row>
    <row r="237" spans="1:4" ht="12.75" customHeight="1" x14ac:dyDescent="0.15">
      <c r="A237" s="12">
        <f t="shared" ca="1" si="0"/>
        <v>2399678</v>
      </c>
      <c r="B237" s="57" t="s">
        <v>4</v>
      </c>
      <c r="C237" s="57" t="s">
        <v>202</v>
      </c>
      <c r="D237" s="103" t="s">
        <v>215</v>
      </c>
    </row>
    <row r="238" spans="1:4" ht="12.75" customHeight="1" x14ac:dyDescent="0.15">
      <c r="A238" s="12">
        <f t="shared" ca="1" si="0"/>
        <v>6098362</v>
      </c>
      <c r="B238" s="57" t="s">
        <v>501</v>
      </c>
      <c r="C238" s="57" t="s">
        <v>263</v>
      </c>
      <c r="D238" s="103" t="s">
        <v>264</v>
      </c>
    </row>
    <row r="239" spans="1:4" ht="12.75" customHeight="1" x14ac:dyDescent="0.15">
      <c r="A239" s="12">
        <f t="shared" ca="1" si="0"/>
        <v>6682411</v>
      </c>
      <c r="B239" s="207" t="s">
        <v>3</v>
      </c>
      <c r="C239" s="207" t="s">
        <v>176</v>
      </c>
      <c r="D239" s="225" t="s">
        <v>246</v>
      </c>
    </row>
    <row r="240" spans="1:4" ht="12.75" customHeight="1" x14ac:dyDescent="0.15">
      <c r="A240" s="12">
        <f t="shared" ca="1" si="0"/>
        <v>2752583</v>
      </c>
      <c r="B240" s="57" t="s">
        <v>4</v>
      </c>
      <c r="C240" s="57" t="s">
        <v>176</v>
      </c>
      <c r="D240" s="103" t="s">
        <v>121</v>
      </c>
    </row>
    <row r="241" spans="1:4" ht="12.75" customHeight="1" x14ac:dyDescent="0.15">
      <c r="A241" s="12">
        <f t="shared" ca="1" si="0"/>
        <v>6178150</v>
      </c>
      <c r="B241" s="179" t="s">
        <v>461</v>
      </c>
      <c r="C241" s="179" t="s">
        <v>182</v>
      </c>
      <c r="D241" s="209" t="s">
        <v>85</v>
      </c>
    </row>
    <row r="242" spans="1:4" ht="12.75" customHeight="1" x14ac:dyDescent="0.15">
      <c r="A242" s="12">
        <f t="shared" ca="1" si="0"/>
        <v>9145641</v>
      </c>
      <c r="B242" s="57" t="s">
        <v>461</v>
      </c>
      <c r="C242" s="57" t="s">
        <v>269</v>
      </c>
      <c r="D242" s="103" t="s">
        <v>270</v>
      </c>
    </row>
    <row r="243" spans="1:4" ht="12.75" customHeight="1" x14ac:dyDescent="0.15">
      <c r="A243" s="12">
        <f t="shared" ca="1" si="0"/>
        <v>3711326</v>
      </c>
      <c r="B243" s="57" t="s">
        <v>4</v>
      </c>
      <c r="C243" s="57" t="s">
        <v>269</v>
      </c>
      <c r="D243" s="103" t="s">
        <v>502</v>
      </c>
    </row>
    <row r="244" spans="1:4" ht="12.75" customHeight="1" x14ac:dyDescent="0.15">
      <c r="A244" s="12">
        <f t="shared" ca="1" si="0"/>
        <v>5846740</v>
      </c>
      <c r="B244" s="57" t="s">
        <v>4</v>
      </c>
      <c r="C244" s="57" t="s">
        <v>275</v>
      </c>
      <c r="D244" s="103" t="s">
        <v>276</v>
      </c>
    </row>
    <row r="245" spans="1:4" ht="12.75" customHeight="1" x14ac:dyDescent="0.15">
      <c r="A245" s="12">
        <f t="shared" ca="1" si="0"/>
        <v>9319200</v>
      </c>
      <c r="B245" s="57" t="s">
        <v>3</v>
      </c>
      <c r="C245" s="57" t="s">
        <v>275</v>
      </c>
      <c r="D245" s="103" t="s">
        <v>278</v>
      </c>
    </row>
    <row r="246" spans="1:4" ht="12.75" customHeight="1" x14ac:dyDescent="0.15">
      <c r="A246" s="12">
        <f t="shared" ca="1" si="0"/>
        <v>3148790</v>
      </c>
      <c r="B246" s="57" t="s">
        <v>4</v>
      </c>
      <c r="C246" s="57" t="s">
        <v>282</v>
      </c>
      <c r="D246" s="103" t="s">
        <v>283</v>
      </c>
    </row>
    <row r="247" spans="1:4" ht="12.75" customHeight="1" x14ac:dyDescent="0.15">
      <c r="A247" s="12">
        <f t="shared" ca="1" si="0"/>
        <v>8825037</v>
      </c>
      <c r="B247" s="155" t="s">
        <v>503</v>
      </c>
      <c r="C247" s="155" t="s">
        <v>282</v>
      </c>
      <c r="D247" s="156" t="s">
        <v>284</v>
      </c>
    </row>
    <row r="248" spans="1:4" ht="12.75" customHeight="1" x14ac:dyDescent="0.15">
      <c r="A248" s="12">
        <f t="shared" ca="1" si="0"/>
        <v>2075116</v>
      </c>
      <c r="B248" s="57" t="s">
        <v>4</v>
      </c>
      <c r="C248" s="57" t="s">
        <v>194</v>
      </c>
      <c r="D248" s="103" t="s">
        <v>195</v>
      </c>
    </row>
    <row r="249" spans="1:4" ht="12.75" customHeight="1" x14ac:dyDescent="0.15">
      <c r="A249" s="12">
        <f t="shared" ca="1" si="0"/>
        <v>8645644</v>
      </c>
      <c r="B249" s="57" t="s">
        <v>3</v>
      </c>
      <c r="C249" s="57" t="s">
        <v>194</v>
      </c>
      <c r="D249" s="103" t="s">
        <v>199</v>
      </c>
    </row>
    <row r="250" spans="1:4" ht="12.75" customHeight="1" x14ac:dyDescent="0.15">
      <c r="A250" s="12">
        <f t="shared" ca="1" si="0"/>
        <v>6570180</v>
      </c>
      <c r="B250" s="58" t="s">
        <v>4</v>
      </c>
      <c r="C250" s="58" t="s">
        <v>134</v>
      </c>
      <c r="D250" s="59" t="s">
        <v>229</v>
      </c>
    </row>
    <row r="251" spans="1:4" ht="12.75" customHeight="1" x14ac:dyDescent="0.15">
      <c r="A251" s="12">
        <f t="shared" ca="1" si="0"/>
        <v>9361871</v>
      </c>
      <c r="B251" s="58" t="s">
        <v>4</v>
      </c>
      <c r="C251" s="58" t="s">
        <v>47</v>
      </c>
      <c r="D251" s="59" t="s">
        <v>49</v>
      </c>
    </row>
    <row r="252" spans="1:4" ht="12.75" customHeight="1" x14ac:dyDescent="0.15">
      <c r="A252" s="12">
        <f t="shared" ca="1" si="0"/>
        <v>2639318</v>
      </c>
      <c r="B252" s="57" t="s">
        <v>3</v>
      </c>
      <c r="C252" s="58" t="s">
        <v>47</v>
      </c>
      <c r="D252" s="59" t="s">
        <v>58</v>
      </c>
    </row>
    <row r="253" spans="1:4" ht="12.75" customHeight="1" x14ac:dyDescent="0.15">
      <c r="A253" s="12">
        <f t="shared" ca="1" si="0"/>
        <v>4571598</v>
      </c>
      <c r="B253" s="57" t="s">
        <v>3</v>
      </c>
      <c r="C253" s="57" t="s">
        <v>65</v>
      </c>
      <c r="D253" s="103" t="s">
        <v>66</v>
      </c>
    </row>
    <row r="254" spans="1:4" ht="12.75" customHeight="1" x14ac:dyDescent="0.15">
      <c r="A254" s="12">
        <f t="shared" ca="1" si="0"/>
        <v>1370852</v>
      </c>
      <c r="B254" s="57" t="s">
        <v>4</v>
      </c>
      <c r="C254" s="57" t="s">
        <v>82</v>
      </c>
      <c r="D254" s="103" t="s">
        <v>85</v>
      </c>
    </row>
    <row r="255" spans="1:4" ht="12.75" customHeight="1" x14ac:dyDescent="0.15">
      <c r="A255" s="12">
        <f t="shared" ca="1" si="0"/>
        <v>1369887</v>
      </c>
      <c r="B255" s="57" t="s">
        <v>3</v>
      </c>
      <c r="C255" s="57" t="s">
        <v>82</v>
      </c>
      <c r="D255" s="103" t="s">
        <v>93</v>
      </c>
    </row>
    <row r="256" spans="1:4" ht="12.75" customHeight="1" x14ac:dyDescent="0.15">
      <c r="A256" s="12">
        <f t="shared" ca="1" si="0"/>
        <v>8065671</v>
      </c>
      <c r="B256" s="57" t="s">
        <v>298</v>
      </c>
      <c r="C256" s="57" t="s">
        <v>104</v>
      </c>
      <c r="D256" s="103" t="s">
        <v>105</v>
      </c>
    </row>
    <row r="257" spans="1:4" ht="12.75" customHeight="1" x14ac:dyDescent="0.15">
      <c r="A257" s="12">
        <f t="shared" ref="A257:A511" ca="1" si="1">RANDBETWEEN(1000000, 9999999)</f>
        <v>9978927</v>
      </c>
      <c r="B257" s="57" t="s">
        <v>4</v>
      </c>
      <c r="C257" s="57" t="s">
        <v>106</v>
      </c>
      <c r="D257" s="103" t="s">
        <v>107</v>
      </c>
    </row>
    <row r="258" spans="1:4" ht="12.75" customHeight="1" x14ac:dyDescent="0.15">
      <c r="A258" s="12">
        <f t="shared" ca="1" si="1"/>
        <v>9475184</v>
      </c>
      <c r="B258" s="223" t="s">
        <v>306</v>
      </c>
      <c r="C258" s="223" t="s">
        <v>109</v>
      </c>
      <c r="D258" s="224" t="s">
        <v>110</v>
      </c>
    </row>
    <row r="259" spans="1:4" ht="12.75" customHeight="1" x14ac:dyDescent="0.15">
      <c r="A259" s="12">
        <f t="shared" ca="1" si="1"/>
        <v>4078872</v>
      </c>
      <c r="B259" s="150" t="s">
        <v>4</v>
      </c>
      <c r="C259" s="150" t="s">
        <v>111</v>
      </c>
      <c r="D259" s="151" t="s">
        <v>112</v>
      </c>
    </row>
    <row r="260" spans="1:4" ht="12.75" customHeight="1" x14ac:dyDescent="0.15">
      <c r="A260" s="12">
        <f t="shared" ca="1" si="1"/>
        <v>5951896</v>
      </c>
      <c r="B260" s="113" t="s">
        <v>4</v>
      </c>
      <c r="C260" s="113" t="s">
        <v>500</v>
      </c>
      <c r="D260" s="114" t="s">
        <v>114</v>
      </c>
    </row>
    <row r="261" spans="1:4" ht="12.75" customHeight="1" x14ac:dyDescent="0.15">
      <c r="A261" s="12">
        <f t="shared" ca="1" si="1"/>
        <v>6251292</v>
      </c>
      <c r="B261" s="57" t="s">
        <v>4</v>
      </c>
      <c r="C261" s="57" t="s">
        <v>115</v>
      </c>
      <c r="D261" s="103" t="s">
        <v>116</v>
      </c>
    </row>
    <row r="262" spans="1:4" ht="12.75" customHeight="1" x14ac:dyDescent="0.15">
      <c r="A262" s="12">
        <f t="shared" ca="1" si="1"/>
        <v>1578495</v>
      </c>
      <c r="B262" s="57" t="s">
        <v>4</v>
      </c>
      <c r="C262" s="57" t="s">
        <v>117</v>
      </c>
      <c r="D262" s="103" t="s">
        <v>118</v>
      </c>
    </row>
    <row r="263" spans="1:4" ht="12.75" customHeight="1" x14ac:dyDescent="0.15">
      <c r="A263" s="12">
        <f t="shared" ca="1" si="1"/>
        <v>3692958</v>
      </c>
      <c r="B263" s="57" t="s">
        <v>3</v>
      </c>
      <c r="C263" s="57" t="s">
        <v>120</v>
      </c>
      <c r="D263" s="103" t="s">
        <v>122</v>
      </c>
    </row>
    <row r="264" spans="1:4" ht="12.75" customHeight="1" x14ac:dyDescent="0.15">
      <c r="A264" s="12">
        <f t="shared" ca="1" si="1"/>
        <v>3186368</v>
      </c>
      <c r="B264" s="57" t="s">
        <v>3</v>
      </c>
      <c r="C264" s="57" t="s">
        <v>124</v>
      </c>
      <c r="D264" s="103" t="s">
        <v>127</v>
      </c>
    </row>
    <row r="265" spans="1:4" ht="12.75" customHeight="1" x14ac:dyDescent="0.15">
      <c r="A265" s="12">
        <f t="shared" ca="1" si="1"/>
        <v>5197242</v>
      </c>
      <c r="B265" s="57" t="s">
        <v>3</v>
      </c>
      <c r="C265" s="57" t="s">
        <v>124</v>
      </c>
      <c r="D265" s="103" t="s">
        <v>125</v>
      </c>
    </row>
    <row r="266" spans="1:4" ht="12.75" customHeight="1" x14ac:dyDescent="0.15">
      <c r="A266" s="12">
        <f t="shared" ca="1" si="1"/>
        <v>2055799</v>
      </c>
      <c r="B266" s="57" t="s">
        <v>4</v>
      </c>
      <c r="C266" s="57" t="s">
        <v>128</v>
      </c>
      <c r="D266" s="103" t="s">
        <v>129</v>
      </c>
    </row>
    <row r="267" spans="1:4" ht="12.75" customHeight="1" x14ac:dyDescent="0.15">
      <c r="A267" s="12">
        <f t="shared" ca="1" si="1"/>
        <v>6067640</v>
      </c>
      <c r="B267" s="58" t="s">
        <v>3</v>
      </c>
      <c r="C267" s="58" t="s">
        <v>137</v>
      </c>
      <c r="D267" s="59" t="s">
        <v>138</v>
      </c>
    </row>
    <row r="268" spans="1:4" ht="12.75" customHeight="1" x14ac:dyDescent="0.15">
      <c r="A268" s="12">
        <f t="shared" ca="1" si="1"/>
        <v>8982556</v>
      </c>
      <c r="B268" s="223" t="s">
        <v>3</v>
      </c>
      <c r="C268" s="223" t="s">
        <v>139</v>
      </c>
      <c r="D268" s="224" t="s">
        <v>141</v>
      </c>
    </row>
    <row r="269" spans="1:4" ht="12.75" customHeight="1" x14ac:dyDescent="0.15">
      <c r="A269" s="12">
        <f t="shared" ca="1" si="1"/>
        <v>7467762</v>
      </c>
      <c r="B269" s="155" t="s">
        <v>3</v>
      </c>
      <c r="C269" s="155" t="s">
        <v>130</v>
      </c>
      <c r="D269" s="156" t="s">
        <v>131</v>
      </c>
    </row>
    <row r="270" spans="1:4" ht="12.75" customHeight="1" x14ac:dyDescent="0.15">
      <c r="A270" s="12">
        <f t="shared" ca="1" si="1"/>
        <v>4445303</v>
      </c>
      <c r="B270" s="155" t="s">
        <v>4</v>
      </c>
      <c r="C270" s="155" t="s">
        <v>130</v>
      </c>
      <c r="D270" s="156" t="s">
        <v>133</v>
      </c>
    </row>
    <row r="271" spans="1:4" ht="12.75" customHeight="1" x14ac:dyDescent="0.15">
      <c r="A271" s="12">
        <f t="shared" ca="1" si="1"/>
        <v>1562736</v>
      </c>
      <c r="B271" s="58" t="s">
        <v>3</v>
      </c>
      <c r="C271" s="58" t="s">
        <v>134</v>
      </c>
      <c r="D271" s="59" t="s">
        <v>235</v>
      </c>
    </row>
    <row r="272" spans="1:4" ht="12.75" customHeight="1" x14ac:dyDescent="0.15">
      <c r="A272" s="12">
        <f t="shared" ca="1" si="1"/>
        <v>3876920</v>
      </c>
      <c r="B272" s="57" t="s">
        <v>4</v>
      </c>
      <c r="C272" s="58" t="s">
        <v>144</v>
      </c>
      <c r="D272" s="59" t="s">
        <v>145</v>
      </c>
    </row>
    <row r="273" spans="1:4" ht="12.75" customHeight="1" x14ac:dyDescent="0.15">
      <c r="A273" s="12">
        <f t="shared" ca="1" si="1"/>
        <v>2758956</v>
      </c>
      <c r="B273" s="147" t="s">
        <v>3</v>
      </c>
      <c r="C273" s="147" t="s">
        <v>149</v>
      </c>
      <c r="D273" s="148" t="s">
        <v>150</v>
      </c>
    </row>
    <row r="274" spans="1:4" ht="12.75" customHeight="1" x14ac:dyDescent="0.15">
      <c r="A274" s="12">
        <f t="shared" ca="1" si="1"/>
        <v>1608445</v>
      </c>
      <c r="B274" s="147" t="s">
        <v>4</v>
      </c>
      <c r="C274" s="147" t="s">
        <v>149</v>
      </c>
      <c r="D274" s="148" t="s">
        <v>147</v>
      </c>
    </row>
    <row r="275" spans="1:4" ht="12.75" customHeight="1" x14ac:dyDescent="0.15">
      <c r="A275" s="12">
        <f t="shared" ca="1" si="1"/>
        <v>7140966</v>
      </c>
      <c r="B275" s="150" t="s">
        <v>4</v>
      </c>
      <c r="C275" s="150" t="s">
        <v>162</v>
      </c>
      <c r="D275" s="151" t="s">
        <v>163</v>
      </c>
    </row>
    <row r="276" spans="1:4" ht="12.75" customHeight="1" x14ac:dyDescent="0.15">
      <c r="A276" s="12">
        <f t="shared" ca="1" si="1"/>
        <v>3237203</v>
      </c>
      <c r="B276" s="57" t="s">
        <v>4</v>
      </c>
      <c r="C276" s="57" t="s">
        <v>171</v>
      </c>
      <c r="D276" s="103" t="s">
        <v>174</v>
      </c>
    </row>
    <row r="277" spans="1:4" ht="12.75" customHeight="1" x14ac:dyDescent="0.15">
      <c r="A277" s="12">
        <f t="shared" ca="1" si="1"/>
        <v>3190527</v>
      </c>
      <c r="B277" s="57" t="s">
        <v>4</v>
      </c>
      <c r="C277" s="57" t="s">
        <v>175</v>
      </c>
      <c r="D277" s="103" t="s">
        <v>178</v>
      </c>
    </row>
    <row r="278" spans="1:4" ht="12.75" customHeight="1" x14ac:dyDescent="0.15">
      <c r="A278" s="12">
        <f t="shared" ca="1" si="1"/>
        <v>2512181</v>
      </c>
      <c r="B278" s="57" t="s">
        <v>461</v>
      </c>
      <c r="C278" s="57" t="s">
        <v>184</v>
      </c>
      <c r="D278" s="103" t="s">
        <v>186</v>
      </c>
    </row>
    <row r="279" spans="1:4" ht="12.75" customHeight="1" x14ac:dyDescent="0.15">
      <c r="A279" s="12">
        <f t="shared" ca="1" si="1"/>
        <v>1619327</v>
      </c>
      <c r="B279" s="57" t="s">
        <v>4</v>
      </c>
      <c r="C279" s="57" t="s">
        <v>184</v>
      </c>
      <c r="D279" s="103" t="s">
        <v>190</v>
      </c>
    </row>
    <row r="280" spans="1:4" ht="12.75" customHeight="1" x14ac:dyDescent="0.15">
      <c r="A280" s="12">
        <f t="shared" ca="1" si="1"/>
        <v>4931928</v>
      </c>
      <c r="B280" s="113" t="s">
        <v>4</v>
      </c>
      <c r="C280" s="113" t="s">
        <v>196</v>
      </c>
      <c r="D280" s="114" t="s">
        <v>133</v>
      </c>
    </row>
    <row r="281" spans="1:4" ht="12.75" customHeight="1" x14ac:dyDescent="0.15">
      <c r="A281" s="12">
        <f t="shared" ca="1" si="1"/>
        <v>4648830</v>
      </c>
      <c r="B281" s="57" t="s">
        <v>4</v>
      </c>
      <c r="C281" s="57" t="s">
        <v>200</v>
      </c>
      <c r="D281" s="103" t="s">
        <v>201</v>
      </c>
    </row>
    <row r="282" spans="1:4" ht="12.75" customHeight="1" x14ac:dyDescent="0.15">
      <c r="A282" s="12">
        <f t="shared" ca="1" si="1"/>
        <v>8205393</v>
      </c>
      <c r="B282" s="57" t="s">
        <v>4</v>
      </c>
      <c r="C282" s="57" t="s">
        <v>200</v>
      </c>
      <c r="D282" s="103" t="s">
        <v>195</v>
      </c>
    </row>
    <row r="283" spans="1:4" ht="12.75" customHeight="1" x14ac:dyDescent="0.15">
      <c r="A283" s="12">
        <f t="shared" ca="1" si="1"/>
        <v>2438887</v>
      </c>
      <c r="B283" s="179" t="s">
        <v>495</v>
      </c>
      <c r="C283" s="179" t="s">
        <v>200</v>
      </c>
      <c r="D283" s="209" t="s">
        <v>203</v>
      </c>
    </row>
    <row r="284" spans="1:4" ht="12.75" customHeight="1" x14ac:dyDescent="0.15">
      <c r="A284" s="12">
        <f t="shared" ca="1" si="1"/>
        <v>3361428</v>
      </c>
      <c r="B284" s="150" t="s">
        <v>4</v>
      </c>
      <c r="C284" s="150" t="s">
        <v>225</v>
      </c>
      <c r="D284" s="151" t="s">
        <v>226</v>
      </c>
    </row>
    <row r="285" spans="1:4" ht="12.75" customHeight="1" x14ac:dyDescent="0.15">
      <c r="A285" s="12">
        <f t="shared" ca="1" si="1"/>
        <v>9229223</v>
      </c>
      <c r="B285" s="150" t="s">
        <v>298</v>
      </c>
      <c r="C285" s="150" t="s">
        <v>225</v>
      </c>
      <c r="D285" s="151" t="s">
        <v>228</v>
      </c>
    </row>
    <row r="286" spans="1:4" ht="12.75" customHeight="1" x14ac:dyDescent="0.15">
      <c r="A286" s="12">
        <f t="shared" ca="1" si="1"/>
        <v>5146717</v>
      </c>
      <c r="B286" s="57" t="s">
        <v>3</v>
      </c>
      <c r="C286" s="57" t="s">
        <v>233</v>
      </c>
      <c r="D286" s="103" t="s">
        <v>234</v>
      </c>
    </row>
    <row r="287" spans="1:4" ht="12.75" customHeight="1" x14ac:dyDescent="0.15">
      <c r="A287" s="12">
        <f t="shared" ca="1" si="1"/>
        <v>6570852</v>
      </c>
      <c r="B287" s="57" t="s">
        <v>3</v>
      </c>
      <c r="C287" s="57" t="s">
        <v>6</v>
      </c>
      <c r="D287" s="103" t="s">
        <v>236</v>
      </c>
    </row>
    <row r="288" spans="1:4" ht="12.75" customHeight="1" x14ac:dyDescent="0.15">
      <c r="A288" s="12">
        <f t="shared" ca="1" si="1"/>
        <v>3689542</v>
      </c>
      <c r="B288" s="57" t="s">
        <v>3</v>
      </c>
      <c r="C288" s="57" t="s">
        <v>6</v>
      </c>
      <c r="D288" s="103" t="s">
        <v>8</v>
      </c>
    </row>
    <row r="289" spans="1:4" ht="12.75" customHeight="1" x14ac:dyDescent="0.15">
      <c r="A289" s="12">
        <f t="shared" ca="1" si="1"/>
        <v>8692715</v>
      </c>
      <c r="B289" s="57" t="s">
        <v>4</v>
      </c>
      <c r="C289" s="57" t="s">
        <v>6</v>
      </c>
      <c r="D289" s="103" t="s">
        <v>10</v>
      </c>
    </row>
    <row r="290" spans="1:4" ht="12.75" customHeight="1" x14ac:dyDescent="0.15">
      <c r="A290" s="12">
        <f t="shared" ca="1" si="1"/>
        <v>8285988</v>
      </c>
      <c r="B290" s="155" t="s">
        <v>3</v>
      </c>
      <c r="C290" s="155" t="s">
        <v>6</v>
      </c>
      <c r="D290" s="156" t="s">
        <v>9</v>
      </c>
    </row>
    <row r="291" spans="1:4" ht="12.75" customHeight="1" x14ac:dyDescent="0.15">
      <c r="A291" s="12">
        <f t="shared" ca="1" si="1"/>
        <v>6199252</v>
      </c>
      <c r="B291" s="57" t="s">
        <v>3</v>
      </c>
      <c r="C291" s="57" t="s">
        <v>237</v>
      </c>
      <c r="D291" s="103" t="s">
        <v>238</v>
      </c>
    </row>
    <row r="292" spans="1:4" ht="12.75" customHeight="1" x14ac:dyDescent="0.15">
      <c r="A292" s="12">
        <f t="shared" ca="1" si="1"/>
        <v>3731924</v>
      </c>
      <c r="B292" s="155" t="s">
        <v>4</v>
      </c>
      <c r="C292" s="155" t="s">
        <v>239</v>
      </c>
      <c r="D292" s="156" t="s">
        <v>240</v>
      </c>
    </row>
    <row r="293" spans="1:4" ht="12.75" customHeight="1" x14ac:dyDescent="0.15">
      <c r="A293" s="12">
        <f t="shared" ca="1" si="1"/>
        <v>2855542</v>
      </c>
      <c r="B293" s="57" t="s">
        <v>3</v>
      </c>
      <c r="C293" s="57" t="s">
        <v>241</v>
      </c>
      <c r="D293" s="103" t="s">
        <v>242</v>
      </c>
    </row>
    <row r="294" spans="1:4" ht="12.75" customHeight="1" x14ac:dyDescent="0.15">
      <c r="A294" s="12">
        <f t="shared" ca="1" si="1"/>
        <v>1246544</v>
      </c>
      <c r="B294" s="57" t="s">
        <v>4</v>
      </c>
      <c r="C294" s="57" t="s">
        <v>241</v>
      </c>
      <c r="D294" s="103" t="s">
        <v>243</v>
      </c>
    </row>
    <row r="295" spans="1:4" ht="12.75" customHeight="1" x14ac:dyDescent="0.15">
      <c r="A295" s="12">
        <f t="shared" ca="1" si="1"/>
        <v>2658140</v>
      </c>
      <c r="B295" s="207" t="s">
        <v>4</v>
      </c>
      <c r="C295" s="207" t="s">
        <v>247</v>
      </c>
      <c r="D295" s="225" t="s">
        <v>248</v>
      </c>
    </row>
    <row r="296" spans="1:4" ht="12.75" customHeight="1" x14ac:dyDescent="0.15">
      <c r="A296" s="12">
        <f t="shared" ca="1" si="1"/>
        <v>6473265</v>
      </c>
      <c r="B296" s="57" t="s">
        <v>3</v>
      </c>
      <c r="C296" s="57" t="s">
        <v>247</v>
      </c>
      <c r="D296" s="59" t="s">
        <v>281</v>
      </c>
    </row>
    <row r="297" spans="1:4" ht="12.75" customHeight="1" x14ac:dyDescent="0.15">
      <c r="A297" s="12">
        <f t="shared" ca="1" si="1"/>
        <v>5523293</v>
      </c>
      <c r="B297" s="179" t="s">
        <v>3</v>
      </c>
      <c r="C297" s="179" t="s">
        <v>180</v>
      </c>
      <c r="D297" s="209" t="s">
        <v>179</v>
      </c>
    </row>
    <row r="298" spans="1:4" ht="12.75" customHeight="1" x14ac:dyDescent="0.15">
      <c r="A298" s="12">
        <f t="shared" ca="1" si="1"/>
        <v>3085972</v>
      </c>
      <c r="B298" s="57" t="s">
        <v>3</v>
      </c>
      <c r="C298" s="57" t="s">
        <v>202</v>
      </c>
      <c r="D298" s="103" t="s">
        <v>150</v>
      </c>
    </row>
    <row r="299" spans="1:4" ht="12.75" customHeight="1" x14ac:dyDescent="0.15">
      <c r="A299" s="12">
        <f t="shared" ca="1" si="1"/>
        <v>6597054</v>
      </c>
      <c r="B299" s="57" t="s">
        <v>4</v>
      </c>
      <c r="C299" s="57" t="s">
        <v>202</v>
      </c>
      <c r="D299" s="103" t="s">
        <v>215</v>
      </c>
    </row>
    <row r="300" spans="1:4" ht="12.75" customHeight="1" x14ac:dyDescent="0.15">
      <c r="A300" s="12">
        <f t="shared" ca="1" si="1"/>
        <v>4540470</v>
      </c>
      <c r="B300" s="57" t="s">
        <v>501</v>
      </c>
      <c r="C300" s="57" t="s">
        <v>263</v>
      </c>
      <c r="D300" s="103" t="s">
        <v>264</v>
      </c>
    </row>
    <row r="301" spans="1:4" ht="12.75" customHeight="1" x14ac:dyDescent="0.15">
      <c r="A301" s="12">
        <f t="shared" ca="1" si="1"/>
        <v>8523106</v>
      </c>
      <c r="B301" s="207" t="s">
        <v>3</v>
      </c>
      <c r="C301" s="207" t="s">
        <v>176</v>
      </c>
      <c r="D301" s="225" t="s">
        <v>246</v>
      </c>
    </row>
    <row r="302" spans="1:4" ht="12.75" customHeight="1" x14ac:dyDescent="0.15">
      <c r="A302" s="12">
        <f t="shared" ca="1" si="1"/>
        <v>2647620</v>
      </c>
      <c r="B302" s="57" t="s">
        <v>4</v>
      </c>
      <c r="C302" s="57" t="s">
        <v>176</v>
      </c>
      <c r="D302" s="103" t="s">
        <v>121</v>
      </c>
    </row>
    <row r="303" spans="1:4" ht="12.75" customHeight="1" x14ac:dyDescent="0.15">
      <c r="A303" s="12">
        <f t="shared" ca="1" si="1"/>
        <v>5587769</v>
      </c>
      <c r="B303" s="179" t="s">
        <v>461</v>
      </c>
      <c r="C303" s="179" t="s">
        <v>182</v>
      </c>
      <c r="D303" s="209" t="s">
        <v>85</v>
      </c>
    </row>
    <row r="304" spans="1:4" ht="12.75" customHeight="1" x14ac:dyDescent="0.15">
      <c r="A304" s="12">
        <f t="shared" ca="1" si="1"/>
        <v>5302166</v>
      </c>
      <c r="B304" s="57" t="s">
        <v>461</v>
      </c>
      <c r="C304" s="57" t="s">
        <v>269</v>
      </c>
      <c r="D304" s="103" t="s">
        <v>270</v>
      </c>
    </row>
    <row r="305" spans="1:4" ht="12.75" customHeight="1" x14ac:dyDescent="0.15">
      <c r="A305" s="12">
        <f t="shared" ca="1" si="1"/>
        <v>4508844</v>
      </c>
      <c r="B305" s="57" t="s">
        <v>4</v>
      </c>
      <c r="C305" s="57" t="s">
        <v>269</v>
      </c>
      <c r="D305" s="103" t="s">
        <v>502</v>
      </c>
    </row>
    <row r="306" spans="1:4" ht="12.75" customHeight="1" x14ac:dyDescent="0.15">
      <c r="A306" s="12">
        <f t="shared" ca="1" si="1"/>
        <v>5671583</v>
      </c>
      <c r="B306" s="57" t="s">
        <v>4</v>
      </c>
      <c r="C306" s="57" t="s">
        <v>275</v>
      </c>
      <c r="D306" s="103" t="s">
        <v>276</v>
      </c>
    </row>
    <row r="307" spans="1:4" ht="12.75" customHeight="1" x14ac:dyDescent="0.15">
      <c r="A307" s="12">
        <f t="shared" ca="1" si="1"/>
        <v>3734937</v>
      </c>
      <c r="B307" s="57" t="s">
        <v>3</v>
      </c>
      <c r="C307" s="57" t="s">
        <v>275</v>
      </c>
      <c r="D307" s="103" t="s">
        <v>278</v>
      </c>
    </row>
    <row r="308" spans="1:4" ht="12.75" customHeight="1" x14ac:dyDescent="0.15">
      <c r="A308" s="12">
        <f t="shared" ca="1" si="1"/>
        <v>1265560</v>
      </c>
      <c r="B308" s="57" t="s">
        <v>4</v>
      </c>
      <c r="C308" s="57" t="s">
        <v>282</v>
      </c>
      <c r="D308" s="103" t="s">
        <v>283</v>
      </c>
    </row>
    <row r="309" spans="1:4" ht="12.75" customHeight="1" x14ac:dyDescent="0.15">
      <c r="A309" s="12">
        <f t="shared" ca="1" si="1"/>
        <v>4864718</v>
      </c>
      <c r="B309" s="155" t="s">
        <v>503</v>
      </c>
      <c r="C309" s="155" t="s">
        <v>282</v>
      </c>
      <c r="D309" s="156" t="s">
        <v>284</v>
      </c>
    </row>
    <row r="310" spans="1:4" ht="12.75" customHeight="1" x14ac:dyDescent="0.15">
      <c r="A310" s="12">
        <f t="shared" ca="1" si="1"/>
        <v>2756573</v>
      </c>
      <c r="B310" s="57" t="s">
        <v>4</v>
      </c>
      <c r="C310" s="57" t="s">
        <v>194</v>
      </c>
      <c r="D310" s="103" t="s">
        <v>195</v>
      </c>
    </row>
    <row r="311" spans="1:4" ht="12.75" customHeight="1" x14ac:dyDescent="0.15">
      <c r="A311" s="12">
        <f t="shared" ca="1" si="1"/>
        <v>8746970</v>
      </c>
      <c r="B311" s="57" t="s">
        <v>3</v>
      </c>
      <c r="C311" s="57" t="s">
        <v>194</v>
      </c>
      <c r="D311" s="103" t="s">
        <v>199</v>
      </c>
    </row>
    <row r="312" spans="1:4" ht="12.75" customHeight="1" x14ac:dyDescent="0.15">
      <c r="A312" s="12">
        <f t="shared" ca="1" si="1"/>
        <v>2546266</v>
      </c>
      <c r="B312" s="58" t="s">
        <v>4</v>
      </c>
      <c r="C312" s="58" t="s">
        <v>134</v>
      </c>
      <c r="D312" s="59" t="s">
        <v>229</v>
      </c>
    </row>
    <row r="313" spans="1:4" ht="12.75" customHeight="1" x14ac:dyDescent="0.15">
      <c r="A313" s="12">
        <f t="shared" ca="1" si="1"/>
        <v>7201468</v>
      </c>
      <c r="B313" s="58" t="s">
        <v>4</v>
      </c>
      <c r="C313" s="58" t="s">
        <v>47</v>
      </c>
      <c r="D313" s="59" t="s">
        <v>49</v>
      </c>
    </row>
    <row r="314" spans="1:4" ht="12.75" customHeight="1" x14ac:dyDescent="0.15">
      <c r="A314" s="12">
        <f t="shared" ca="1" si="1"/>
        <v>6944871</v>
      </c>
      <c r="B314" s="57" t="s">
        <v>3</v>
      </c>
      <c r="C314" s="58" t="s">
        <v>47</v>
      </c>
      <c r="D314" s="59" t="s">
        <v>58</v>
      </c>
    </row>
    <row r="315" spans="1:4" ht="12.75" customHeight="1" x14ac:dyDescent="0.15">
      <c r="A315" s="12">
        <f t="shared" ca="1" si="1"/>
        <v>4216060</v>
      </c>
      <c r="B315" s="57" t="s">
        <v>3</v>
      </c>
      <c r="C315" s="57" t="s">
        <v>65</v>
      </c>
      <c r="D315" s="103" t="s">
        <v>66</v>
      </c>
    </row>
    <row r="316" spans="1:4" ht="12.75" customHeight="1" x14ac:dyDescent="0.15">
      <c r="A316" s="12">
        <f t="shared" ca="1" si="1"/>
        <v>1334261</v>
      </c>
      <c r="B316" s="57" t="s">
        <v>4</v>
      </c>
      <c r="C316" s="57" t="s">
        <v>82</v>
      </c>
      <c r="D316" s="103" t="s">
        <v>85</v>
      </c>
    </row>
    <row r="317" spans="1:4" ht="12.75" customHeight="1" x14ac:dyDescent="0.15">
      <c r="A317" s="12">
        <f t="shared" ca="1" si="1"/>
        <v>8466851</v>
      </c>
      <c r="B317" s="57" t="s">
        <v>3</v>
      </c>
      <c r="C317" s="57" t="s">
        <v>82</v>
      </c>
      <c r="D317" s="103" t="s">
        <v>93</v>
      </c>
    </row>
    <row r="318" spans="1:4" ht="12.75" customHeight="1" x14ac:dyDescent="0.15">
      <c r="A318" s="12">
        <f t="shared" ca="1" si="1"/>
        <v>3015934</v>
      </c>
      <c r="B318" s="57" t="s">
        <v>298</v>
      </c>
      <c r="C318" s="57" t="s">
        <v>104</v>
      </c>
      <c r="D318" s="103" t="s">
        <v>105</v>
      </c>
    </row>
    <row r="319" spans="1:4" ht="12.75" customHeight="1" x14ac:dyDescent="0.15">
      <c r="A319" s="12">
        <f t="shared" ca="1" si="1"/>
        <v>4425892</v>
      </c>
      <c r="B319" s="57" t="s">
        <v>4</v>
      </c>
      <c r="C319" s="57" t="s">
        <v>106</v>
      </c>
      <c r="D319" s="103" t="s">
        <v>107</v>
      </c>
    </row>
    <row r="320" spans="1:4" ht="12.75" customHeight="1" x14ac:dyDescent="0.15">
      <c r="A320" s="12">
        <f t="shared" ca="1" si="1"/>
        <v>8238440</v>
      </c>
      <c r="B320" s="223" t="s">
        <v>306</v>
      </c>
      <c r="C320" s="223" t="s">
        <v>109</v>
      </c>
      <c r="D320" s="224" t="s">
        <v>110</v>
      </c>
    </row>
    <row r="321" spans="1:4" ht="12.75" customHeight="1" x14ac:dyDescent="0.15">
      <c r="A321" s="12">
        <f t="shared" ca="1" si="1"/>
        <v>9666123</v>
      </c>
      <c r="B321" s="150" t="s">
        <v>4</v>
      </c>
      <c r="C321" s="150" t="s">
        <v>111</v>
      </c>
      <c r="D321" s="151" t="s">
        <v>112</v>
      </c>
    </row>
    <row r="322" spans="1:4" ht="12.75" customHeight="1" x14ac:dyDescent="0.15">
      <c r="A322" s="12">
        <f t="shared" ca="1" si="1"/>
        <v>4784340</v>
      </c>
      <c r="B322" s="113" t="s">
        <v>4</v>
      </c>
      <c r="C322" s="113" t="s">
        <v>500</v>
      </c>
      <c r="D322" s="114" t="s">
        <v>114</v>
      </c>
    </row>
    <row r="323" spans="1:4" ht="12.75" customHeight="1" x14ac:dyDescent="0.15">
      <c r="A323" s="12">
        <f t="shared" ca="1" si="1"/>
        <v>2536630</v>
      </c>
      <c r="B323" s="57" t="s">
        <v>4</v>
      </c>
      <c r="C323" s="57" t="s">
        <v>115</v>
      </c>
      <c r="D323" s="103" t="s">
        <v>116</v>
      </c>
    </row>
    <row r="324" spans="1:4" ht="12.75" customHeight="1" x14ac:dyDescent="0.15">
      <c r="A324" s="12">
        <f t="shared" ca="1" si="1"/>
        <v>1221809</v>
      </c>
      <c r="B324" s="57" t="s">
        <v>4</v>
      </c>
      <c r="C324" s="57" t="s">
        <v>117</v>
      </c>
      <c r="D324" s="103" t="s">
        <v>118</v>
      </c>
    </row>
    <row r="325" spans="1:4" ht="12.75" customHeight="1" x14ac:dyDescent="0.15">
      <c r="A325" s="12">
        <f t="shared" ca="1" si="1"/>
        <v>1979451</v>
      </c>
      <c r="B325" s="57" t="s">
        <v>3</v>
      </c>
      <c r="C325" s="57" t="s">
        <v>120</v>
      </c>
      <c r="D325" s="103" t="s">
        <v>122</v>
      </c>
    </row>
    <row r="326" spans="1:4" ht="12.75" customHeight="1" x14ac:dyDescent="0.15">
      <c r="A326" s="12">
        <f t="shared" ca="1" si="1"/>
        <v>1529902</v>
      </c>
      <c r="B326" s="57" t="s">
        <v>3</v>
      </c>
      <c r="C326" s="57" t="s">
        <v>124</v>
      </c>
      <c r="D326" s="103" t="s">
        <v>127</v>
      </c>
    </row>
    <row r="327" spans="1:4" ht="12.75" customHeight="1" x14ac:dyDescent="0.15">
      <c r="A327" s="12">
        <f t="shared" ca="1" si="1"/>
        <v>9944749</v>
      </c>
      <c r="B327" s="57" t="s">
        <v>3</v>
      </c>
      <c r="C327" s="57" t="s">
        <v>124</v>
      </c>
      <c r="D327" s="103" t="s">
        <v>125</v>
      </c>
    </row>
    <row r="328" spans="1:4" ht="12.75" customHeight="1" x14ac:dyDescent="0.15">
      <c r="A328" s="12">
        <f t="shared" ca="1" si="1"/>
        <v>2527652</v>
      </c>
      <c r="B328" s="57" t="s">
        <v>4</v>
      </c>
      <c r="C328" s="57" t="s">
        <v>128</v>
      </c>
      <c r="D328" s="103" t="s">
        <v>129</v>
      </c>
    </row>
    <row r="329" spans="1:4" ht="12.75" customHeight="1" x14ac:dyDescent="0.15">
      <c r="A329" s="12">
        <f t="shared" ca="1" si="1"/>
        <v>9368924</v>
      </c>
      <c r="B329" s="58" t="s">
        <v>3</v>
      </c>
      <c r="C329" s="58" t="s">
        <v>137</v>
      </c>
      <c r="D329" s="59" t="s">
        <v>138</v>
      </c>
    </row>
    <row r="330" spans="1:4" ht="12.75" customHeight="1" x14ac:dyDescent="0.15">
      <c r="A330" s="12">
        <f t="shared" ca="1" si="1"/>
        <v>7145317</v>
      </c>
      <c r="B330" s="223" t="s">
        <v>3</v>
      </c>
      <c r="C330" s="223" t="s">
        <v>139</v>
      </c>
      <c r="D330" s="224" t="s">
        <v>141</v>
      </c>
    </row>
    <row r="331" spans="1:4" ht="12.75" customHeight="1" x14ac:dyDescent="0.15">
      <c r="A331" s="12">
        <f t="shared" ca="1" si="1"/>
        <v>8908092</v>
      </c>
      <c r="B331" s="155" t="s">
        <v>3</v>
      </c>
      <c r="C331" s="155" t="s">
        <v>130</v>
      </c>
      <c r="D331" s="156" t="s">
        <v>131</v>
      </c>
    </row>
    <row r="332" spans="1:4" ht="12.75" customHeight="1" x14ac:dyDescent="0.15">
      <c r="A332" s="12">
        <f t="shared" ca="1" si="1"/>
        <v>6521866</v>
      </c>
      <c r="B332" s="155" t="s">
        <v>4</v>
      </c>
      <c r="C332" s="155" t="s">
        <v>130</v>
      </c>
      <c r="D332" s="156" t="s">
        <v>133</v>
      </c>
    </row>
    <row r="333" spans="1:4" ht="12.75" customHeight="1" x14ac:dyDescent="0.15">
      <c r="A333" s="12">
        <f t="shared" ca="1" si="1"/>
        <v>8059738</v>
      </c>
      <c r="B333" s="58" t="s">
        <v>3</v>
      </c>
      <c r="C333" s="58" t="s">
        <v>134</v>
      </c>
      <c r="D333" s="59" t="s">
        <v>235</v>
      </c>
    </row>
    <row r="334" spans="1:4" ht="12.75" customHeight="1" x14ac:dyDescent="0.15">
      <c r="A334" s="12">
        <f t="shared" ca="1" si="1"/>
        <v>7993285</v>
      </c>
      <c r="B334" s="57" t="s">
        <v>4</v>
      </c>
      <c r="C334" s="58" t="s">
        <v>144</v>
      </c>
      <c r="D334" s="59" t="s">
        <v>145</v>
      </c>
    </row>
    <row r="335" spans="1:4" ht="12.75" customHeight="1" x14ac:dyDescent="0.15">
      <c r="A335" s="12">
        <f t="shared" ca="1" si="1"/>
        <v>9617151</v>
      </c>
      <c r="B335" s="147" t="s">
        <v>3</v>
      </c>
      <c r="C335" s="147" t="s">
        <v>149</v>
      </c>
      <c r="D335" s="148" t="s">
        <v>150</v>
      </c>
    </row>
    <row r="336" spans="1:4" ht="12.75" customHeight="1" x14ac:dyDescent="0.15">
      <c r="A336" s="12">
        <f t="shared" ca="1" si="1"/>
        <v>8272439</v>
      </c>
      <c r="B336" s="147" t="s">
        <v>4</v>
      </c>
      <c r="C336" s="147" t="s">
        <v>149</v>
      </c>
      <c r="D336" s="148" t="s">
        <v>147</v>
      </c>
    </row>
    <row r="337" spans="1:4" ht="12.75" customHeight="1" x14ac:dyDescent="0.15">
      <c r="A337" s="12">
        <f t="shared" ca="1" si="1"/>
        <v>8881719</v>
      </c>
      <c r="B337" s="150" t="s">
        <v>4</v>
      </c>
      <c r="C337" s="150" t="s">
        <v>162</v>
      </c>
      <c r="D337" s="151" t="s">
        <v>163</v>
      </c>
    </row>
    <row r="338" spans="1:4" ht="12.75" customHeight="1" x14ac:dyDescent="0.15">
      <c r="A338" s="12">
        <f t="shared" ca="1" si="1"/>
        <v>7422033</v>
      </c>
      <c r="B338" s="57" t="s">
        <v>4</v>
      </c>
      <c r="C338" s="57" t="s">
        <v>171</v>
      </c>
      <c r="D338" s="103" t="s">
        <v>174</v>
      </c>
    </row>
    <row r="339" spans="1:4" ht="12.75" customHeight="1" x14ac:dyDescent="0.15">
      <c r="A339" s="12">
        <f t="shared" ca="1" si="1"/>
        <v>6908691</v>
      </c>
      <c r="B339" s="57" t="s">
        <v>4</v>
      </c>
      <c r="C339" s="57" t="s">
        <v>175</v>
      </c>
      <c r="D339" s="103" t="s">
        <v>178</v>
      </c>
    </row>
    <row r="340" spans="1:4" ht="12.75" customHeight="1" x14ac:dyDescent="0.15">
      <c r="A340" s="12">
        <f t="shared" ca="1" si="1"/>
        <v>9219135</v>
      </c>
      <c r="B340" s="57" t="s">
        <v>461</v>
      </c>
      <c r="C340" s="57" t="s">
        <v>184</v>
      </c>
      <c r="D340" s="103" t="s">
        <v>186</v>
      </c>
    </row>
    <row r="341" spans="1:4" ht="12.75" customHeight="1" x14ac:dyDescent="0.15">
      <c r="A341" s="12">
        <f t="shared" ca="1" si="1"/>
        <v>9250745</v>
      </c>
      <c r="B341" s="57" t="s">
        <v>4</v>
      </c>
      <c r="C341" s="57" t="s">
        <v>184</v>
      </c>
      <c r="D341" s="103" t="s">
        <v>190</v>
      </c>
    </row>
    <row r="342" spans="1:4" ht="12.75" customHeight="1" x14ac:dyDescent="0.15">
      <c r="A342" s="12">
        <f t="shared" ca="1" si="1"/>
        <v>6394907</v>
      </c>
      <c r="B342" s="113" t="s">
        <v>4</v>
      </c>
      <c r="C342" s="113" t="s">
        <v>196</v>
      </c>
      <c r="D342" s="114" t="s">
        <v>133</v>
      </c>
    </row>
    <row r="343" spans="1:4" ht="12.75" customHeight="1" x14ac:dyDescent="0.15">
      <c r="A343" s="12">
        <f t="shared" ca="1" si="1"/>
        <v>3207004</v>
      </c>
      <c r="B343" s="57" t="s">
        <v>4</v>
      </c>
      <c r="C343" s="57" t="s">
        <v>200</v>
      </c>
      <c r="D343" s="103" t="s">
        <v>201</v>
      </c>
    </row>
    <row r="344" spans="1:4" ht="12.75" customHeight="1" x14ac:dyDescent="0.15">
      <c r="A344" s="12">
        <f t="shared" ca="1" si="1"/>
        <v>7704267</v>
      </c>
      <c r="B344" s="57" t="s">
        <v>4</v>
      </c>
      <c r="C344" s="57" t="s">
        <v>200</v>
      </c>
      <c r="D344" s="103" t="s">
        <v>195</v>
      </c>
    </row>
    <row r="345" spans="1:4" ht="12.75" customHeight="1" x14ac:dyDescent="0.15">
      <c r="A345" s="12">
        <f t="shared" ca="1" si="1"/>
        <v>6559681</v>
      </c>
      <c r="B345" s="179" t="s">
        <v>495</v>
      </c>
      <c r="C345" s="179" t="s">
        <v>200</v>
      </c>
      <c r="D345" s="209" t="s">
        <v>203</v>
      </c>
    </row>
    <row r="346" spans="1:4" ht="12.75" customHeight="1" x14ac:dyDescent="0.15">
      <c r="A346" s="12">
        <f t="shared" ca="1" si="1"/>
        <v>4708443</v>
      </c>
      <c r="B346" s="150" t="s">
        <v>4</v>
      </c>
      <c r="C346" s="150" t="s">
        <v>225</v>
      </c>
      <c r="D346" s="151" t="s">
        <v>226</v>
      </c>
    </row>
    <row r="347" spans="1:4" ht="12.75" customHeight="1" x14ac:dyDescent="0.15">
      <c r="A347" s="12">
        <f t="shared" ca="1" si="1"/>
        <v>6812512</v>
      </c>
      <c r="B347" s="150" t="s">
        <v>298</v>
      </c>
      <c r="C347" s="150" t="s">
        <v>225</v>
      </c>
      <c r="D347" s="151" t="s">
        <v>228</v>
      </c>
    </row>
    <row r="348" spans="1:4" ht="12.75" customHeight="1" x14ac:dyDescent="0.15">
      <c r="A348" s="12">
        <f t="shared" ca="1" si="1"/>
        <v>6720139</v>
      </c>
      <c r="B348" s="57" t="s">
        <v>3</v>
      </c>
      <c r="C348" s="57" t="s">
        <v>233</v>
      </c>
      <c r="D348" s="103" t="s">
        <v>234</v>
      </c>
    </row>
    <row r="349" spans="1:4" ht="12.75" customHeight="1" x14ac:dyDescent="0.15">
      <c r="A349" s="12">
        <f t="shared" ca="1" si="1"/>
        <v>7823066</v>
      </c>
      <c r="B349" s="57" t="s">
        <v>3</v>
      </c>
      <c r="C349" s="57" t="s">
        <v>6</v>
      </c>
      <c r="D349" s="103" t="s">
        <v>236</v>
      </c>
    </row>
    <row r="350" spans="1:4" ht="12.75" customHeight="1" x14ac:dyDescent="0.15">
      <c r="A350" s="12">
        <f t="shared" ca="1" si="1"/>
        <v>4104199</v>
      </c>
      <c r="B350" s="57" t="s">
        <v>3</v>
      </c>
      <c r="C350" s="57" t="s">
        <v>6</v>
      </c>
      <c r="D350" s="103" t="s">
        <v>8</v>
      </c>
    </row>
    <row r="351" spans="1:4" ht="12.75" customHeight="1" x14ac:dyDescent="0.15">
      <c r="A351" s="12">
        <f t="shared" ca="1" si="1"/>
        <v>1830472</v>
      </c>
      <c r="B351" s="57" t="s">
        <v>4</v>
      </c>
      <c r="C351" s="57" t="s">
        <v>6</v>
      </c>
      <c r="D351" s="103" t="s">
        <v>10</v>
      </c>
    </row>
    <row r="352" spans="1:4" ht="12.75" customHeight="1" x14ac:dyDescent="0.15">
      <c r="A352" s="12">
        <f t="shared" ca="1" si="1"/>
        <v>1191649</v>
      </c>
      <c r="B352" s="155" t="s">
        <v>3</v>
      </c>
      <c r="C352" s="155" t="s">
        <v>6</v>
      </c>
      <c r="D352" s="156" t="s">
        <v>9</v>
      </c>
    </row>
    <row r="353" spans="1:4" ht="12.75" customHeight="1" x14ac:dyDescent="0.15">
      <c r="A353" s="12">
        <f t="shared" ca="1" si="1"/>
        <v>2894681</v>
      </c>
      <c r="B353" s="57" t="s">
        <v>3</v>
      </c>
      <c r="C353" s="57" t="s">
        <v>237</v>
      </c>
      <c r="D353" s="103" t="s">
        <v>238</v>
      </c>
    </row>
    <row r="354" spans="1:4" ht="12.75" customHeight="1" x14ac:dyDescent="0.15">
      <c r="A354" s="12">
        <f t="shared" ca="1" si="1"/>
        <v>5455785</v>
      </c>
      <c r="B354" s="155" t="s">
        <v>4</v>
      </c>
      <c r="C354" s="155" t="s">
        <v>239</v>
      </c>
      <c r="D354" s="156" t="s">
        <v>240</v>
      </c>
    </row>
    <row r="355" spans="1:4" ht="12.75" customHeight="1" x14ac:dyDescent="0.15">
      <c r="A355" s="12">
        <f t="shared" ca="1" si="1"/>
        <v>2098313</v>
      </c>
      <c r="B355" s="57" t="s">
        <v>3</v>
      </c>
      <c r="C355" s="57" t="s">
        <v>241</v>
      </c>
      <c r="D355" s="103" t="s">
        <v>242</v>
      </c>
    </row>
    <row r="356" spans="1:4" ht="12.75" customHeight="1" x14ac:dyDescent="0.15">
      <c r="A356" s="12">
        <f t="shared" ca="1" si="1"/>
        <v>6279236</v>
      </c>
      <c r="B356" s="57" t="s">
        <v>4</v>
      </c>
      <c r="C356" s="57" t="s">
        <v>241</v>
      </c>
      <c r="D356" s="103" t="s">
        <v>243</v>
      </c>
    </row>
    <row r="357" spans="1:4" ht="12.75" customHeight="1" x14ac:dyDescent="0.15">
      <c r="A357" s="12">
        <f t="shared" ca="1" si="1"/>
        <v>3896114</v>
      </c>
      <c r="B357" s="207" t="s">
        <v>4</v>
      </c>
      <c r="C357" s="207" t="s">
        <v>247</v>
      </c>
      <c r="D357" s="225" t="s">
        <v>248</v>
      </c>
    </row>
    <row r="358" spans="1:4" ht="12.75" customHeight="1" x14ac:dyDescent="0.15">
      <c r="A358" s="12">
        <f t="shared" ca="1" si="1"/>
        <v>2845401</v>
      </c>
      <c r="B358" s="57" t="s">
        <v>3</v>
      </c>
      <c r="C358" s="57" t="s">
        <v>247</v>
      </c>
      <c r="D358" s="59" t="s">
        <v>281</v>
      </c>
    </row>
    <row r="359" spans="1:4" ht="12.75" customHeight="1" x14ac:dyDescent="0.15">
      <c r="A359" s="12">
        <f t="shared" ca="1" si="1"/>
        <v>3054672</v>
      </c>
      <c r="B359" s="179" t="s">
        <v>3</v>
      </c>
      <c r="C359" s="179" t="s">
        <v>180</v>
      </c>
      <c r="D359" s="209" t="s">
        <v>179</v>
      </c>
    </row>
    <row r="360" spans="1:4" ht="12.75" customHeight="1" x14ac:dyDescent="0.15">
      <c r="A360" s="12">
        <f t="shared" ca="1" si="1"/>
        <v>6649844</v>
      </c>
      <c r="B360" s="57" t="s">
        <v>3</v>
      </c>
      <c r="C360" s="57" t="s">
        <v>202</v>
      </c>
      <c r="D360" s="103" t="s">
        <v>150</v>
      </c>
    </row>
    <row r="361" spans="1:4" ht="12.75" customHeight="1" x14ac:dyDescent="0.15">
      <c r="A361" s="12">
        <f t="shared" ca="1" si="1"/>
        <v>8276311</v>
      </c>
      <c r="B361" s="57" t="s">
        <v>4</v>
      </c>
      <c r="C361" s="57" t="s">
        <v>202</v>
      </c>
      <c r="D361" s="103" t="s">
        <v>215</v>
      </c>
    </row>
    <row r="362" spans="1:4" ht="12.75" customHeight="1" x14ac:dyDescent="0.15">
      <c r="A362" s="12">
        <f t="shared" ca="1" si="1"/>
        <v>1609166</v>
      </c>
      <c r="B362" s="57" t="s">
        <v>501</v>
      </c>
      <c r="C362" s="57" t="s">
        <v>263</v>
      </c>
      <c r="D362" s="103" t="s">
        <v>264</v>
      </c>
    </row>
    <row r="363" spans="1:4" ht="12.75" customHeight="1" x14ac:dyDescent="0.15">
      <c r="A363" s="12">
        <f t="shared" ca="1" si="1"/>
        <v>5611877</v>
      </c>
      <c r="B363" s="207" t="s">
        <v>3</v>
      </c>
      <c r="C363" s="207" t="s">
        <v>176</v>
      </c>
      <c r="D363" s="225" t="s">
        <v>246</v>
      </c>
    </row>
    <row r="364" spans="1:4" ht="12.75" customHeight="1" x14ac:dyDescent="0.15">
      <c r="A364" s="12">
        <f t="shared" ca="1" si="1"/>
        <v>7029396</v>
      </c>
      <c r="B364" s="57" t="s">
        <v>4</v>
      </c>
      <c r="C364" s="57" t="s">
        <v>176</v>
      </c>
      <c r="D364" s="103" t="s">
        <v>121</v>
      </c>
    </row>
    <row r="365" spans="1:4" ht="12.75" customHeight="1" x14ac:dyDescent="0.15">
      <c r="A365" s="12">
        <f t="shared" ca="1" si="1"/>
        <v>4033616</v>
      </c>
      <c r="B365" s="179" t="s">
        <v>461</v>
      </c>
      <c r="C365" s="179" t="s">
        <v>182</v>
      </c>
      <c r="D365" s="209" t="s">
        <v>85</v>
      </c>
    </row>
    <row r="366" spans="1:4" ht="12.75" customHeight="1" x14ac:dyDescent="0.15">
      <c r="A366" s="12">
        <f t="shared" ca="1" si="1"/>
        <v>5777550</v>
      </c>
      <c r="B366" s="57" t="s">
        <v>461</v>
      </c>
      <c r="C366" s="57" t="s">
        <v>269</v>
      </c>
      <c r="D366" s="103" t="s">
        <v>270</v>
      </c>
    </row>
    <row r="367" spans="1:4" ht="12.75" customHeight="1" x14ac:dyDescent="0.15">
      <c r="A367" s="12">
        <f t="shared" ca="1" si="1"/>
        <v>7965232</v>
      </c>
      <c r="B367" s="57" t="s">
        <v>4</v>
      </c>
      <c r="C367" s="57" t="s">
        <v>269</v>
      </c>
      <c r="D367" s="103" t="s">
        <v>502</v>
      </c>
    </row>
    <row r="368" spans="1:4" ht="12.75" customHeight="1" x14ac:dyDescent="0.15">
      <c r="A368" s="12">
        <f t="shared" ca="1" si="1"/>
        <v>6173693</v>
      </c>
      <c r="B368" s="57" t="s">
        <v>4</v>
      </c>
      <c r="C368" s="57" t="s">
        <v>275</v>
      </c>
      <c r="D368" s="103" t="s">
        <v>276</v>
      </c>
    </row>
    <row r="369" spans="1:4" ht="12.75" customHeight="1" x14ac:dyDescent="0.15">
      <c r="A369" s="12">
        <f t="shared" ca="1" si="1"/>
        <v>7713452</v>
      </c>
      <c r="B369" s="57" t="s">
        <v>3</v>
      </c>
      <c r="C369" s="57" t="s">
        <v>275</v>
      </c>
      <c r="D369" s="103" t="s">
        <v>278</v>
      </c>
    </row>
    <row r="370" spans="1:4" ht="12.75" customHeight="1" x14ac:dyDescent="0.15">
      <c r="A370" s="12">
        <f t="shared" ca="1" si="1"/>
        <v>4867446</v>
      </c>
      <c r="B370" s="57" t="s">
        <v>4</v>
      </c>
      <c r="C370" s="57" t="s">
        <v>282</v>
      </c>
      <c r="D370" s="103" t="s">
        <v>283</v>
      </c>
    </row>
    <row r="371" spans="1:4" ht="12.75" customHeight="1" x14ac:dyDescent="0.15">
      <c r="A371" s="12">
        <f t="shared" ca="1" si="1"/>
        <v>5984223</v>
      </c>
      <c r="B371" s="155" t="s">
        <v>503</v>
      </c>
      <c r="C371" s="155" t="s">
        <v>282</v>
      </c>
      <c r="D371" s="156" t="s">
        <v>284</v>
      </c>
    </row>
    <row r="372" spans="1:4" ht="12.75" customHeight="1" x14ac:dyDescent="0.15">
      <c r="A372" s="12">
        <f t="shared" ca="1" si="1"/>
        <v>5453377</v>
      </c>
      <c r="B372" s="57" t="s">
        <v>4</v>
      </c>
      <c r="C372" s="57" t="s">
        <v>194</v>
      </c>
      <c r="D372" s="103" t="s">
        <v>195</v>
      </c>
    </row>
    <row r="373" spans="1:4" ht="12.75" customHeight="1" x14ac:dyDescent="0.15">
      <c r="A373" s="12">
        <f t="shared" ca="1" si="1"/>
        <v>9714858</v>
      </c>
      <c r="B373" s="57" t="s">
        <v>3</v>
      </c>
      <c r="C373" s="57" t="s">
        <v>194</v>
      </c>
      <c r="D373" s="103" t="s">
        <v>199</v>
      </c>
    </row>
    <row r="374" spans="1:4" ht="12.75" customHeight="1" x14ac:dyDescent="0.15">
      <c r="A374" s="12">
        <f t="shared" ca="1" si="1"/>
        <v>9525437</v>
      </c>
      <c r="B374" s="58" t="s">
        <v>4</v>
      </c>
      <c r="C374" s="58" t="s">
        <v>134</v>
      </c>
      <c r="D374" s="59" t="s">
        <v>229</v>
      </c>
    </row>
    <row r="375" spans="1:4" ht="12.75" customHeight="1" x14ac:dyDescent="0.15">
      <c r="A375" s="12">
        <f t="shared" ca="1" si="1"/>
        <v>8669472</v>
      </c>
      <c r="B375" s="58" t="s">
        <v>4</v>
      </c>
      <c r="C375" s="58" t="s">
        <v>47</v>
      </c>
      <c r="D375" s="59" t="s">
        <v>49</v>
      </c>
    </row>
    <row r="376" spans="1:4" ht="12.75" customHeight="1" x14ac:dyDescent="0.15">
      <c r="A376" s="12">
        <f t="shared" ca="1" si="1"/>
        <v>5979656</v>
      </c>
      <c r="B376" s="57" t="s">
        <v>3</v>
      </c>
      <c r="C376" s="58" t="s">
        <v>47</v>
      </c>
      <c r="D376" s="59" t="s">
        <v>58</v>
      </c>
    </row>
    <row r="377" spans="1:4" ht="12.75" customHeight="1" x14ac:dyDescent="0.15">
      <c r="A377" s="12">
        <f t="shared" ca="1" si="1"/>
        <v>9767611</v>
      </c>
      <c r="B377" s="57" t="s">
        <v>3</v>
      </c>
      <c r="C377" s="57" t="s">
        <v>65</v>
      </c>
      <c r="D377" s="103" t="s">
        <v>66</v>
      </c>
    </row>
    <row r="378" spans="1:4" ht="12.75" customHeight="1" x14ac:dyDescent="0.15">
      <c r="A378" s="12">
        <f t="shared" ca="1" si="1"/>
        <v>7054907</v>
      </c>
      <c r="B378" s="57" t="s">
        <v>4</v>
      </c>
      <c r="C378" s="57" t="s">
        <v>82</v>
      </c>
      <c r="D378" s="103" t="s">
        <v>85</v>
      </c>
    </row>
    <row r="379" spans="1:4" ht="12.75" customHeight="1" x14ac:dyDescent="0.15">
      <c r="A379" s="12">
        <f t="shared" ca="1" si="1"/>
        <v>6583794</v>
      </c>
      <c r="B379" s="57" t="s">
        <v>3</v>
      </c>
      <c r="C379" s="57" t="s">
        <v>82</v>
      </c>
      <c r="D379" s="103" t="s">
        <v>93</v>
      </c>
    </row>
    <row r="380" spans="1:4" ht="12.75" customHeight="1" x14ac:dyDescent="0.15">
      <c r="A380" s="12">
        <f t="shared" ca="1" si="1"/>
        <v>6484550</v>
      </c>
      <c r="B380" s="57" t="s">
        <v>298</v>
      </c>
      <c r="C380" s="57" t="s">
        <v>104</v>
      </c>
      <c r="D380" s="103" t="s">
        <v>105</v>
      </c>
    </row>
    <row r="381" spans="1:4" ht="12.75" customHeight="1" x14ac:dyDescent="0.15">
      <c r="A381" s="12">
        <f t="shared" ca="1" si="1"/>
        <v>3837970</v>
      </c>
      <c r="B381" s="57" t="s">
        <v>4</v>
      </c>
      <c r="C381" s="57" t="s">
        <v>106</v>
      </c>
      <c r="D381" s="103" t="s">
        <v>107</v>
      </c>
    </row>
    <row r="382" spans="1:4" ht="12.75" customHeight="1" x14ac:dyDescent="0.15">
      <c r="A382" s="12">
        <f t="shared" ca="1" si="1"/>
        <v>4691589</v>
      </c>
      <c r="B382" s="223" t="s">
        <v>306</v>
      </c>
      <c r="C382" s="223" t="s">
        <v>109</v>
      </c>
      <c r="D382" s="224" t="s">
        <v>110</v>
      </c>
    </row>
    <row r="383" spans="1:4" ht="12.75" customHeight="1" x14ac:dyDescent="0.15">
      <c r="A383" s="12">
        <f t="shared" ca="1" si="1"/>
        <v>2619685</v>
      </c>
      <c r="B383" s="150" t="s">
        <v>4</v>
      </c>
      <c r="C383" s="150" t="s">
        <v>111</v>
      </c>
      <c r="D383" s="151" t="s">
        <v>112</v>
      </c>
    </row>
    <row r="384" spans="1:4" ht="12.75" customHeight="1" x14ac:dyDescent="0.15">
      <c r="A384" s="12">
        <f t="shared" ca="1" si="1"/>
        <v>7830872</v>
      </c>
      <c r="B384" s="113" t="s">
        <v>4</v>
      </c>
      <c r="C384" s="113" t="s">
        <v>500</v>
      </c>
      <c r="D384" s="114" t="s">
        <v>114</v>
      </c>
    </row>
    <row r="385" spans="1:4" ht="12.75" customHeight="1" x14ac:dyDescent="0.15">
      <c r="A385" s="12">
        <f t="shared" ca="1" si="1"/>
        <v>5428863</v>
      </c>
      <c r="B385" s="57" t="s">
        <v>4</v>
      </c>
      <c r="C385" s="57" t="s">
        <v>115</v>
      </c>
      <c r="D385" s="103" t="s">
        <v>116</v>
      </c>
    </row>
    <row r="386" spans="1:4" ht="12.75" customHeight="1" x14ac:dyDescent="0.15">
      <c r="A386" s="12">
        <f t="shared" ca="1" si="1"/>
        <v>8879393</v>
      </c>
      <c r="B386" s="57" t="s">
        <v>4</v>
      </c>
      <c r="C386" s="57" t="s">
        <v>117</v>
      </c>
      <c r="D386" s="103" t="s">
        <v>118</v>
      </c>
    </row>
    <row r="387" spans="1:4" ht="12.75" customHeight="1" x14ac:dyDescent="0.15">
      <c r="A387" s="12">
        <f t="shared" ca="1" si="1"/>
        <v>9087276</v>
      </c>
      <c r="B387" s="57" t="s">
        <v>3</v>
      </c>
      <c r="C387" s="57" t="s">
        <v>120</v>
      </c>
      <c r="D387" s="103" t="s">
        <v>122</v>
      </c>
    </row>
    <row r="388" spans="1:4" ht="12.75" customHeight="1" x14ac:dyDescent="0.15">
      <c r="A388" s="12">
        <f t="shared" ca="1" si="1"/>
        <v>3467857</v>
      </c>
      <c r="B388" s="57" t="s">
        <v>3</v>
      </c>
      <c r="C388" s="57" t="s">
        <v>124</v>
      </c>
      <c r="D388" s="103" t="s">
        <v>127</v>
      </c>
    </row>
    <row r="389" spans="1:4" ht="12.75" customHeight="1" x14ac:dyDescent="0.15">
      <c r="A389" s="12">
        <f t="shared" ca="1" si="1"/>
        <v>1637521</v>
      </c>
      <c r="B389" s="57" t="s">
        <v>3</v>
      </c>
      <c r="C389" s="57" t="s">
        <v>124</v>
      </c>
      <c r="D389" s="103" t="s">
        <v>125</v>
      </c>
    </row>
    <row r="390" spans="1:4" ht="12.75" customHeight="1" x14ac:dyDescent="0.15">
      <c r="A390" s="12">
        <f t="shared" ca="1" si="1"/>
        <v>3121866</v>
      </c>
      <c r="B390" s="57" t="s">
        <v>4</v>
      </c>
      <c r="C390" s="57" t="s">
        <v>128</v>
      </c>
      <c r="D390" s="103" t="s">
        <v>129</v>
      </c>
    </row>
    <row r="391" spans="1:4" ht="12.75" customHeight="1" x14ac:dyDescent="0.15">
      <c r="A391" s="12">
        <f t="shared" ca="1" si="1"/>
        <v>1379164</v>
      </c>
      <c r="B391" s="58" t="s">
        <v>3</v>
      </c>
      <c r="C391" s="58" t="s">
        <v>137</v>
      </c>
      <c r="D391" s="59" t="s">
        <v>138</v>
      </c>
    </row>
    <row r="392" spans="1:4" ht="12.75" customHeight="1" x14ac:dyDescent="0.15">
      <c r="A392" s="12">
        <f t="shared" ca="1" si="1"/>
        <v>7314338</v>
      </c>
      <c r="B392" s="223" t="s">
        <v>3</v>
      </c>
      <c r="C392" s="223" t="s">
        <v>139</v>
      </c>
      <c r="D392" s="224" t="s">
        <v>141</v>
      </c>
    </row>
    <row r="393" spans="1:4" ht="12.75" customHeight="1" x14ac:dyDescent="0.15">
      <c r="A393" s="12">
        <f t="shared" ca="1" si="1"/>
        <v>9647118</v>
      </c>
      <c r="B393" s="155" t="s">
        <v>3</v>
      </c>
      <c r="C393" s="155" t="s">
        <v>130</v>
      </c>
      <c r="D393" s="156" t="s">
        <v>131</v>
      </c>
    </row>
    <row r="394" spans="1:4" ht="12.75" customHeight="1" x14ac:dyDescent="0.15">
      <c r="A394" s="12">
        <f t="shared" ca="1" si="1"/>
        <v>9369873</v>
      </c>
      <c r="B394" s="155" t="s">
        <v>4</v>
      </c>
      <c r="C394" s="155" t="s">
        <v>130</v>
      </c>
      <c r="D394" s="156" t="s">
        <v>133</v>
      </c>
    </row>
    <row r="395" spans="1:4" ht="12.75" customHeight="1" x14ac:dyDescent="0.15">
      <c r="A395" s="12">
        <f t="shared" ca="1" si="1"/>
        <v>7090598</v>
      </c>
      <c r="B395" s="58" t="s">
        <v>3</v>
      </c>
      <c r="C395" s="58" t="s">
        <v>134</v>
      </c>
      <c r="D395" s="59" t="s">
        <v>235</v>
      </c>
    </row>
    <row r="396" spans="1:4" ht="12.75" customHeight="1" x14ac:dyDescent="0.15">
      <c r="A396" s="12">
        <f t="shared" ca="1" si="1"/>
        <v>3125992</v>
      </c>
      <c r="B396" s="57" t="s">
        <v>4</v>
      </c>
      <c r="C396" s="58" t="s">
        <v>144</v>
      </c>
      <c r="D396" s="59" t="s">
        <v>145</v>
      </c>
    </row>
    <row r="397" spans="1:4" ht="12.75" customHeight="1" x14ac:dyDescent="0.15">
      <c r="A397" s="12">
        <f t="shared" ca="1" si="1"/>
        <v>3296382</v>
      </c>
      <c r="B397" s="147" t="s">
        <v>3</v>
      </c>
      <c r="C397" s="147" t="s">
        <v>149</v>
      </c>
      <c r="D397" s="148" t="s">
        <v>150</v>
      </c>
    </row>
    <row r="398" spans="1:4" ht="12.75" customHeight="1" x14ac:dyDescent="0.15">
      <c r="A398" s="12">
        <f t="shared" ca="1" si="1"/>
        <v>9130186</v>
      </c>
      <c r="B398" s="147" t="s">
        <v>4</v>
      </c>
      <c r="C398" s="147" t="s">
        <v>149</v>
      </c>
      <c r="D398" s="148" t="s">
        <v>147</v>
      </c>
    </row>
    <row r="399" spans="1:4" ht="12.75" customHeight="1" x14ac:dyDescent="0.15">
      <c r="A399" s="12">
        <f t="shared" ca="1" si="1"/>
        <v>4156576</v>
      </c>
      <c r="B399" s="150" t="s">
        <v>4</v>
      </c>
      <c r="C399" s="150" t="s">
        <v>162</v>
      </c>
      <c r="D399" s="151" t="s">
        <v>163</v>
      </c>
    </row>
    <row r="400" spans="1:4" ht="12.75" customHeight="1" x14ac:dyDescent="0.15">
      <c r="A400" s="12">
        <f t="shared" ca="1" si="1"/>
        <v>3200927</v>
      </c>
      <c r="B400" s="57" t="s">
        <v>4</v>
      </c>
      <c r="C400" s="57" t="s">
        <v>171</v>
      </c>
      <c r="D400" s="103" t="s">
        <v>174</v>
      </c>
    </row>
    <row r="401" spans="1:4" ht="12.75" customHeight="1" x14ac:dyDescent="0.15">
      <c r="A401" s="12">
        <f t="shared" ca="1" si="1"/>
        <v>2808009</v>
      </c>
      <c r="B401" s="57" t="s">
        <v>4</v>
      </c>
      <c r="C401" s="57" t="s">
        <v>175</v>
      </c>
      <c r="D401" s="103" t="s">
        <v>178</v>
      </c>
    </row>
    <row r="402" spans="1:4" ht="12.75" customHeight="1" x14ac:dyDescent="0.15">
      <c r="A402" s="12">
        <f t="shared" ca="1" si="1"/>
        <v>8845880</v>
      </c>
      <c r="B402" s="57" t="s">
        <v>461</v>
      </c>
      <c r="C402" s="57" t="s">
        <v>184</v>
      </c>
      <c r="D402" s="103" t="s">
        <v>186</v>
      </c>
    </row>
    <row r="403" spans="1:4" ht="12.75" customHeight="1" x14ac:dyDescent="0.15">
      <c r="A403" s="12">
        <f t="shared" ca="1" si="1"/>
        <v>3766401</v>
      </c>
      <c r="B403" s="57" t="s">
        <v>4</v>
      </c>
      <c r="C403" s="57" t="s">
        <v>184</v>
      </c>
      <c r="D403" s="103" t="s">
        <v>190</v>
      </c>
    </row>
    <row r="404" spans="1:4" ht="12.75" customHeight="1" x14ac:dyDescent="0.15">
      <c r="A404" s="12">
        <f t="shared" ca="1" si="1"/>
        <v>4387648</v>
      </c>
      <c r="B404" s="113" t="s">
        <v>4</v>
      </c>
      <c r="C404" s="113" t="s">
        <v>196</v>
      </c>
      <c r="D404" s="114" t="s">
        <v>133</v>
      </c>
    </row>
    <row r="405" spans="1:4" ht="12.75" customHeight="1" x14ac:dyDescent="0.15">
      <c r="A405" s="12">
        <f t="shared" ca="1" si="1"/>
        <v>7734082</v>
      </c>
      <c r="B405" s="57" t="s">
        <v>4</v>
      </c>
      <c r="C405" s="57" t="s">
        <v>200</v>
      </c>
      <c r="D405" s="103" t="s">
        <v>201</v>
      </c>
    </row>
    <row r="406" spans="1:4" ht="12.75" customHeight="1" x14ac:dyDescent="0.15">
      <c r="A406" s="12">
        <f t="shared" ca="1" si="1"/>
        <v>2113849</v>
      </c>
      <c r="B406" s="57" t="s">
        <v>4</v>
      </c>
      <c r="C406" s="57" t="s">
        <v>200</v>
      </c>
      <c r="D406" s="103" t="s">
        <v>195</v>
      </c>
    </row>
    <row r="407" spans="1:4" ht="12.75" customHeight="1" x14ac:dyDescent="0.15">
      <c r="A407" s="12">
        <f t="shared" ca="1" si="1"/>
        <v>6648818</v>
      </c>
      <c r="B407" s="179" t="s">
        <v>495</v>
      </c>
      <c r="C407" s="179" t="s">
        <v>200</v>
      </c>
      <c r="D407" s="209" t="s">
        <v>203</v>
      </c>
    </row>
    <row r="408" spans="1:4" ht="12.75" customHeight="1" x14ac:dyDescent="0.15">
      <c r="A408" s="12">
        <f t="shared" ca="1" si="1"/>
        <v>9841600</v>
      </c>
      <c r="B408" s="150" t="s">
        <v>4</v>
      </c>
      <c r="C408" s="150" t="s">
        <v>225</v>
      </c>
      <c r="D408" s="151" t="s">
        <v>226</v>
      </c>
    </row>
    <row r="409" spans="1:4" ht="12.75" customHeight="1" x14ac:dyDescent="0.15">
      <c r="A409" s="12">
        <f t="shared" ca="1" si="1"/>
        <v>5855078</v>
      </c>
      <c r="B409" s="150" t="s">
        <v>298</v>
      </c>
      <c r="C409" s="150" t="s">
        <v>225</v>
      </c>
      <c r="D409" s="151" t="s">
        <v>228</v>
      </c>
    </row>
    <row r="410" spans="1:4" ht="12.75" customHeight="1" x14ac:dyDescent="0.15">
      <c r="A410" s="12">
        <f t="shared" ca="1" si="1"/>
        <v>4051762</v>
      </c>
      <c r="B410" s="57" t="s">
        <v>3</v>
      </c>
      <c r="C410" s="57" t="s">
        <v>233</v>
      </c>
      <c r="D410" s="103" t="s">
        <v>234</v>
      </c>
    </row>
    <row r="411" spans="1:4" ht="12.75" customHeight="1" x14ac:dyDescent="0.15">
      <c r="A411" s="12">
        <f t="shared" ca="1" si="1"/>
        <v>8435293</v>
      </c>
      <c r="B411" s="57" t="s">
        <v>3</v>
      </c>
      <c r="C411" s="57" t="s">
        <v>6</v>
      </c>
      <c r="D411" s="103" t="s">
        <v>236</v>
      </c>
    </row>
    <row r="412" spans="1:4" ht="12.75" customHeight="1" x14ac:dyDescent="0.15">
      <c r="A412" s="12">
        <f t="shared" ca="1" si="1"/>
        <v>2618877</v>
      </c>
      <c r="B412" s="57" t="s">
        <v>3</v>
      </c>
      <c r="C412" s="57" t="s">
        <v>6</v>
      </c>
      <c r="D412" s="103" t="s">
        <v>8</v>
      </c>
    </row>
    <row r="413" spans="1:4" ht="12.75" customHeight="1" x14ac:dyDescent="0.15">
      <c r="A413" s="12">
        <f t="shared" ca="1" si="1"/>
        <v>3458986</v>
      </c>
      <c r="B413" s="57" t="s">
        <v>4</v>
      </c>
      <c r="C413" s="57" t="s">
        <v>6</v>
      </c>
      <c r="D413" s="103" t="s">
        <v>10</v>
      </c>
    </row>
    <row r="414" spans="1:4" ht="12.75" customHeight="1" x14ac:dyDescent="0.15">
      <c r="A414" s="12">
        <f t="shared" ca="1" si="1"/>
        <v>7749236</v>
      </c>
      <c r="B414" s="155" t="s">
        <v>3</v>
      </c>
      <c r="C414" s="155" t="s">
        <v>6</v>
      </c>
      <c r="D414" s="156" t="s">
        <v>9</v>
      </c>
    </row>
    <row r="415" spans="1:4" ht="12.75" customHeight="1" x14ac:dyDescent="0.15">
      <c r="A415" s="12">
        <f t="shared" ca="1" si="1"/>
        <v>4180438</v>
      </c>
      <c r="B415" s="57" t="s">
        <v>3</v>
      </c>
      <c r="C415" s="57" t="s">
        <v>237</v>
      </c>
      <c r="D415" s="103" t="s">
        <v>238</v>
      </c>
    </row>
    <row r="416" spans="1:4" ht="12.75" customHeight="1" x14ac:dyDescent="0.15">
      <c r="A416" s="12">
        <f t="shared" ca="1" si="1"/>
        <v>3715827</v>
      </c>
      <c r="B416" s="155" t="s">
        <v>4</v>
      </c>
      <c r="C416" s="155" t="s">
        <v>239</v>
      </c>
      <c r="D416" s="156" t="s">
        <v>240</v>
      </c>
    </row>
    <row r="417" spans="1:4" ht="12.75" customHeight="1" x14ac:dyDescent="0.15">
      <c r="A417" s="12">
        <f t="shared" ca="1" si="1"/>
        <v>8432593</v>
      </c>
      <c r="B417" s="57" t="s">
        <v>3</v>
      </c>
      <c r="C417" s="57" t="s">
        <v>241</v>
      </c>
      <c r="D417" s="103" t="s">
        <v>242</v>
      </c>
    </row>
    <row r="418" spans="1:4" ht="12.75" customHeight="1" x14ac:dyDescent="0.15">
      <c r="A418" s="12">
        <f t="shared" ca="1" si="1"/>
        <v>5579944</v>
      </c>
      <c r="B418" s="57" t="s">
        <v>4</v>
      </c>
      <c r="C418" s="57" t="s">
        <v>241</v>
      </c>
      <c r="D418" s="103" t="s">
        <v>243</v>
      </c>
    </row>
    <row r="419" spans="1:4" ht="12.75" customHeight="1" x14ac:dyDescent="0.15">
      <c r="A419" s="12">
        <f t="shared" ca="1" si="1"/>
        <v>9180755</v>
      </c>
      <c r="B419" s="207" t="s">
        <v>4</v>
      </c>
      <c r="C419" s="207" t="s">
        <v>247</v>
      </c>
      <c r="D419" s="225" t="s">
        <v>248</v>
      </c>
    </row>
    <row r="420" spans="1:4" ht="12.75" customHeight="1" x14ac:dyDescent="0.15">
      <c r="A420" s="12">
        <f t="shared" ca="1" si="1"/>
        <v>5356419</v>
      </c>
      <c r="B420" s="57" t="s">
        <v>3</v>
      </c>
      <c r="C420" s="57" t="s">
        <v>247</v>
      </c>
      <c r="D420" s="59" t="s">
        <v>281</v>
      </c>
    </row>
    <row r="421" spans="1:4" ht="12.75" customHeight="1" x14ac:dyDescent="0.15">
      <c r="A421" s="12">
        <f t="shared" ca="1" si="1"/>
        <v>7857353</v>
      </c>
      <c r="B421" s="179" t="s">
        <v>3</v>
      </c>
      <c r="C421" s="179" t="s">
        <v>180</v>
      </c>
      <c r="D421" s="209" t="s">
        <v>179</v>
      </c>
    </row>
    <row r="422" spans="1:4" ht="12.75" customHeight="1" x14ac:dyDescent="0.15">
      <c r="A422" s="12">
        <f t="shared" ca="1" si="1"/>
        <v>5169602</v>
      </c>
      <c r="B422" s="57" t="s">
        <v>3</v>
      </c>
      <c r="C422" s="57" t="s">
        <v>202</v>
      </c>
      <c r="D422" s="103" t="s">
        <v>150</v>
      </c>
    </row>
    <row r="423" spans="1:4" ht="12.75" customHeight="1" x14ac:dyDescent="0.15">
      <c r="A423" s="12">
        <f t="shared" ca="1" si="1"/>
        <v>2948223</v>
      </c>
      <c r="B423" s="57" t="s">
        <v>4</v>
      </c>
      <c r="C423" s="57" t="s">
        <v>202</v>
      </c>
      <c r="D423" s="103" t="s">
        <v>215</v>
      </c>
    </row>
    <row r="424" spans="1:4" ht="12.75" customHeight="1" x14ac:dyDescent="0.15">
      <c r="A424" s="12">
        <f t="shared" ca="1" si="1"/>
        <v>4391856</v>
      </c>
      <c r="B424" s="57" t="s">
        <v>501</v>
      </c>
      <c r="C424" s="57" t="s">
        <v>263</v>
      </c>
      <c r="D424" s="103" t="s">
        <v>264</v>
      </c>
    </row>
    <row r="425" spans="1:4" ht="12.75" customHeight="1" x14ac:dyDescent="0.15">
      <c r="A425" s="12">
        <f t="shared" ca="1" si="1"/>
        <v>7363280</v>
      </c>
      <c r="B425" s="207" t="s">
        <v>3</v>
      </c>
      <c r="C425" s="207" t="s">
        <v>176</v>
      </c>
      <c r="D425" s="225" t="s">
        <v>246</v>
      </c>
    </row>
    <row r="426" spans="1:4" ht="12.75" customHeight="1" x14ac:dyDescent="0.15">
      <c r="A426" s="12">
        <f t="shared" ca="1" si="1"/>
        <v>9366046</v>
      </c>
      <c r="B426" s="57" t="s">
        <v>4</v>
      </c>
      <c r="C426" s="57" t="s">
        <v>176</v>
      </c>
      <c r="D426" s="103" t="s">
        <v>121</v>
      </c>
    </row>
    <row r="427" spans="1:4" ht="12.75" customHeight="1" x14ac:dyDescent="0.15">
      <c r="A427" s="12">
        <f t="shared" ca="1" si="1"/>
        <v>3780770</v>
      </c>
      <c r="B427" s="179" t="s">
        <v>461</v>
      </c>
      <c r="C427" s="179" t="s">
        <v>182</v>
      </c>
      <c r="D427" s="209" t="s">
        <v>85</v>
      </c>
    </row>
    <row r="428" spans="1:4" ht="12.75" customHeight="1" x14ac:dyDescent="0.15">
      <c r="A428" s="12">
        <f t="shared" ca="1" si="1"/>
        <v>7716322</v>
      </c>
      <c r="B428" s="57" t="s">
        <v>461</v>
      </c>
      <c r="C428" s="57" t="s">
        <v>269</v>
      </c>
      <c r="D428" s="103" t="s">
        <v>270</v>
      </c>
    </row>
    <row r="429" spans="1:4" ht="12.75" customHeight="1" x14ac:dyDescent="0.15">
      <c r="A429" s="12">
        <f t="shared" ca="1" si="1"/>
        <v>4359030</v>
      </c>
      <c r="B429" s="57" t="s">
        <v>4</v>
      </c>
      <c r="C429" s="57" t="s">
        <v>269</v>
      </c>
      <c r="D429" s="103" t="s">
        <v>502</v>
      </c>
    </row>
    <row r="430" spans="1:4" ht="12.75" customHeight="1" x14ac:dyDescent="0.15">
      <c r="A430" s="12">
        <f t="shared" ca="1" si="1"/>
        <v>1937538</v>
      </c>
      <c r="B430" s="57" t="s">
        <v>4</v>
      </c>
      <c r="C430" s="57" t="s">
        <v>275</v>
      </c>
      <c r="D430" s="103" t="s">
        <v>276</v>
      </c>
    </row>
    <row r="431" spans="1:4" ht="12.75" customHeight="1" x14ac:dyDescent="0.15">
      <c r="A431" s="12">
        <f t="shared" ca="1" si="1"/>
        <v>9165021</v>
      </c>
      <c r="B431" s="57" t="s">
        <v>3</v>
      </c>
      <c r="C431" s="57" t="s">
        <v>275</v>
      </c>
      <c r="D431" s="103" t="s">
        <v>278</v>
      </c>
    </row>
    <row r="432" spans="1:4" ht="12.75" customHeight="1" x14ac:dyDescent="0.15">
      <c r="A432" s="12">
        <f t="shared" ca="1" si="1"/>
        <v>5502238</v>
      </c>
      <c r="B432" s="57" t="s">
        <v>4</v>
      </c>
      <c r="C432" s="57" t="s">
        <v>282</v>
      </c>
      <c r="D432" s="103" t="s">
        <v>283</v>
      </c>
    </row>
    <row r="433" spans="1:4" ht="12.75" customHeight="1" x14ac:dyDescent="0.15">
      <c r="A433" s="12">
        <f t="shared" ca="1" si="1"/>
        <v>5718639</v>
      </c>
      <c r="B433" s="155" t="s">
        <v>503</v>
      </c>
      <c r="C433" s="155" t="s">
        <v>282</v>
      </c>
      <c r="D433" s="156" t="s">
        <v>284</v>
      </c>
    </row>
    <row r="434" spans="1:4" ht="12.75" customHeight="1" x14ac:dyDescent="0.15">
      <c r="A434" s="12">
        <f t="shared" ca="1" si="1"/>
        <v>6941938</v>
      </c>
      <c r="B434" s="57" t="s">
        <v>4</v>
      </c>
      <c r="C434" s="57" t="s">
        <v>194</v>
      </c>
      <c r="D434" s="103" t="s">
        <v>195</v>
      </c>
    </row>
    <row r="435" spans="1:4" ht="12.75" customHeight="1" x14ac:dyDescent="0.15">
      <c r="A435" s="12">
        <f t="shared" ca="1" si="1"/>
        <v>9876172</v>
      </c>
      <c r="B435" s="57" t="s">
        <v>3</v>
      </c>
      <c r="C435" s="57" t="s">
        <v>194</v>
      </c>
      <c r="D435" s="103" t="s">
        <v>199</v>
      </c>
    </row>
    <row r="436" spans="1:4" ht="12.75" customHeight="1" x14ac:dyDescent="0.15">
      <c r="A436" s="12">
        <f t="shared" ca="1" si="1"/>
        <v>4573305</v>
      </c>
      <c r="B436" s="58" t="s">
        <v>4</v>
      </c>
      <c r="C436" s="58" t="s">
        <v>134</v>
      </c>
      <c r="D436" s="59" t="s">
        <v>229</v>
      </c>
    </row>
    <row r="437" spans="1:4" ht="12.75" customHeight="1" x14ac:dyDescent="0.15">
      <c r="A437" s="12">
        <f t="shared" ca="1" si="1"/>
        <v>9603313</v>
      </c>
      <c r="B437" s="58" t="s">
        <v>4</v>
      </c>
      <c r="C437" s="58" t="s">
        <v>47</v>
      </c>
      <c r="D437" s="59" t="s">
        <v>49</v>
      </c>
    </row>
    <row r="438" spans="1:4" ht="12.75" customHeight="1" x14ac:dyDescent="0.15">
      <c r="A438" s="12">
        <f t="shared" ca="1" si="1"/>
        <v>9364582</v>
      </c>
      <c r="B438" s="57" t="s">
        <v>3</v>
      </c>
      <c r="C438" s="58" t="s">
        <v>47</v>
      </c>
      <c r="D438" s="59" t="s">
        <v>58</v>
      </c>
    </row>
    <row r="439" spans="1:4" ht="12.75" customHeight="1" x14ac:dyDescent="0.15">
      <c r="A439" s="12">
        <f t="shared" ca="1" si="1"/>
        <v>1266123</v>
      </c>
      <c r="B439" s="57" t="s">
        <v>3</v>
      </c>
      <c r="C439" s="57" t="s">
        <v>65</v>
      </c>
      <c r="D439" s="103" t="s">
        <v>66</v>
      </c>
    </row>
    <row r="440" spans="1:4" ht="12.75" customHeight="1" x14ac:dyDescent="0.15">
      <c r="A440" s="12">
        <f t="shared" ca="1" si="1"/>
        <v>1457744</v>
      </c>
      <c r="B440" s="57" t="s">
        <v>4</v>
      </c>
      <c r="C440" s="57" t="s">
        <v>82</v>
      </c>
      <c r="D440" s="103" t="s">
        <v>85</v>
      </c>
    </row>
    <row r="441" spans="1:4" ht="12.75" customHeight="1" x14ac:dyDescent="0.15">
      <c r="A441" s="12">
        <f t="shared" ca="1" si="1"/>
        <v>5648070</v>
      </c>
      <c r="B441" s="57" t="s">
        <v>3</v>
      </c>
      <c r="C441" s="57" t="s">
        <v>82</v>
      </c>
      <c r="D441" s="103" t="s">
        <v>93</v>
      </c>
    </row>
    <row r="442" spans="1:4" ht="12.75" customHeight="1" x14ac:dyDescent="0.15">
      <c r="A442" s="12">
        <f t="shared" ca="1" si="1"/>
        <v>7880525</v>
      </c>
      <c r="B442" s="57" t="s">
        <v>298</v>
      </c>
      <c r="C442" s="57" t="s">
        <v>104</v>
      </c>
      <c r="D442" s="103" t="s">
        <v>105</v>
      </c>
    </row>
    <row r="443" spans="1:4" ht="12.75" customHeight="1" x14ac:dyDescent="0.15">
      <c r="A443" s="12">
        <f t="shared" ca="1" si="1"/>
        <v>3778191</v>
      </c>
      <c r="B443" s="57" t="s">
        <v>4</v>
      </c>
      <c r="C443" s="57" t="s">
        <v>106</v>
      </c>
      <c r="D443" s="103" t="s">
        <v>107</v>
      </c>
    </row>
    <row r="444" spans="1:4" ht="12.75" customHeight="1" x14ac:dyDescent="0.15">
      <c r="A444" s="12">
        <f t="shared" ca="1" si="1"/>
        <v>5168990</v>
      </c>
      <c r="B444" s="223" t="s">
        <v>306</v>
      </c>
      <c r="C444" s="223" t="s">
        <v>109</v>
      </c>
      <c r="D444" s="224" t="s">
        <v>110</v>
      </c>
    </row>
    <row r="445" spans="1:4" ht="12.75" customHeight="1" x14ac:dyDescent="0.15">
      <c r="A445" s="12">
        <f t="shared" ca="1" si="1"/>
        <v>6805862</v>
      </c>
      <c r="B445" s="150" t="s">
        <v>4</v>
      </c>
      <c r="C445" s="150" t="s">
        <v>111</v>
      </c>
      <c r="D445" s="151" t="s">
        <v>112</v>
      </c>
    </row>
    <row r="446" spans="1:4" ht="12.75" customHeight="1" x14ac:dyDescent="0.15">
      <c r="A446" s="12">
        <f t="shared" ca="1" si="1"/>
        <v>7732079</v>
      </c>
      <c r="B446" s="113" t="s">
        <v>4</v>
      </c>
      <c r="C446" s="113" t="s">
        <v>500</v>
      </c>
      <c r="D446" s="114" t="s">
        <v>114</v>
      </c>
    </row>
    <row r="447" spans="1:4" ht="12.75" customHeight="1" x14ac:dyDescent="0.15">
      <c r="A447" s="12">
        <f t="shared" ca="1" si="1"/>
        <v>1992485</v>
      </c>
      <c r="B447" s="57" t="s">
        <v>4</v>
      </c>
      <c r="C447" s="57" t="s">
        <v>115</v>
      </c>
      <c r="D447" s="103" t="s">
        <v>116</v>
      </c>
    </row>
    <row r="448" spans="1:4" ht="12.75" customHeight="1" x14ac:dyDescent="0.15">
      <c r="A448" s="12">
        <f t="shared" ca="1" si="1"/>
        <v>5947879</v>
      </c>
      <c r="B448" s="57" t="s">
        <v>4</v>
      </c>
      <c r="C448" s="57" t="s">
        <v>117</v>
      </c>
      <c r="D448" s="103" t="s">
        <v>118</v>
      </c>
    </row>
    <row r="449" spans="1:4" ht="12.75" customHeight="1" x14ac:dyDescent="0.15">
      <c r="A449" s="12">
        <f t="shared" ca="1" si="1"/>
        <v>4752759</v>
      </c>
      <c r="B449" s="57" t="s">
        <v>3</v>
      </c>
      <c r="C449" s="57" t="s">
        <v>120</v>
      </c>
      <c r="D449" s="103" t="s">
        <v>122</v>
      </c>
    </row>
    <row r="450" spans="1:4" ht="12.75" customHeight="1" x14ac:dyDescent="0.15">
      <c r="A450" s="12">
        <f t="shared" ca="1" si="1"/>
        <v>4884420</v>
      </c>
      <c r="B450" s="57" t="s">
        <v>3</v>
      </c>
      <c r="C450" s="57" t="s">
        <v>124</v>
      </c>
      <c r="D450" s="103" t="s">
        <v>127</v>
      </c>
    </row>
    <row r="451" spans="1:4" ht="12.75" customHeight="1" x14ac:dyDescent="0.15">
      <c r="A451" s="12">
        <f t="shared" ca="1" si="1"/>
        <v>6988909</v>
      </c>
      <c r="B451" s="57" t="s">
        <v>3</v>
      </c>
      <c r="C451" s="57" t="s">
        <v>124</v>
      </c>
      <c r="D451" s="103" t="s">
        <v>125</v>
      </c>
    </row>
    <row r="452" spans="1:4" ht="12.75" customHeight="1" x14ac:dyDescent="0.15">
      <c r="A452" s="12">
        <f t="shared" ca="1" si="1"/>
        <v>6007102</v>
      </c>
      <c r="B452" s="57" t="s">
        <v>4</v>
      </c>
      <c r="C452" s="57" t="s">
        <v>128</v>
      </c>
      <c r="D452" s="103" t="s">
        <v>129</v>
      </c>
    </row>
    <row r="453" spans="1:4" ht="12.75" customHeight="1" x14ac:dyDescent="0.15">
      <c r="A453" s="12">
        <f t="shared" ca="1" si="1"/>
        <v>8625882</v>
      </c>
      <c r="B453" s="58" t="s">
        <v>3</v>
      </c>
      <c r="C453" s="58" t="s">
        <v>137</v>
      </c>
      <c r="D453" s="59" t="s">
        <v>138</v>
      </c>
    </row>
    <row r="454" spans="1:4" ht="12.75" customHeight="1" x14ac:dyDescent="0.15">
      <c r="A454" s="12">
        <f t="shared" ca="1" si="1"/>
        <v>9470133</v>
      </c>
      <c r="B454" s="223" t="s">
        <v>3</v>
      </c>
      <c r="C454" s="223" t="s">
        <v>139</v>
      </c>
      <c r="D454" s="224" t="s">
        <v>141</v>
      </c>
    </row>
    <row r="455" spans="1:4" ht="12.75" customHeight="1" x14ac:dyDescent="0.15">
      <c r="A455" s="12">
        <f t="shared" ca="1" si="1"/>
        <v>4508814</v>
      </c>
      <c r="B455" s="155" t="s">
        <v>3</v>
      </c>
      <c r="C455" s="155" t="s">
        <v>130</v>
      </c>
      <c r="D455" s="156" t="s">
        <v>131</v>
      </c>
    </row>
    <row r="456" spans="1:4" ht="12.75" customHeight="1" x14ac:dyDescent="0.15">
      <c r="A456" s="12">
        <f t="shared" ca="1" si="1"/>
        <v>2844870</v>
      </c>
      <c r="B456" s="155" t="s">
        <v>4</v>
      </c>
      <c r="C456" s="155" t="s">
        <v>130</v>
      </c>
      <c r="D456" s="156" t="s">
        <v>133</v>
      </c>
    </row>
    <row r="457" spans="1:4" ht="12.75" customHeight="1" x14ac:dyDescent="0.15">
      <c r="A457" s="12">
        <f t="shared" ca="1" si="1"/>
        <v>5725310</v>
      </c>
      <c r="B457" s="58" t="s">
        <v>3</v>
      </c>
      <c r="C457" s="58" t="s">
        <v>134</v>
      </c>
      <c r="D457" s="59" t="s">
        <v>235</v>
      </c>
    </row>
    <row r="458" spans="1:4" ht="12.75" customHeight="1" x14ac:dyDescent="0.15">
      <c r="A458" s="12">
        <f t="shared" ca="1" si="1"/>
        <v>9467909</v>
      </c>
      <c r="B458" s="57" t="s">
        <v>4</v>
      </c>
      <c r="C458" s="58" t="s">
        <v>144</v>
      </c>
      <c r="D458" s="59" t="s">
        <v>145</v>
      </c>
    </row>
    <row r="459" spans="1:4" ht="12.75" customHeight="1" x14ac:dyDescent="0.15">
      <c r="A459" s="12">
        <f t="shared" ca="1" si="1"/>
        <v>1209440</v>
      </c>
      <c r="B459" s="147" t="s">
        <v>3</v>
      </c>
      <c r="C459" s="147" t="s">
        <v>149</v>
      </c>
      <c r="D459" s="148" t="s">
        <v>150</v>
      </c>
    </row>
    <row r="460" spans="1:4" ht="12.75" customHeight="1" x14ac:dyDescent="0.15">
      <c r="A460" s="12">
        <f t="shared" ca="1" si="1"/>
        <v>4376094</v>
      </c>
      <c r="B460" s="147" t="s">
        <v>4</v>
      </c>
      <c r="C460" s="147" t="s">
        <v>149</v>
      </c>
      <c r="D460" s="148" t="s">
        <v>147</v>
      </c>
    </row>
    <row r="461" spans="1:4" ht="12.75" customHeight="1" x14ac:dyDescent="0.15">
      <c r="A461" s="12">
        <f t="shared" ca="1" si="1"/>
        <v>8897250</v>
      </c>
      <c r="B461" s="150" t="s">
        <v>4</v>
      </c>
      <c r="C461" s="150" t="s">
        <v>162</v>
      </c>
      <c r="D461" s="151" t="s">
        <v>163</v>
      </c>
    </row>
    <row r="462" spans="1:4" ht="12.75" customHeight="1" x14ac:dyDescent="0.15">
      <c r="A462" s="12">
        <f t="shared" ca="1" si="1"/>
        <v>7207177</v>
      </c>
      <c r="B462" s="57" t="s">
        <v>4</v>
      </c>
      <c r="C462" s="57" t="s">
        <v>171</v>
      </c>
      <c r="D462" s="103" t="s">
        <v>174</v>
      </c>
    </row>
    <row r="463" spans="1:4" ht="12.75" customHeight="1" x14ac:dyDescent="0.15">
      <c r="A463" s="12">
        <f t="shared" ca="1" si="1"/>
        <v>6262796</v>
      </c>
      <c r="B463" s="57" t="s">
        <v>4</v>
      </c>
      <c r="C463" s="57" t="s">
        <v>175</v>
      </c>
      <c r="D463" s="103" t="s">
        <v>178</v>
      </c>
    </row>
    <row r="464" spans="1:4" ht="12.75" customHeight="1" x14ac:dyDescent="0.15">
      <c r="A464" s="12">
        <f t="shared" ca="1" si="1"/>
        <v>1012270</v>
      </c>
      <c r="B464" s="57" t="s">
        <v>461</v>
      </c>
      <c r="C464" s="57" t="s">
        <v>184</v>
      </c>
      <c r="D464" s="103" t="s">
        <v>186</v>
      </c>
    </row>
    <row r="465" spans="1:4" ht="12.75" customHeight="1" x14ac:dyDescent="0.15">
      <c r="A465" s="12">
        <f t="shared" ca="1" si="1"/>
        <v>3034160</v>
      </c>
      <c r="B465" s="57" t="s">
        <v>4</v>
      </c>
      <c r="C465" s="57" t="s">
        <v>184</v>
      </c>
      <c r="D465" s="103" t="s">
        <v>190</v>
      </c>
    </row>
    <row r="466" spans="1:4" ht="12.75" customHeight="1" x14ac:dyDescent="0.15">
      <c r="A466" s="12">
        <f t="shared" ca="1" si="1"/>
        <v>8078609</v>
      </c>
      <c r="B466" s="113" t="s">
        <v>4</v>
      </c>
      <c r="C466" s="113" t="s">
        <v>196</v>
      </c>
      <c r="D466" s="114" t="s">
        <v>133</v>
      </c>
    </row>
    <row r="467" spans="1:4" ht="12.75" customHeight="1" x14ac:dyDescent="0.15">
      <c r="A467" s="12">
        <f t="shared" ca="1" si="1"/>
        <v>3944180</v>
      </c>
      <c r="B467" s="57" t="s">
        <v>4</v>
      </c>
      <c r="C467" s="57" t="s">
        <v>200</v>
      </c>
      <c r="D467" s="103" t="s">
        <v>201</v>
      </c>
    </row>
    <row r="468" spans="1:4" ht="12.75" customHeight="1" x14ac:dyDescent="0.15">
      <c r="A468" s="12">
        <f t="shared" ca="1" si="1"/>
        <v>3682246</v>
      </c>
      <c r="B468" s="57" t="s">
        <v>4</v>
      </c>
      <c r="C468" s="57" t="s">
        <v>200</v>
      </c>
      <c r="D468" s="103" t="s">
        <v>195</v>
      </c>
    </row>
    <row r="469" spans="1:4" ht="12.75" customHeight="1" x14ac:dyDescent="0.15">
      <c r="A469" s="12">
        <f t="shared" ca="1" si="1"/>
        <v>5655543</v>
      </c>
      <c r="B469" s="179" t="s">
        <v>495</v>
      </c>
      <c r="C469" s="179" t="s">
        <v>200</v>
      </c>
      <c r="D469" s="209" t="s">
        <v>203</v>
      </c>
    </row>
    <row r="470" spans="1:4" ht="12.75" customHeight="1" x14ac:dyDescent="0.15">
      <c r="A470" s="12">
        <f t="shared" ca="1" si="1"/>
        <v>9616756</v>
      </c>
      <c r="B470" s="150" t="s">
        <v>4</v>
      </c>
      <c r="C470" s="150" t="s">
        <v>225</v>
      </c>
      <c r="D470" s="151" t="s">
        <v>226</v>
      </c>
    </row>
    <row r="471" spans="1:4" ht="12.75" customHeight="1" x14ac:dyDescent="0.15">
      <c r="A471" s="12">
        <f t="shared" ca="1" si="1"/>
        <v>7469908</v>
      </c>
      <c r="B471" s="150" t="s">
        <v>298</v>
      </c>
      <c r="C471" s="150" t="s">
        <v>225</v>
      </c>
      <c r="D471" s="151" t="s">
        <v>228</v>
      </c>
    </row>
    <row r="472" spans="1:4" ht="12.75" customHeight="1" x14ac:dyDescent="0.15">
      <c r="A472" s="12">
        <f t="shared" ca="1" si="1"/>
        <v>8276450</v>
      </c>
      <c r="B472" s="57" t="s">
        <v>3</v>
      </c>
      <c r="C472" s="57" t="s">
        <v>233</v>
      </c>
      <c r="D472" s="103" t="s">
        <v>234</v>
      </c>
    </row>
    <row r="473" spans="1:4" ht="12.75" customHeight="1" x14ac:dyDescent="0.15">
      <c r="A473" s="12">
        <f t="shared" ca="1" si="1"/>
        <v>2647469</v>
      </c>
      <c r="B473" s="57" t="s">
        <v>3</v>
      </c>
      <c r="C473" s="57" t="s">
        <v>6</v>
      </c>
      <c r="D473" s="103" t="s">
        <v>236</v>
      </c>
    </row>
    <row r="474" spans="1:4" ht="12.75" customHeight="1" x14ac:dyDescent="0.15">
      <c r="A474" s="12">
        <f t="shared" ca="1" si="1"/>
        <v>2954242</v>
      </c>
      <c r="B474" s="57" t="s">
        <v>3</v>
      </c>
      <c r="C474" s="57" t="s">
        <v>6</v>
      </c>
      <c r="D474" s="103" t="s">
        <v>8</v>
      </c>
    </row>
    <row r="475" spans="1:4" ht="12.75" customHeight="1" x14ac:dyDescent="0.15">
      <c r="A475" s="12">
        <f t="shared" ca="1" si="1"/>
        <v>9964891</v>
      </c>
      <c r="B475" s="57" t="s">
        <v>4</v>
      </c>
      <c r="C475" s="57" t="s">
        <v>6</v>
      </c>
      <c r="D475" s="103" t="s">
        <v>10</v>
      </c>
    </row>
    <row r="476" spans="1:4" ht="12.75" customHeight="1" x14ac:dyDescent="0.15">
      <c r="A476" s="12">
        <f t="shared" ca="1" si="1"/>
        <v>4250909</v>
      </c>
      <c r="B476" s="155" t="s">
        <v>3</v>
      </c>
      <c r="C476" s="155" t="s">
        <v>6</v>
      </c>
      <c r="D476" s="156" t="s">
        <v>9</v>
      </c>
    </row>
    <row r="477" spans="1:4" ht="12.75" customHeight="1" x14ac:dyDescent="0.15">
      <c r="A477" s="12">
        <f t="shared" ca="1" si="1"/>
        <v>2869345</v>
      </c>
      <c r="B477" s="57" t="s">
        <v>3</v>
      </c>
      <c r="C477" s="57" t="s">
        <v>237</v>
      </c>
      <c r="D477" s="103" t="s">
        <v>238</v>
      </c>
    </row>
    <row r="478" spans="1:4" ht="12.75" customHeight="1" x14ac:dyDescent="0.15">
      <c r="A478" s="12">
        <f t="shared" ca="1" si="1"/>
        <v>2010061</v>
      </c>
      <c r="B478" s="155" t="s">
        <v>4</v>
      </c>
      <c r="C478" s="155" t="s">
        <v>239</v>
      </c>
      <c r="D478" s="156" t="s">
        <v>240</v>
      </c>
    </row>
    <row r="479" spans="1:4" ht="12.75" customHeight="1" x14ac:dyDescent="0.15">
      <c r="A479" s="12">
        <f t="shared" ca="1" si="1"/>
        <v>9519449</v>
      </c>
      <c r="B479" s="57" t="s">
        <v>3</v>
      </c>
      <c r="C479" s="57" t="s">
        <v>241</v>
      </c>
      <c r="D479" s="103" t="s">
        <v>242</v>
      </c>
    </row>
    <row r="480" spans="1:4" ht="12.75" customHeight="1" x14ac:dyDescent="0.15">
      <c r="A480" s="12">
        <f t="shared" ca="1" si="1"/>
        <v>8996154</v>
      </c>
      <c r="B480" s="57" t="s">
        <v>4</v>
      </c>
      <c r="C480" s="57" t="s">
        <v>241</v>
      </c>
      <c r="D480" s="103" t="s">
        <v>243</v>
      </c>
    </row>
    <row r="481" spans="1:4" ht="12.75" customHeight="1" x14ac:dyDescent="0.15">
      <c r="A481" s="12">
        <f t="shared" ca="1" si="1"/>
        <v>3206442</v>
      </c>
      <c r="B481" s="207" t="s">
        <v>4</v>
      </c>
      <c r="C481" s="207" t="s">
        <v>247</v>
      </c>
      <c r="D481" s="225" t="s">
        <v>248</v>
      </c>
    </row>
    <row r="482" spans="1:4" ht="12.75" customHeight="1" x14ac:dyDescent="0.15">
      <c r="A482" s="12">
        <f t="shared" ca="1" si="1"/>
        <v>1506675</v>
      </c>
      <c r="B482" s="57" t="s">
        <v>3</v>
      </c>
      <c r="C482" s="57" t="s">
        <v>247</v>
      </c>
      <c r="D482" s="59" t="s">
        <v>281</v>
      </c>
    </row>
    <row r="483" spans="1:4" ht="12.75" customHeight="1" x14ac:dyDescent="0.15">
      <c r="A483" s="12">
        <f t="shared" ca="1" si="1"/>
        <v>3875956</v>
      </c>
      <c r="B483" s="179" t="s">
        <v>3</v>
      </c>
      <c r="C483" s="179" t="s">
        <v>180</v>
      </c>
      <c r="D483" s="209" t="s">
        <v>179</v>
      </c>
    </row>
    <row r="484" spans="1:4" ht="12.75" customHeight="1" x14ac:dyDescent="0.15">
      <c r="A484" s="12">
        <f t="shared" ca="1" si="1"/>
        <v>1143200</v>
      </c>
      <c r="B484" s="57" t="s">
        <v>3</v>
      </c>
      <c r="C484" s="57" t="s">
        <v>202</v>
      </c>
      <c r="D484" s="103" t="s">
        <v>150</v>
      </c>
    </row>
    <row r="485" spans="1:4" ht="12.75" customHeight="1" x14ac:dyDescent="0.15">
      <c r="A485" s="12">
        <f t="shared" ca="1" si="1"/>
        <v>4764730</v>
      </c>
      <c r="B485" s="57" t="s">
        <v>4</v>
      </c>
      <c r="C485" s="57" t="s">
        <v>202</v>
      </c>
      <c r="D485" s="103" t="s">
        <v>215</v>
      </c>
    </row>
    <row r="486" spans="1:4" ht="12.75" customHeight="1" x14ac:dyDescent="0.15">
      <c r="A486" s="12">
        <f t="shared" ca="1" si="1"/>
        <v>3940696</v>
      </c>
      <c r="B486" s="57" t="s">
        <v>501</v>
      </c>
      <c r="C486" s="57" t="s">
        <v>263</v>
      </c>
      <c r="D486" s="103" t="s">
        <v>264</v>
      </c>
    </row>
    <row r="487" spans="1:4" ht="12.75" customHeight="1" x14ac:dyDescent="0.15">
      <c r="A487" s="12">
        <f t="shared" ca="1" si="1"/>
        <v>9441673</v>
      </c>
      <c r="B487" s="207" t="s">
        <v>3</v>
      </c>
      <c r="C487" s="207" t="s">
        <v>176</v>
      </c>
      <c r="D487" s="225" t="s">
        <v>246</v>
      </c>
    </row>
    <row r="488" spans="1:4" ht="12.75" customHeight="1" x14ac:dyDescent="0.15">
      <c r="A488" s="12">
        <f t="shared" ca="1" si="1"/>
        <v>9991185</v>
      </c>
      <c r="B488" s="57" t="s">
        <v>4</v>
      </c>
      <c r="C488" s="57" t="s">
        <v>176</v>
      </c>
      <c r="D488" s="103" t="s">
        <v>121</v>
      </c>
    </row>
    <row r="489" spans="1:4" ht="12.75" customHeight="1" x14ac:dyDescent="0.15">
      <c r="A489" s="12">
        <f t="shared" ca="1" si="1"/>
        <v>3224216</v>
      </c>
      <c r="B489" s="179" t="s">
        <v>461</v>
      </c>
      <c r="C489" s="179" t="s">
        <v>182</v>
      </c>
      <c r="D489" s="209" t="s">
        <v>85</v>
      </c>
    </row>
    <row r="490" spans="1:4" ht="12.75" customHeight="1" x14ac:dyDescent="0.15">
      <c r="A490" s="12">
        <f t="shared" ca="1" si="1"/>
        <v>9752414</v>
      </c>
      <c r="B490" s="57" t="s">
        <v>461</v>
      </c>
      <c r="C490" s="57" t="s">
        <v>269</v>
      </c>
      <c r="D490" s="103" t="s">
        <v>270</v>
      </c>
    </row>
    <row r="491" spans="1:4" ht="12.75" customHeight="1" x14ac:dyDescent="0.15">
      <c r="A491" s="12">
        <f t="shared" ca="1" si="1"/>
        <v>1969632</v>
      </c>
      <c r="B491" s="57" t="s">
        <v>4</v>
      </c>
      <c r="C491" s="57" t="s">
        <v>269</v>
      </c>
      <c r="D491" s="103" t="s">
        <v>502</v>
      </c>
    </row>
    <row r="492" spans="1:4" ht="12.75" customHeight="1" x14ac:dyDescent="0.15">
      <c r="A492" s="12">
        <f t="shared" ca="1" si="1"/>
        <v>6352887</v>
      </c>
      <c r="B492" s="57" t="s">
        <v>4</v>
      </c>
      <c r="C492" s="57" t="s">
        <v>275</v>
      </c>
      <c r="D492" s="103" t="s">
        <v>276</v>
      </c>
    </row>
    <row r="493" spans="1:4" ht="12.75" customHeight="1" x14ac:dyDescent="0.15">
      <c r="A493" s="12">
        <f t="shared" ca="1" si="1"/>
        <v>4155178</v>
      </c>
      <c r="B493" s="57" t="s">
        <v>3</v>
      </c>
      <c r="C493" s="57" t="s">
        <v>275</v>
      </c>
      <c r="D493" s="103" t="s">
        <v>278</v>
      </c>
    </row>
    <row r="494" spans="1:4" ht="12.75" customHeight="1" x14ac:dyDescent="0.15">
      <c r="A494" s="12">
        <f t="shared" ca="1" si="1"/>
        <v>1603797</v>
      </c>
      <c r="B494" s="57" t="s">
        <v>4</v>
      </c>
      <c r="C494" s="57" t="s">
        <v>282</v>
      </c>
      <c r="D494" s="103" t="s">
        <v>283</v>
      </c>
    </row>
    <row r="495" spans="1:4" ht="12.75" customHeight="1" x14ac:dyDescent="0.15">
      <c r="A495" s="12">
        <f t="shared" ca="1" si="1"/>
        <v>2643234</v>
      </c>
      <c r="B495" s="155" t="s">
        <v>503</v>
      </c>
      <c r="C495" s="155" t="s">
        <v>282</v>
      </c>
      <c r="D495" s="156" t="s">
        <v>284</v>
      </c>
    </row>
    <row r="496" spans="1:4" ht="12.75" customHeight="1" x14ac:dyDescent="0.15">
      <c r="A496" s="12">
        <f t="shared" ca="1" si="1"/>
        <v>6629499</v>
      </c>
      <c r="B496" s="57" t="s">
        <v>4</v>
      </c>
      <c r="C496" s="57" t="s">
        <v>194</v>
      </c>
      <c r="D496" s="103" t="s">
        <v>195</v>
      </c>
    </row>
    <row r="497" spans="1:4" ht="12.75" customHeight="1" x14ac:dyDescent="0.15">
      <c r="A497" s="12">
        <f t="shared" ca="1" si="1"/>
        <v>4272614</v>
      </c>
      <c r="B497" s="57" t="s">
        <v>3</v>
      </c>
      <c r="C497" s="57" t="s">
        <v>194</v>
      </c>
      <c r="D497" s="103" t="s">
        <v>199</v>
      </c>
    </row>
    <row r="498" spans="1:4" ht="12.75" customHeight="1" x14ac:dyDescent="0.15">
      <c r="A498" s="12">
        <f t="shared" ca="1" si="1"/>
        <v>1103020</v>
      </c>
      <c r="B498" s="58" t="s">
        <v>4</v>
      </c>
      <c r="C498" s="58" t="s">
        <v>134</v>
      </c>
      <c r="D498" s="59" t="s">
        <v>229</v>
      </c>
    </row>
    <row r="499" spans="1:4" ht="12.75" customHeight="1" x14ac:dyDescent="0.15">
      <c r="A499" s="12">
        <f t="shared" ca="1" si="1"/>
        <v>6101466</v>
      </c>
      <c r="B499" s="58" t="s">
        <v>4</v>
      </c>
      <c r="C499" s="58" t="s">
        <v>47</v>
      </c>
      <c r="D499" s="59" t="s">
        <v>49</v>
      </c>
    </row>
    <row r="500" spans="1:4" ht="12.75" customHeight="1" x14ac:dyDescent="0.15">
      <c r="A500" s="12">
        <f t="shared" ca="1" si="1"/>
        <v>7138602</v>
      </c>
      <c r="B500" s="57" t="s">
        <v>3</v>
      </c>
      <c r="C500" s="58" t="s">
        <v>47</v>
      </c>
      <c r="D500" s="59" t="s">
        <v>58</v>
      </c>
    </row>
    <row r="501" spans="1:4" ht="12.75" customHeight="1" x14ac:dyDescent="0.15">
      <c r="A501" s="12">
        <f t="shared" ca="1" si="1"/>
        <v>3149429</v>
      </c>
      <c r="B501" s="57" t="s">
        <v>3</v>
      </c>
      <c r="C501" s="57" t="s">
        <v>65</v>
      </c>
      <c r="D501" s="103" t="s">
        <v>66</v>
      </c>
    </row>
    <row r="502" spans="1:4" ht="12.75" customHeight="1" x14ac:dyDescent="0.15">
      <c r="A502" s="12">
        <f t="shared" ca="1" si="1"/>
        <v>2529373</v>
      </c>
      <c r="B502" s="57" t="s">
        <v>4</v>
      </c>
      <c r="C502" s="57" t="s">
        <v>82</v>
      </c>
      <c r="D502" s="103" t="s">
        <v>85</v>
      </c>
    </row>
    <row r="503" spans="1:4" ht="12.75" customHeight="1" x14ac:dyDescent="0.15">
      <c r="A503" s="12">
        <f t="shared" ca="1" si="1"/>
        <v>2729649</v>
      </c>
      <c r="B503" s="57" t="s">
        <v>3</v>
      </c>
      <c r="C503" s="57" t="s">
        <v>82</v>
      </c>
      <c r="D503" s="103" t="s">
        <v>93</v>
      </c>
    </row>
    <row r="504" spans="1:4" ht="12.75" customHeight="1" x14ac:dyDescent="0.15">
      <c r="A504" s="12">
        <f t="shared" ca="1" si="1"/>
        <v>6238135</v>
      </c>
      <c r="B504" s="57" t="s">
        <v>298</v>
      </c>
      <c r="C504" s="57" t="s">
        <v>104</v>
      </c>
      <c r="D504" s="103" t="s">
        <v>105</v>
      </c>
    </row>
    <row r="505" spans="1:4" ht="12.75" customHeight="1" x14ac:dyDescent="0.15">
      <c r="A505" s="12">
        <f t="shared" ca="1" si="1"/>
        <v>4723684</v>
      </c>
      <c r="B505" s="57" t="s">
        <v>4</v>
      </c>
      <c r="C505" s="57" t="s">
        <v>106</v>
      </c>
      <c r="D505" s="103" t="s">
        <v>107</v>
      </c>
    </row>
    <row r="506" spans="1:4" ht="12.75" customHeight="1" x14ac:dyDescent="0.15">
      <c r="A506" s="12">
        <f t="shared" ca="1" si="1"/>
        <v>6554864</v>
      </c>
      <c r="B506" s="223" t="s">
        <v>306</v>
      </c>
      <c r="C506" s="223" t="s">
        <v>109</v>
      </c>
      <c r="D506" s="224" t="s">
        <v>110</v>
      </c>
    </row>
    <row r="507" spans="1:4" ht="12.75" customHeight="1" x14ac:dyDescent="0.15">
      <c r="A507" s="12">
        <f t="shared" ca="1" si="1"/>
        <v>7168206</v>
      </c>
      <c r="B507" s="150" t="s">
        <v>4</v>
      </c>
      <c r="C507" s="150" t="s">
        <v>111</v>
      </c>
      <c r="D507" s="151" t="s">
        <v>112</v>
      </c>
    </row>
    <row r="508" spans="1:4" ht="12.75" customHeight="1" x14ac:dyDescent="0.15">
      <c r="A508" s="12">
        <f t="shared" ca="1" si="1"/>
        <v>2114963</v>
      </c>
      <c r="B508" s="113" t="s">
        <v>4</v>
      </c>
      <c r="C508" s="113" t="s">
        <v>500</v>
      </c>
      <c r="D508" s="114" t="s">
        <v>114</v>
      </c>
    </row>
    <row r="509" spans="1:4" ht="12.75" customHeight="1" x14ac:dyDescent="0.15">
      <c r="A509" s="12">
        <f t="shared" ca="1" si="1"/>
        <v>3940414</v>
      </c>
      <c r="B509" s="57" t="s">
        <v>4</v>
      </c>
      <c r="C509" s="57" t="s">
        <v>115</v>
      </c>
      <c r="D509" s="103" t="s">
        <v>116</v>
      </c>
    </row>
    <row r="510" spans="1:4" ht="12.75" customHeight="1" x14ac:dyDescent="0.15">
      <c r="A510" s="12">
        <f t="shared" ca="1" si="1"/>
        <v>6944032</v>
      </c>
      <c r="B510" s="57" t="s">
        <v>4</v>
      </c>
      <c r="C510" s="57" t="s">
        <v>117</v>
      </c>
      <c r="D510" s="103" t="s">
        <v>118</v>
      </c>
    </row>
    <row r="511" spans="1:4" ht="12.75" customHeight="1" x14ac:dyDescent="0.15">
      <c r="A511" s="12">
        <f t="shared" ca="1" si="1"/>
        <v>5839446</v>
      </c>
      <c r="B511" s="57" t="s">
        <v>3</v>
      </c>
      <c r="C511" s="57" t="s">
        <v>120</v>
      </c>
      <c r="D511" s="103" t="s">
        <v>122</v>
      </c>
    </row>
    <row r="512" spans="1:4" ht="12.75" customHeight="1" x14ac:dyDescent="0.15">
      <c r="A512" s="12">
        <f t="shared" ref="A512:A621" ca="1" si="2">RANDBETWEEN(1000000, 9999999)</f>
        <v>2522962</v>
      </c>
      <c r="B512" s="57" t="s">
        <v>3</v>
      </c>
      <c r="C512" s="57" t="s">
        <v>124</v>
      </c>
      <c r="D512" s="103" t="s">
        <v>127</v>
      </c>
    </row>
    <row r="513" spans="1:4" ht="12.75" customHeight="1" x14ac:dyDescent="0.15">
      <c r="A513" s="12">
        <f t="shared" ca="1" si="2"/>
        <v>3600342</v>
      </c>
      <c r="B513" s="57" t="s">
        <v>3</v>
      </c>
      <c r="C513" s="57" t="s">
        <v>124</v>
      </c>
      <c r="D513" s="103" t="s">
        <v>125</v>
      </c>
    </row>
    <row r="514" spans="1:4" ht="12.75" customHeight="1" x14ac:dyDescent="0.15">
      <c r="A514" s="12">
        <f t="shared" ca="1" si="2"/>
        <v>1594731</v>
      </c>
      <c r="B514" s="57" t="s">
        <v>4</v>
      </c>
      <c r="C514" s="57" t="s">
        <v>128</v>
      </c>
      <c r="D514" s="103" t="s">
        <v>129</v>
      </c>
    </row>
    <row r="515" spans="1:4" ht="12.75" customHeight="1" x14ac:dyDescent="0.15">
      <c r="A515" s="12">
        <f t="shared" ca="1" si="2"/>
        <v>6062924</v>
      </c>
      <c r="B515" s="58" t="s">
        <v>3</v>
      </c>
      <c r="C515" s="58" t="s">
        <v>137</v>
      </c>
      <c r="D515" s="59" t="s">
        <v>138</v>
      </c>
    </row>
    <row r="516" spans="1:4" ht="12.75" customHeight="1" x14ac:dyDescent="0.15">
      <c r="A516" s="12">
        <f t="shared" ca="1" si="2"/>
        <v>7439612</v>
      </c>
      <c r="B516" s="223" t="s">
        <v>3</v>
      </c>
      <c r="C516" s="223" t="s">
        <v>139</v>
      </c>
      <c r="D516" s="224" t="s">
        <v>141</v>
      </c>
    </row>
    <row r="517" spans="1:4" ht="12.75" customHeight="1" x14ac:dyDescent="0.15">
      <c r="A517" s="12">
        <f t="shared" ca="1" si="2"/>
        <v>9528277</v>
      </c>
      <c r="B517" s="155" t="s">
        <v>3</v>
      </c>
      <c r="C517" s="155" t="s">
        <v>130</v>
      </c>
      <c r="D517" s="156" t="s">
        <v>131</v>
      </c>
    </row>
    <row r="518" spans="1:4" ht="12.75" customHeight="1" x14ac:dyDescent="0.15">
      <c r="A518" s="12">
        <f t="shared" ca="1" si="2"/>
        <v>6156200</v>
      </c>
      <c r="B518" s="155" t="s">
        <v>4</v>
      </c>
      <c r="C518" s="155" t="s">
        <v>130</v>
      </c>
      <c r="D518" s="156" t="s">
        <v>133</v>
      </c>
    </row>
    <row r="519" spans="1:4" ht="12.75" customHeight="1" x14ac:dyDescent="0.15">
      <c r="A519" s="12">
        <f t="shared" ca="1" si="2"/>
        <v>6719199</v>
      </c>
      <c r="B519" s="58" t="s">
        <v>3</v>
      </c>
      <c r="C519" s="58" t="s">
        <v>134</v>
      </c>
      <c r="D519" s="59" t="s">
        <v>235</v>
      </c>
    </row>
    <row r="520" spans="1:4" ht="12.75" customHeight="1" x14ac:dyDescent="0.15">
      <c r="A520" s="12">
        <f t="shared" ca="1" si="2"/>
        <v>5461453</v>
      </c>
      <c r="B520" s="57" t="s">
        <v>4</v>
      </c>
      <c r="C520" s="58" t="s">
        <v>144</v>
      </c>
      <c r="D520" s="59" t="s">
        <v>145</v>
      </c>
    </row>
    <row r="521" spans="1:4" ht="12.75" customHeight="1" x14ac:dyDescent="0.15">
      <c r="A521" s="12">
        <f t="shared" ca="1" si="2"/>
        <v>4285659</v>
      </c>
      <c r="B521" s="147" t="s">
        <v>3</v>
      </c>
      <c r="C521" s="147" t="s">
        <v>149</v>
      </c>
      <c r="D521" s="148" t="s">
        <v>150</v>
      </c>
    </row>
    <row r="522" spans="1:4" ht="12.75" customHeight="1" x14ac:dyDescent="0.15">
      <c r="A522" s="12">
        <f t="shared" ca="1" si="2"/>
        <v>6882002</v>
      </c>
      <c r="B522" s="147" t="s">
        <v>4</v>
      </c>
      <c r="C522" s="147" t="s">
        <v>149</v>
      </c>
      <c r="D522" s="148" t="s">
        <v>147</v>
      </c>
    </row>
    <row r="523" spans="1:4" ht="12.75" customHeight="1" x14ac:dyDescent="0.15">
      <c r="A523" s="12">
        <f t="shared" ca="1" si="2"/>
        <v>4553495</v>
      </c>
      <c r="B523" s="150" t="s">
        <v>4</v>
      </c>
      <c r="C523" s="150" t="s">
        <v>162</v>
      </c>
      <c r="D523" s="151" t="s">
        <v>163</v>
      </c>
    </row>
    <row r="524" spans="1:4" ht="12.75" customHeight="1" x14ac:dyDescent="0.15">
      <c r="A524" s="12">
        <f t="shared" ca="1" si="2"/>
        <v>7947575</v>
      </c>
      <c r="B524" s="57" t="s">
        <v>4</v>
      </c>
      <c r="C524" s="57" t="s">
        <v>171</v>
      </c>
      <c r="D524" s="103" t="s">
        <v>174</v>
      </c>
    </row>
    <row r="525" spans="1:4" ht="12.75" customHeight="1" x14ac:dyDescent="0.15">
      <c r="A525" s="12">
        <f t="shared" ca="1" si="2"/>
        <v>4612454</v>
      </c>
      <c r="B525" s="57" t="s">
        <v>4</v>
      </c>
      <c r="C525" s="57" t="s">
        <v>175</v>
      </c>
      <c r="D525" s="103" t="s">
        <v>178</v>
      </c>
    </row>
    <row r="526" spans="1:4" ht="12.75" customHeight="1" x14ac:dyDescent="0.15">
      <c r="A526" s="12">
        <f t="shared" ca="1" si="2"/>
        <v>6681011</v>
      </c>
      <c r="B526" s="57" t="s">
        <v>461</v>
      </c>
      <c r="C526" s="57" t="s">
        <v>184</v>
      </c>
      <c r="D526" s="103" t="s">
        <v>186</v>
      </c>
    </row>
    <row r="527" spans="1:4" ht="12.75" customHeight="1" x14ac:dyDescent="0.15">
      <c r="A527" s="12">
        <f t="shared" ca="1" si="2"/>
        <v>6720883</v>
      </c>
      <c r="B527" s="57" t="s">
        <v>4</v>
      </c>
      <c r="C527" s="57" t="s">
        <v>184</v>
      </c>
      <c r="D527" s="103" t="s">
        <v>190</v>
      </c>
    </row>
    <row r="528" spans="1:4" ht="12.75" customHeight="1" x14ac:dyDescent="0.15">
      <c r="A528" s="12">
        <f t="shared" ca="1" si="2"/>
        <v>9153338</v>
      </c>
      <c r="B528" s="113" t="s">
        <v>4</v>
      </c>
      <c r="C528" s="113" t="s">
        <v>196</v>
      </c>
      <c r="D528" s="114" t="s">
        <v>133</v>
      </c>
    </row>
    <row r="529" spans="1:4" ht="12.75" customHeight="1" x14ac:dyDescent="0.15">
      <c r="A529" s="12">
        <f t="shared" ca="1" si="2"/>
        <v>6221294</v>
      </c>
      <c r="B529" s="57" t="s">
        <v>4</v>
      </c>
      <c r="C529" s="57" t="s">
        <v>200</v>
      </c>
      <c r="D529" s="103" t="s">
        <v>201</v>
      </c>
    </row>
    <row r="530" spans="1:4" ht="12.75" customHeight="1" x14ac:dyDescent="0.15">
      <c r="A530" s="12">
        <f t="shared" ca="1" si="2"/>
        <v>1504300</v>
      </c>
      <c r="B530" s="57" t="s">
        <v>4</v>
      </c>
      <c r="C530" s="57" t="s">
        <v>200</v>
      </c>
      <c r="D530" s="103" t="s">
        <v>195</v>
      </c>
    </row>
    <row r="531" spans="1:4" ht="12.75" customHeight="1" x14ac:dyDescent="0.15">
      <c r="A531" s="12">
        <f t="shared" ca="1" si="2"/>
        <v>5542107</v>
      </c>
      <c r="B531" s="179" t="s">
        <v>495</v>
      </c>
      <c r="C531" s="179" t="s">
        <v>200</v>
      </c>
      <c r="D531" s="209" t="s">
        <v>203</v>
      </c>
    </row>
    <row r="532" spans="1:4" ht="12.75" customHeight="1" x14ac:dyDescent="0.15">
      <c r="A532" s="12">
        <f t="shared" ca="1" si="2"/>
        <v>4250229</v>
      </c>
      <c r="B532" s="150" t="s">
        <v>4</v>
      </c>
      <c r="C532" s="150" t="s">
        <v>225</v>
      </c>
      <c r="D532" s="151" t="s">
        <v>226</v>
      </c>
    </row>
    <row r="533" spans="1:4" ht="12.75" customHeight="1" x14ac:dyDescent="0.15">
      <c r="A533" s="12">
        <f t="shared" ca="1" si="2"/>
        <v>4823839</v>
      </c>
      <c r="B533" s="150" t="s">
        <v>298</v>
      </c>
      <c r="C533" s="150" t="s">
        <v>225</v>
      </c>
      <c r="D533" s="151" t="s">
        <v>228</v>
      </c>
    </row>
    <row r="534" spans="1:4" ht="12.75" customHeight="1" x14ac:dyDescent="0.15">
      <c r="A534" s="12">
        <f t="shared" ca="1" si="2"/>
        <v>9880855</v>
      </c>
      <c r="B534" s="57" t="s">
        <v>3</v>
      </c>
      <c r="C534" s="57" t="s">
        <v>233</v>
      </c>
      <c r="D534" s="103" t="s">
        <v>234</v>
      </c>
    </row>
    <row r="535" spans="1:4" ht="12.75" customHeight="1" x14ac:dyDescent="0.15">
      <c r="A535" s="12">
        <f t="shared" ca="1" si="2"/>
        <v>4005666</v>
      </c>
      <c r="B535" s="57" t="s">
        <v>3</v>
      </c>
      <c r="C535" s="57" t="s">
        <v>6</v>
      </c>
      <c r="D535" s="103" t="s">
        <v>236</v>
      </c>
    </row>
    <row r="536" spans="1:4" ht="12.75" customHeight="1" x14ac:dyDescent="0.15">
      <c r="A536" s="12">
        <f t="shared" ca="1" si="2"/>
        <v>2777609</v>
      </c>
      <c r="B536" s="57" t="s">
        <v>3</v>
      </c>
      <c r="C536" s="57" t="s">
        <v>6</v>
      </c>
      <c r="D536" s="103" t="s">
        <v>8</v>
      </c>
    </row>
    <row r="537" spans="1:4" ht="12.75" customHeight="1" x14ac:dyDescent="0.15">
      <c r="A537" s="12">
        <f t="shared" ca="1" si="2"/>
        <v>7739806</v>
      </c>
      <c r="B537" s="57" t="s">
        <v>4</v>
      </c>
      <c r="C537" s="57" t="s">
        <v>6</v>
      </c>
      <c r="D537" s="103" t="s">
        <v>10</v>
      </c>
    </row>
    <row r="538" spans="1:4" ht="12.75" customHeight="1" x14ac:dyDescent="0.15">
      <c r="A538" s="12">
        <f t="shared" ca="1" si="2"/>
        <v>1770555</v>
      </c>
      <c r="B538" s="155" t="s">
        <v>3</v>
      </c>
      <c r="C538" s="155" t="s">
        <v>6</v>
      </c>
      <c r="D538" s="156" t="s">
        <v>9</v>
      </c>
    </row>
    <row r="539" spans="1:4" ht="12.75" customHeight="1" x14ac:dyDescent="0.15">
      <c r="A539" s="12">
        <f t="shared" ca="1" si="2"/>
        <v>2120655</v>
      </c>
      <c r="B539" s="57" t="s">
        <v>3</v>
      </c>
      <c r="C539" s="57" t="s">
        <v>237</v>
      </c>
      <c r="D539" s="103" t="s">
        <v>238</v>
      </c>
    </row>
    <row r="540" spans="1:4" ht="12.75" customHeight="1" x14ac:dyDescent="0.15">
      <c r="A540" s="12">
        <f t="shared" ca="1" si="2"/>
        <v>3148186</v>
      </c>
      <c r="B540" s="155" t="s">
        <v>4</v>
      </c>
      <c r="C540" s="155" t="s">
        <v>239</v>
      </c>
      <c r="D540" s="156" t="s">
        <v>240</v>
      </c>
    </row>
    <row r="541" spans="1:4" ht="12.75" customHeight="1" x14ac:dyDescent="0.15">
      <c r="A541" s="12">
        <f t="shared" ca="1" si="2"/>
        <v>9398023</v>
      </c>
      <c r="B541" s="57" t="s">
        <v>3</v>
      </c>
      <c r="C541" s="57" t="s">
        <v>241</v>
      </c>
      <c r="D541" s="103" t="s">
        <v>242</v>
      </c>
    </row>
    <row r="542" spans="1:4" ht="12.75" customHeight="1" x14ac:dyDescent="0.15">
      <c r="A542" s="12">
        <f t="shared" ca="1" si="2"/>
        <v>4630536</v>
      </c>
      <c r="B542" s="57" t="s">
        <v>4</v>
      </c>
      <c r="C542" s="57" t="s">
        <v>241</v>
      </c>
      <c r="D542" s="103" t="s">
        <v>243</v>
      </c>
    </row>
    <row r="543" spans="1:4" ht="12.75" customHeight="1" x14ac:dyDescent="0.15">
      <c r="A543" s="12">
        <f t="shared" ca="1" si="2"/>
        <v>5608157</v>
      </c>
      <c r="B543" s="207" t="s">
        <v>4</v>
      </c>
      <c r="C543" s="207" t="s">
        <v>247</v>
      </c>
      <c r="D543" s="225" t="s">
        <v>248</v>
      </c>
    </row>
    <row r="544" spans="1:4" ht="12.75" customHeight="1" x14ac:dyDescent="0.15">
      <c r="A544" s="12">
        <f t="shared" ca="1" si="2"/>
        <v>1516180</v>
      </c>
      <c r="B544" s="57" t="s">
        <v>3</v>
      </c>
      <c r="C544" s="57" t="s">
        <v>247</v>
      </c>
      <c r="D544" s="59" t="s">
        <v>281</v>
      </c>
    </row>
    <row r="545" spans="1:4" ht="12.75" customHeight="1" x14ac:dyDescent="0.15">
      <c r="A545" s="12">
        <f t="shared" ca="1" si="2"/>
        <v>9337149</v>
      </c>
      <c r="B545" s="179" t="s">
        <v>3</v>
      </c>
      <c r="C545" s="179" t="s">
        <v>180</v>
      </c>
      <c r="D545" s="209" t="s">
        <v>179</v>
      </c>
    </row>
    <row r="546" spans="1:4" ht="12.75" customHeight="1" x14ac:dyDescent="0.15">
      <c r="A546" s="12">
        <f t="shared" ca="1" si="2"/>
        <v>5158901</v>
      </c>
      <c r="B546" s="57" t="s">
        <v>3</v>
      </c>
      <c r="C546" s="57" t="s">
        <v>202</v>
      </c>
      <c r="D546" s="103" t="s">
        <v>150</v>
      </c>
    </row>
    <row r="547" spans="1:4" ht="12.75" customHeight="1" x14ac:dyDescent="0.15">
      <c r="A547" s="12">
        <f t="shared" ca="1" si="2"/>
        <v>1516960</v>
      </c>
      <c r="B547" s="57" t="s">
        <v>4</v>
      </c>
      <c r="C547" s="57" t="s">
        <v>202</v>
      </c>
      <c r="D547" s="103" t="s">
        <v>215</v>
      </c>
    </row>
    <row r="548" spans="1:4" ht="12.75" customHeight="1" x14ac:dyDescent="0.15">
      <c r="A548" s="12">
        <f t="shared" ca="1" si="2"/>
        <v>5675708</v>
      </c>
      <c r="B548" s="57" t="s">
        <v>501</v>
      </c>
      <c r="C548" s="57" t="s">
        <v>263</v>
      </c>
      <c r="D548" s="103" t="s">
        <v>264</v>
      </c>
    </row>
    <row r="549" spans="1:4" ht="12.75" customHeight="1" x14ac:dyDescent="0.15">
      <c r="A549" s="12">
        <f t="shared" ca="1" si="2"/>
        <v>8763387</v>
      </c>
      <c r="B549" s="207" t="s">
        <v>3</v>
      </c>
      <c r="C549" s="207" t="s">
        <v>176</v>
      </c>
      <c r="D549" s="225" t="s">
        <v>246</v>
      </c>
    </row>
    <row r="550" spans="1:4" ht="12.75" customHeight="1" x14ac:dyDescent="0.15">
      <c r="A550" s="12">
        <f t="shared" ca="1" si="2"/>
        <v>4596748</v>
      </c>
      <c r="B550" s="57" t="s">
        <v>4</v>
      </c>
      <c r="C550" s="57" t="s">
        <v>176</v>
      </c>
      <c r="D550" s="103" t="s">
        <v>121</v>
      </c>
    </row>
    <row r="551" spans="1:4" ht="12.75" customHeight="1" x14ac:dyDescent="0.15">
      <c r="A551" s="12">
        <f t="shared" ca="1" si="2"/>
        <v>9045205</v>
      </c>
      <c r="B551" s="179" t="s">
        <v>461</v>
      </c>
      <c r="C551" s="179" t="s">
        <v>182</v>
      </c>
      <c r="D551" s="209" t="s">
        <v>85</v>
      </c>
    </row>
    <row r="552" spans="1:4" ht="12.75" customHeight="1" x14ac:dyDescent="0.15">
      <c r="A552" s="12">
        <f t="shared" ca="1" si="2"/>
        <v>9606385</v>
      </c>
      <c r="B552" s="57" t="s">
        <v>461</v>
      </c>
      <c r="C552" s="57" t="s">
        <v>269</v>
      </c>
      <c r="D552" s="103" t="s">
        <v>270</v>
      </c>
    </row>
    <row r="553" spans="1:4" ht="12.75" customHeight="1" x14ac:dyDescent="0.15">
      <c r="A553" s="12">
        <f t="shared" ca="1" si="2"/>
        <v>4477031</v>
      </c>
      <c r="B553" s="57" t="s">
        <v>4</v>
      </c>
      <c r="C553" s="57" t="s">
        <v>269</v>
      </c>
      <c r="D553" s="103" t="s">
        <v>502</v>
      </c>
    </row>
    <row r="554" spans="1:4" ht="12.75" customHeight="1" x14ac:dyDescent="0.15">
      <c r="A554" s="12">
        <f t="shared" ca="1" si="2"/>
        <v>4649831</v>
      </c>
      <c r="B554" s="57" t="s">
        <v>4</v>
      </c>
      <c r="C554" s="57" t="s">
        <v>275</v>
      </c>
      <c r="D554" s="103" t="s">
        <v>276</v>
      </c>
    </row>
    <row r="555" spans="1:4" ht="12.75" customHeight="1" x14ac:dyDescent="0.15">
      <c r="A555" s="12">
        <f t="shared" ca="1" si="2"/>
        <v>8044309</v>
      </c>
      <c r="B555" s="57" t="s">
        <v>3</v>
      </c>
      <c r="C555" s="57" t="s">
        <v>275</v>
      </c>
      <c r="D555" s="103" t="s">
        <v>278</v>
      </c>
    </row>
    <row r="556" spans="1:4" ht="12.75" customHeight="1" x14ac:dyDescent="0.15">
      <c r="A556" s="12">
        <f t="shared" ca="1" si="2"/>
        <v>8854156</v>
      </c>
      <c r="B556" s="57" t="s">
        <v>4</v>
      </c>
      <c r="C556" s="57" t="s">
        <v>282</v>
      </c>
      <c r="D556" s="103" t="s">
        <v>283</v>
      </c>
    </row>
    <row r="557" spans="1:4" ht="12.75" customHeight="1" x14ac:dyDescent="0.15">
      <c r="A557" s="12">
        <f t="shared" ca="1" si="2"/>
        <v>6688631</v>
      </c>
      <c r="B557" s="155" t="s">
        <v>503</v>
      </c>
      <c r="C557" s="155" t="s">
        <v>282</v>
      </c>
      <c r="D557" s="156" t="s">
        <v>284</v>
      </c>
    </row>
    <row r="558" spans="1:4" ht="12.75" customHeight="1" x14ac:dyDescent="0.15">
      <c r="A558" s="12">
        <f t="shared" ca="1" si="2"/>
        <v>6158092</v>
      </c>
      <c r="B558" s="57" t="s">
        <v>4</v>
      </c>
      <c r="C558" s="57" t="s">
        <v>194</v>
      </c>
      <c r="D558" s="103" t="s">
        <v>195</v>
      </c>
    </row>
    <row r="559" spans="1:4" ht="12.75" customHeight="1" x14ac:dyDescent="0.15">
      <c r="A559" s="12">
        <f t="shared" ca="1" si="2"/>
        <v>8951858</v>
      </c>
      <c r="B559" s="57" t="s">
        <v>3</v>
      </c>
      <c r="C559" s="57" t="s">
        <v>194</v>
      </c>
      <c r="D559" s="103" t="s">
        <v>199</v>
      </c>
    </row>
    <row r="560" spans="1:4" ht="12.75" customHeight="1" x14ac:dyDescent="0.15">
      <c r="A560" s="12">
        <f t="shared" ca="1" si="2"/>
        <v>2957990</v>
      </c>
      <c r="B560" s="58" t="s">
        <v>4</v>
      </c>
      <c r="C560" s="58" t="s">
        <v>134</v>
      </c>
      <c r="D560" s="59" t="s">
        <v>229</v>
      </c>
    </row>
    <row r="561" spans="1:4" ht="12.75" customHeight="1" x14ac:dyDescent="0.15">
      <c r="A561" s="12">
        <f t="shared" ca="1" si="2"/>
        <v>5703077</v>
      </c>
      <c r="B561" s="58" t="s">
        <v>4</v>
      </c>
      <c r="C561" s="58" t="s">
        <v>47</v>
      </c>
      <c r="D561" s="59" t="s">
        <v>49</v>
      </c>
    </row>
    <row r="562" spans="1:4" ht="12.75" customHeight="1" x14ac:dyDescent="0.15">
      <c r="A562" s="12">
        <f t="shared" ca="1" si="2"/>
        <v>4449369</v>
      </c>
      <c r="B562" s="57" t="s">
        <v>3</v>
      </c>
      <c r="C562" s="58" t="s">
        <v>47</v>
      </c>
      <c r="D562" s="59" t="s">
        <v>58</v>
      </c>
    </row>
    <row r="563" spans="1:4" ht="12.75" customHeight="1" x14ac:dyDescent="0.15">
      <c r="A563" s="12">
        <f t="shared" ca="1" si="2"/>
        <v>5736428</v>
      </c>
      <c r="B563" s="57" t="s">
        <v>3</v>
      </c>
      <c r="C563" s="57" t="s">
        <v>65</v>
      </c>
      <c r="D563" s="103" t="s">
        <v>66</v>
      </c>
    </row>
    <row r="564" spans="1:4" ht="12.75" customHeight="1" x14ac:dyDescent="0.15">
      <c r="A564" s="12">
        <f t="shared" ca="1" si="2"/>
        <v>2201563</v>
      </c>
      <c r="B564" s="57" t="s">
        <v>4</v>
      </c>
      <c r="C564" s="57" t="s">
        <v>82</v>
      </c>
      <c r="D564" s="103" t="s">
        <v>85</v>
      </c>
    </row>
    <row r="565" spans="1:4" ht="12.75" customHeight="1" x14ac:dyDescent="0.15">
      <c r="A565" s="12">
        <f t="shared" ca="1" si="2"/>
        <v>3573600</v>
      </c>
      <c r="B565" s="57" t="s">
        <v>3</v>
      </c>
      <c r="C565" s="57" t="s">
        <v>82</v>
      </c>
      <c r="D565" s="103" t="s">
        <v>93</v>
      </c>
    </row>
    <row r="566" spans="1:4" ht="12.75" customHeight="1" x14ac:dyDescent="0.15">
      <c r="A566" s="12">
        <f t="shared" ca="1" si="2"/>
        <v>6544974</v>
      </c>
      <c r="B566" s="57" t="s">
        <v>298</v>
      </c>
      <c r="C566" s="57" t="s">
        <v>104</v>
      </c>
      <c r="D566" s="103" t="s">
        <v>105</v>
      </c>
    </row>
    <row r="567" spans="1:4" ht="12.75" customHeight="1" x14ac:dyDescent="0.15">
      <c r="A567" s="12">
        <f t="shared" ca="1" si="2"/>
        <v>6057207</v>
      </c>
      <c r="B567" s="57" t="s">
        <v>4</v>
      </c>
      <c r="C567" s="57" t="s">
        <v>106</v>
      </c>
      <c r="D567" s="103" t="s">
        <v>107</v>
      </c>
    </row>
    <row r="568" spans="1:4" ht="12.75" customHeight="1" x14ac:dyDescent="0.15">
      <c r="A568" s="12">
        <f t="shared" ca="1" si="2"/>
        <v>1535558</v>
      </c>
      <c r="B568" s="223" t="s">
        <v>306</v>
      </c>
      <c r="C568" s="223" t="s">
        <v>109</v>
      </c>
      <c r="D568" s="224" t="s">
        <v>110</v>
      </c>
    </row>
    <row r="569" spans="1:4" ht="12.75" customHeight="1" x14ac:dyDescent="0.15">
      <c r="A569" s="12">
        <f t="shared" ca="1" si="2"/>
        <v>5576207</v>
      </c>
      <c r="B569" s="150" t="s">
        <v>4</v>
      </c>
      <c r="C569" s="150" t="s">
        <v>111</v>
      </c>
      <c r="D569" s="151" t="s">
        <v>112</v>
      </c>
    </row>
    <row r="570" spans="1:4" ht="12.75" customHeight="1" x14ac:dyDescent="0.15">
      <c r="A570" s="12">
        <f t="shared" ca="1" si="2"/>
        <v>7341634</v>
      </c>
      <c r="B570" s="113" t="s">
        <v>4</v>
      </c>
      <c r="C570" s="113" t="s">
        <v>500</v>
      </c>
      <c r="D570" s="114" t="s">
        <v>114</v>
      </c>
    </row>
    <row r="571" spans="1:4" ht="12.75" customHeight="1" x14ac:dyDescent="0.15">
      <c r="A571" s="12">
        <f t="shared" ca="1" si="2"/>
        <v>8055974</v>
      </c>
      <c r="B571" s="57" t="s">
        <v>4</v>
      </c>
      <c r="C571" s="57" t="s">
        <v>115</v>
      </c>
      <c r="D571" s="103" t="s">
        <v>116</v>
      </c>
    </row>
    <row r="572" spans="1:4" ht="12.75" customHeight="1" x14ac:dyDescent="0.15">
      <c r="A572" s="12">
        <f t="shared" ca="1" si="2"/>
        <v>5156420</v>
      </c>
      <c r="B572" s="57" t="s">
        <v>4</v>
      </c>
      <c r="C572" s="57" t="s">
        <v>117</v>
      </c>
      <c r="D572" s="103" t="s">
        <v>118</v>
      </c>
    </row>
    <row r="573" spans="1:4" ht="12.75" customHeight="1" x14ac:dyDescent="0.15">
      <c r="A573" s="12">
        <f t="shared" ca="1" si="2"/>
        <v>1480558</v>
      </c>
      <c r="B573" s="57" t="s">
        <v>3</v>
      </c>
      <c r="C573" s="57" t="s">
        <v>120</v>
      </c>
      <c r="D573" s="103" t="s">
        <v>122</v>
      </c>
    </row>
    <row r="574" spans="1:4" ht="12.75" customHeight="1" x14ac:dyDescent="0.15">
      <c r="A574" s="12">
        <f t="shared" ca="1" si="2"/>
        <v>6866616</v>
      </c>
      <c r="B574" s="57" t="s">
        <v>3</v>
      </c>
      <c r="C574" s="57" t="s">
        <v>124</v>
      </c>
      <c r="D574" s="103" t="s">
        <v>127</v>
      </c>
    </row>
    <row r="575" spans="1:4" ht="12.75" customHeight="1" x14ac:dyDescent="0.15">
      <c r="A575" s="12">
        <f t="shared" ca="1" si="2"/>
        <v>9265856</v>
      </c>
      <c r="B575" s="57" t="s">
        <v>3</v>
      </c>
      <c r="C575" s="57" t="s">
        <v>124</v>
      </c>
      <c r="D575" s="103" t="s">
        <v>125</v>
      </c>
    </row>
    <row r="576" spans="1:4" ht="12.75" customHeight="1" x14ac:dyDescent="0.15">
      <c r="A576" s="12">
        <f t="shared" ca="1" si="2"/>
        <v>6363611</v>
      </c>
      <c r="B576" s="57" t="s">
        <v>4</v>
      </c>
      <c r="C576" s="57" t="s">
        <v>128</v>
      </c>
      <c r="D576" s="103" t="s">
        <v>129</v>
      </c>
    </row>
    <row r="577" spans="1:4" ht="12.75" customHeight="1" x14ac:dyDescent="0.15">
      <c r="A577" s="12">
        <f t="shared" ca="1" si="2"/>
        <v>1661993</v>
      </c>
      <c r="B577" s="58" t="s">
        <v>3</v>
      </c>
      <c r="C577" s="58" t="s">
        <v>137</v>
      </c>
      <c r="D577" s="59" t="s">
        <v>138</v>
      </c>
    </row>
    <row r="578" spans="1:4" ht="12.75" customHeight="1" x14ac:dyDescent="0.15">
      <c r="A578" s="12">
        <f t="shared" ca="1" si="2"/>
        <v>6128618</v>
      </c>
      <c r="B578" s="223" t="s">
        <v>3</v>
      </c>
      <c r="C578" s="223" t="s">
        <v>139</v>
      </c>
      <c r="D578" s="224" t="s">
        <v>141</v>
      </c>
    </row>
    <row r="579" spans="1:4" ht="12.75" customHeight="1" x14ac:dyDescent="0.15">
      <c r="A579" s="12">
        <f t="shared" ca="1" si="2"/>
        <v>6477172</v>
      </c>
      <c r="B579" s="155" t="s">
        <v>3</v>
      </c>
      <c r="C579" s="155" t="s">
        <v>130</v>
      </c>
      <c r="D579" s="156" t="s">
        <v>131</v>
      </c>
    </row>
    <row r="580" spans="1:4" ht="12.75" customHeight="1" x14ac:dyDescent="0.15">
      <c r="A580" s="12">
        <f t="shared" ca="1" si="2"/>
        <v>3057916</v>
      </c>
      <c r="B580" s="155" t="s">
        <v>4</v>
      </c>
      <c r="C580" s="155" t="s">
        <v>130</v>
      </c>
      <c r="D580" s="156" t="s">
        <v>133</v>
      </c>
    </row>
    <row r="581" spans="1:4" ht="12.75" customHeight="1" x14ac:dyDescent="0.15">
      <c r="A581" s="12">
        <f t="shared" ca="1" si="2"/>
        <v>4160087</v>
      </c>
      <c r="B581" s="58" t="s">
        <v>3</v>
      </c>
      <c r="C581" s="58" t="s">
        <v>134</v>
      </c>
      <c r="D581" s="59" t="s">
        <v>235</v>
      </c>
    </row>
    <row r="582" spans="1:4" ht="12.75" customHeight="1" x14ac:dyDescent="0.15">
      <c r="A582" s="12">
        <f t="shared" ca="1" si="2"/>
        <v>9097483</v>
      </c>
      <c r="B582" s="57" t="s">
        <v>4</v>
      </c>
      <c r="C582" s="58" t="s">
        <v>144</v>
      </c>
      <c r="D582" s="59" t="s">
        <v>145</v>
      </c>
    </row>
    <row r="583" spans="1:4" ht="12.75" customHeight="1" x14ac:dyDescent="0.15">
      <c r="A583" s="12">
        <f t="shared" ca="1" si="2"/>
        <v>3344692</v>
      </c>
      <c r="B583" s="147" t="s">
        <v>3</v>
      </c>
      <c r="C583" s="147" t="s">
        <v>149</v>
      </c>
      <c r="D583" s="148" t="s">
        <v>150</v>
      </c>
    </row>
    <row r="584" spans="1:4" ht="12.75" customHeight="1" x14ac:dyDescent="0.15">
      <c r="A584" s="12">
        <f t="shared" ca="1" si="2"/>
        <v>3931014</v>
      </c>
      <c r="B584" s="147" t="s">
        <v>4</v>
      </c>
      <c r="C584" s="147" t="s">
        <v>149</v>
      </c>
      <c r="D584" s="148" t="s">
        <v>147</v>
      </c>
    </row>
    <row r="585" spans="1:4" ht="12.75" customHeight="1" x14ac:dyDescent="0.15">
      <c r="A585" s="12">
        <f t="shared" ca="1" si="2"/>
        <v>8514372</v>
      </c>
      <c r="B585" s="150" t="s">
        <v>4</v>
      </c>
      <c r="C585" s="150" t="s">
        <v>162</v>
      </c>
      <c r="D585" s="151" t="s">
        <v>163</v>
      </c>
    </row>
    <row r="586" spans="1:4" ht="12.75" customHeight="1" x14ac:dyDescent="0.15">
      <c r="A586" s="12">
        <f t="shared" ca="1" si="2"/>
        <v>3044082</v>
      </c>
      <c r="B586" s="57" t="s">
        <v>4</v>
      </c>
      <c r="C586" s="57" t="s">
        <v>171</v>
      </c>
      <c r="D586" s="103" t="s">
        <v>174</v>
      </c>
    </row>
    <row r="587" spans="1:4" ht="12.75" customHeight="1" x14ac:dyDescent="0.15">
      <c r="A587" s="12">
        <f t="shared" ca="1" si="2"/>
        <v>5789304</v>
      </c>
      <c r="B587" s="57" t="s">
        <v>4</v>
      </c>
      <c r="C587" s="57" t="s">
        <v>175</v>
      </c>
      <c r="D587" s="103" t="s">
        <v>178</v>
      </c>
    </row>
    <row r="588" spans="1:4" ht="12.75" customHeight="1" x14ac:dyDescent="0.15">
      <c r="A588" s="12">
        <f t="shared" ca="1" si="2"/>
        <v>3417917</v>
      </c>
      <c r="B588" s="57" t="s">
        <v>461</v>
      </c>
      <c r="C588" s="57" t="s">
        <v>184</v>
      </c>
      <c r="D588" s="103" t="s">
        <v>186</v>
      </c>
    </row>
    <row r="589" spans="1:4" ht="12.75" customHeight="1" x14ac:dyDescent="0.15">
      <c r="A589" s="12">
        <f t="shared" ca="1" si="2"/>
        <v>2894532</v>
      </c>
      <c r="B589" s="57" t="s">
        <v>4</v>
      </c>
      <c r="C589" s="57" t="s">
        <v>184</v>
      </c>
      <c r="D589" s="103" t="s">
        <v>190</v>
      </c>
    </row>
    <row r="590" spans="1:4" ht="12.75" customHeight="1" x14ac:dyDescent="0.15">
      <c r="A590" s="12">
        <f t="shared" ca="1" si="2"/>
        <v>5178109</v>
      </c>
      <c r="B590" s="113" t="s">
        <v>4</v>
      </c>
      <c r="C590" s="113" t="s">
        <v>196</v>
      </c>
      <c r="D590" s="114" t="s">
        <v>133</v>
      </c>
    </row>
    <row r="591" spans="1:4" ht="12.75" customHeight="1" x14ac:dyDescent="0.15">
      <c r="A591" s="12">
        <f t="shared" ca="1" si="2"/>
        <v>8747419</v>
      </c>
      <c r="B591" s="57" t="s">
        <v>4</v>
      </c>
      <c r="C591" s="57" t="s">
        <v>200</v>
      </c>
      <c r="D591" s="103" t="s">
        <v>201</v>
      </c>
    </row>
    <row r="592" spans="1:4" ht="12.75" customHeight="1" x14ac:dyDescent="0.15">
      <c r="A592" s="12">
        <f t="shared" ca="1" si="2"/>
        <v>8877082</v>
      </c>
      <c r="B592" s="57" t="s">
        <v>4</v>
      </c>
      <c r="C592" s="57" t="s">
        <v>200</v>
      </c>
      <c r="D592" s="103" t="s">
        <v>195</v>
      </c>
    </row>
    <row r="593" spans="1:4" ht="12.75" customHeight="1" x14ac:dyDescent="0.15">
      <c r="A593" s="12">
        <f t="shared" ca="1" si="2"/>
        <v>6351873</v>
      </c>
      <c r="B593" s="179" t="s">
        <v>495</v>
      </c>
      <c r="C593" s="179" t="s">
        <v>200</v>
      </c>
      <c r="D593" s="209" t="s">
        <v>203</v>
      </c>
    </row>
    <row r="594" spans="1:4" ht="12.75" customHeight="1" x14ac:dyDescent="0.15">
      <c r="A594" s="12">
        <f t="shared" ca="1" si="2"/>
        <v>8504396</v>
      </c>
      <c r="B594" s="150" t="s">
        <v>4</v>
      </c>
      <c r="C594" s="150" t="s">
        <v>225</v>
      </c>
      <c r="D594" s="151" t="s">
        <v>226</v>
      </c>
    </row>
    <row r="595" spans="1:4" ht="12.75" customHeight="1" x14ac:dyDescent="0.15">
      <c r="A595" s="12">
        <f t="shared" ca="1" si="2"/>
        <v>7214304</v>
      </c>
      <c r="B595" s="150" t="s">
        <v>298</v>
      </c>
      <c r="C595" s="150" t="s">
        <v>225</v>
      </c>
      <c r="D595" s="151" t="s">
        <v>228</v>
      </c>
    </row>
    <row r="596" spans="1:4" ht="12.75" customHeight="1" x14ac:dyDescent="0.15">
      <c r="A596" s="12">
        <f t="shared" ca="1" si="2"/>
        <v>2223192</v>
      </c>
      <c r="B596" s="57" t="s">
        <v>3</v>
      </c>
      <c r="C596" s="57" t="s">
        <v>233</v>
      </c>
      <c r="D596" s="103" t="s">
        <v>234</v>
      </c>
    </row>
    <row r="597" spans="1:4" ht="12.75" customHeight="1" x14ac:dyDescent="0.15">
      <c r="A597" s="12">
        <f t="shared" ca="1" si="2"/>
        <v>6035183</v>
      </c>
      <c r="B597" s="57" t="s">
        <v>3</v>
      </c>
      <c r="C597" s="57" t="s">
        <v>6</v>
      </c>
      <c r="D597" s="103" t="s">
        <v>236</v>
      </c>
    </row>
    <row r="598" spans="1:4" ht="12.75" customHeight="1" x14ac:dyDescent="0.15">
      <c r="A598" s="12">
        <f t="shared" ca="1" si="2"/>
        <v>7876915</v>
      </c>
      <c r="B598" s="57" t="s">
        <v>3</v>
      </c>
      <c r="C598" s="57" t="s">
        <v>6</v>
      </c>
      <c r="D598" s="103" t="s">
        <v>8</v>
      </c>
    </row>
    <row r="599" spans="1:4" ht="12.75" customHeight="1" x14ac:dyDescent="0.15">
      <c r="A599" s="12">
        <f t="shared" ca="1" si="2"/>
        <v>8897314</v>
      </c>
      <c r="B599" s="57" t="s">
        <v>4</v>
      </c>
      <c r="C599" s="57" t="s">
        <v>6</v>
      </c>
      <c r="D599" s="103" t="s">
        <v>10</v>
      </c>
    </row>
    <row r="600" spans="1:4" ht="12.75" customHeight="1" x14ac:dyDescent="0.15">
      <c r="A600" s="12">
        <f t="shared" ca="1" si="2"/>
        <v>9837206</v>
      </c>
      <c r="B600" s="155" t="s">
        <v>3</v>
      </c>
      <c r="C600" s="155" t="s">
        <v>6</v>
      </c>
      <c r="D600" s="156" t="s">
        <v>9</v>
      </c>
    </row>
    <row r="601" spans="1:4" ht="12.75" customHeight="1" x14ac:dyDescent="0.15">
      <c r="A601" s="12">
        <f t="shared" ca="1" si="2"/>
        <v>6818445</v>
      </c>
      <c r="B601" s="57" t="s">
        <v>3</v>
      </c>
      <c r="C601" s="57" t="s">
        <v>237</v>
      </c>
      <c r="D601" s="103" t="s">
        <v>238</v>
      </c>
    </row>
    <row r="602" spans="1:4" ht="12.75" customHeight="1" x14ac:dyDescent="0.15">
      <c r="A602" s="12">
        <f t="shared" ca="1" si="2"/>
        <v>1113166</v>
      </c>
      <c r="B602" s="155" t="s">
        <v>4</v>
      </c>
      <c r="C602" s="155" t="s">
        <v>239</v>
      </c>
      <c r="D602" s="156" t="s">
        <v>240</v>
      </c>
    </row>
    <row r="603" spans="1:4" ht="12.75" customHeight="1" x14ac:dyDescent="0.15">
      <c r="A603" s="12">
        <f t="shared" ca="1" si="2"/>
        <v>2511307</v>
      </c>
      <c r="B603" s="57" t="s">
        <v>3</v>
      </c>
      <c r="C603" s="57" t="s">
        <v>241</v>
      </c>
      <c r="D603" s="103" t="s">
        <v>242</v>
      </c>
    </row>
    <row r="604" spans="1:4" ht="12.75" customHeight="1" x14ac:dyDescent="0.15">
      <c r="A604" s="12">
        <f t="shared" ca="1" si="2"/>
        <v>4299976</v>
      </c>
      <c r="B604" s="57" t="s">
        <v>4</v>
      </c>
      <c r="C604" s="57" t="s">
        <v>241</v>
      </c>
      <c r="D604" s="103" t="s">
        <v>243</v>
      </c>
    </row>
    <row r="605" spans="1:4" ht="12.75" customHeight="1" x14ac:dyDescent="0.15">
      <c r="A605" s="12">
        <f t="shared" ca="1" si="2"/>
        <v>4550050</v>
      </c>
      <c r="B605" s="207" t="s">
        <v>4</v>
      </c>
      <c r="C605" s="207" t="s">
        <v>247</v>
      </c>
      <c r="D605" s="225" t="s">
        <v>248</v>
      </c>
    </row>
    <row r="606" spans="1:4" ht="12.75" customHeight="1" x14ac:dyDescent="0.15">
      <c r="A606" s="12">
        <f t="shared" ca="1" si="2"/>
        <v>1692140</v>
      </c>
      <c r="B606" s="57" t="s">
        <v>3</v>
      </c>
      <c r="C606" s="57" t="s">
        <v>247</v>
      </c>
      <c r="D606" s="59" t="s">
        <v>281</v>
      </c>
    </row>
    <row r="607" spans="1:4" ht="12.75" customHeight="1" x14ac:dyDescent="0.15">
      <c r="A607" s="12">
        <f t="shared" ca="1" si="2"/>
        <v>8461397</v>
      </c>
      <c r="B607" s="179" t="s">
        <v>3</v>
      </c>
      <c r="C607" s="179" t="s">
        <v>180</v>
      </c>
      <c r="D607" s="209" t="s">
        <v>179</v>
      </c>
    </row>
    <row r="608" spans="1:4" ht="12.75" customHeight="1" x14ac:dyDescent="0.15">
      <c r="A608" s="12">
        <f t="shared" ca="1" si="2"/>
        <v>6085600</v>
      </c>
      <c r="B608" s="57" t="s">
        <v>3</v>
      </c>
      <c r="C608" s="57" t="s">
        <v>202</v>
      </c>
      <c r="D608" s="103" t="s">
        <v>150</v>
      </c>
    </row>
    <row r="609" spans="1:4" ht="12.75" customHeight="1" x14ac:dyDescent="0.15">
      <c r="A609" s="12">
        <f t="shared" ca="1" si="2"/>
        <v>8966065</v>
      </c>
      <c r="B609" s="57" t="s">
        <v>4</v>
      </c>
      <c r="C609" s="57" t="s">
        <v>202</v>
      </c>
      <c r="D609" s="103" t="s">
        <v>215</v>
      </c>
    </row>
    <row r="610" spans="1:4" ht="12.75" customHeight="1" x14ac:dyDescent="0.15">
      <c r="A610" s="12">
        <f t="shared" ca="1" si="2"/>
        <v>6305929</v>
      </c>
      <c r="B610" s="57" t="s">
        <v>501</v>
      </c>
      <c r="C610" s="57" t="s">
        <v>263</v>
      </c>
      <c r="D610" s="103" t="s">
        <v>264</v>
      </c>
    </row>
    <row r="611" spans="1:4" ht="12.75" customHeight="1" x14ac:dyDescent="0.15">
      <c r="A611" s="12">
        <f t="shared" ca="1" si="2"/>
        <v>1300415</v>
      </c>
      <c r="B611" s="207" t="s">
        <v>3</v>
      </c>
      <c r="C611" s="207" t="s">
        <v>176</v>
      </c>
      <c r="D611" s="225" t="s">
        <v>246</v>
      </c>
    </row>
    <row r="612" spans="1:4" ht="12.75" customHeight="1" x14ac:dyDescent="0.15">
      <c r="A612" s="12">
        <f t="shared" ca="1" si="2"/>
        <v>2671511</v>
      </c>
      <c r="B612" s="57" t="s">
        <v>4</v>
      </c>
      <c r="C612" s="57" t="s">
        <v>176</v>
      </c>
      <c r="D612" s="103" t="s">
        <v>121</v>
      </c>
    </row>
    <row r="613" spans="1:4" ht="12.75" customHeight="1" x14ac:dyDescent="0.15">
      <c r="A613" s="12">
        <f t="shared" ca="1" si="2"/>
        <v>9426775</v>
      </c>
      <c r="B613" s="179" t="s">
        <v>461</v>
      </c>
      <c r="C613" s="179" t="s">
        <v>182</v>
      </c>
      <c r="D613" s="209" t="s">
        <v>85</v>
      </c>
    </row>
    <row r="614" spans="1:4" ht="12.75" customHeight="1" x14ac:dyDescent="0.15">
      <c r="A614" s="12">
        <f t="shared" ca="1" si="2"/>
        <v>8717225</v>
      </c>
      <c r="B614" s="57" t="s">
        <v>461</v>
      </c>
      <c r="C614" s="57" t="s">
        <v>269</v>
      </c>
      <c r="D614" s="103" t="s">
        <v>270</v>
      </c>
    </row>
    <row r="615" spans="1:4" ht="12.75" customHeight="1" x14ac:dyDescent="0.15">
      <c r="A615" s="12">
        <f t="shared" ca="1" si="2"/>
        <v>3307291</v>
      </c>
      <c r="B615" s="57" t="s">
        <v>4</v>
      </c>
      <c r="C615" s="57" t="s">
        <v>269</v>
      </c>
      <c r="D615" s="103" t="s">
        <v>502</v>
      </c>
    </row>
    <row r="616" spans="1:4" ht="12.75" customHeight="1" x14ac:dyDescent="0.15">
      <c r="A616" s="12">
        <f t="shared" ca="1" si="2"/>
        <v>7869090</v>
      </c>
      <c r="B616" s="57" t="s">
        <v>4</v>
      </c>
      <c r="C616" s="57" t="s">
        <v>275</v>
      </c>
      <c r="D616" s="103" t="s">
        <v>276</v>
      </c>
    </row>
    <row r="617" spans="1:4" ht="12.75" customHeight="1" x14ac:dyDescent="0.15">
      <c r="A617" s="12">
        <f t="shared" ca="1" si="2"/>
        <v>4519506</v>
      </c>
      <c r="B617" s="57" t="s">
        <v>3</v>
      </c>
      <c r="C617" s="57" t="s">
        <v>275</v>
      </c>
      <c r="D617" s="103" t="s">
        <v>278</v>
      </c>
    </row>
    <row r="618" spans="1:4" ht="12.75" customHeight="1" x14ac:dyDescent="0.15">
      <c r="A618" s="12">
        <f t="shared" ca="1" si="2"/>
        <v>9759922</v>
      </c>
      <c r="B618" s="57" t="s">
        <v>4</v>
      </c>
      <c r="C618" s="57" t="s">
        <v>282</v>
      </c>
      <c r="D618" s="103" t="s">
        <v>283</v>
      </c>
    </row>
    <row r="619" spans="1:4" ht="12.75" customHeight="1" x14ac:dyDescent="0.15">
      <c r="A619" s="12">
        <f t="shared" ca="1" si="2"/>
        <v>6723691</v>
      </c>
      <c r="B619" s="155" t="s">
        <v>503</v>
      </c>
      <c r="C619" s="155" t="s">
        <v>282</v>
      </c>
      <c r="D619" s="156" t="s">
        <v>284</v>
      </c>
    </row>
    <row r="620" spans="1:4" ht="12.75" customHeight="1" x14ac:dyDescent="0.15">
      <c r="A620" s="12">
        <f t="shared" ca="1" si="2"/>
        <v>3842755</v>
      </c>
      <c r="B620" s="57" t="s">
        <v>4</v>
      </c>
      <c r="C620" s="57" t="s">
        <v>194</v>
      </c>
      <c r="D620" s="103" t="s">
        <v>195</v>
      </c>
    </row>
    <row r="621" spans="1:4" ht="12.75" customHeight="1" x14ac:dyDescent="0.15">
      <c r="A621" s="12">
        <f t="shared" ca="1" si="2"/>
        <v>4128443</v>
      </c>
      <c r="B621" s="57" t="s">
        <v>3</v>
      </c>
      <c r="C621" s="57" t="s">
        <v>194</v>
      </c>
      <c r="D621" s="103" t="s">
        <v>199</v>
      </c>
    </row>
    <row r="622" spans="1:4" ht="12.75" customHeight="1" x14ac:dyDescent="0.15"/>
    <row r="623" spans="1:4" ht="12.75" customHeight="1" x14ac:dyDescent="0.15"/>
    <row r="624" spans="1: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autoFilter ref="A1:D630" xr:uid="{00000000-0009-0000-0000-000006000000}"/>
  <customSheetViews>
    <customSheetView guid="{EDC1C59E-109F-4FBE-8FCA-E66ECFBA2EA2}" filter="1" showAutoFilter="1">
      <autoFilter ref="A1:D100" xr:uid="{A80783C5-9707-6940-BA1F-6CA9BF32A2B0}"/>
    </customSheetView>
  </customSheetView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PivotTables</vt:lpstr>
      <vt:lpstr>Member_Status</vt:lpstr>
      <vt:lpstr>Bereavment Collection</vt:lpstr>
      <vt:lpstr>contacts</vt:lpstr>
      <vt:lpstr>Xmas-GiftCards</vt:lpstr>
      <vt:lpstr>Raffle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Chuks Okolo</dc:creator>
  <dcterms:created xsi:type="dcterms:W3CDTF">2026-08-05T03:30:12Z</dcterms:created>
</cp:coreProperties>
</file>